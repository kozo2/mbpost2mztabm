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at\Desktop\共同（関西医科大・朴先生）\cell for databse\220705\"/>
    </mc:Choice>
  </mc:AlternateContent>
  <xr:revisionPtr revIDLastSave="0" documentId="13_ncr:1_{83A71640-68FD-494C-B3A1-F0687380AFD2}" xr6:coauthVersionLast="47" xr6:coauthVersionMax="47" xr10:uidLastSave="{00000000-0000-0000-0000-000000000000}"/>
  <bookViews>
    <workbookView xWindow="20445" yWindow="1080" windowWidth="23055" windowHeight="14400" xr2:uid="{099AB685-5D4C-4046-8860-32CEECBDDFCF}"/>
  </bookViews>
  <sheets>
    <sheet name="calibration curve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" i="2" l="1"/>
  <c r="AN21" i="2"/>
  <c r="AN24" i="2"/>
  <c r="AN27" i="2"/>
  <c r="AM9" i="2"/>
  <c r="AM12" i="2"/>
  <c r="AM15" i="2"/>
  <c r="AM18" i="2"/>
  <c r="AM21" i="2"/>
  <c r="AL7" i="2"/>
  <c r="AL8" i="2"/>
  <c r="AL9" i="2"/>
  <c r="AN9" i="2" s="1"/>
  <c r="AL10" i="2"/>
  <c r="AL11" i="2"/>
  <c r="AL12" i="2"/>
  <c r="AL13" i="2"/>
  <c r="AL14" i="2"/>
  <c r="AL15" i="2"/>
  <c r="AN15" i="2" s="1"/>
  <c r="AL16" i="2"/>
  <c r="AL17" i="2"/>
  <c r="AL18" i="2"/>
  <c r="AN18" i="2" s="1"/>
  <c r="AL19" i="2"/>
  <c r="AL20" i="2"/>
  <c r="AL21" i="2"/>
  <c r="AL22" i="2"/>
  <c r="AL23" i="2"/>
  <c r="AL24" i="2"/>
  <c r="AL25" i="2"/>
  <c r="AL26" i="2"/>
  <c r="AM24" i="2" s="1"/>
  <c r="AL27" i="2"/>
  <c r="AM27" i="2" s="1"/>
  <c r="AL28" i="2"/>
  <c r="AL29" i="2"/>
  <c r="AL6" i="2"/>
  <c r="AM6" i="2" s="1"/>
  <c r="AH27" i="2"/>
  <c r="AH6" i="2"/>
  <c r="AF7" i="2"/>
  <c r="AF8" i="2"/>
  <c r="AF9" i="2"/>
  <c r="AG9" i="2" s="1"/>
  <c r="AF10" i="2"/>
  <c r="AF11" i="2"/>
  <c r="AF12" i="2"/>
  <c r="AG12" i="2" s="1"/>
  <c r="AF13" i="2"/>
  <c r="AF14" i="2"/>
  <c r="AF15" i="2"/>
  <c r="AG15" i="2" s="1"/>
  <c r="AF16" i="2"/>
  <c r="AF17" i="2"/>
  <c r="AH15" i="2" s="1"/>
  <c r="AF18" i="2"/>
  <c r="AH18" i="2" s="1"/>
  <c r="AF19" i="2"/>
  <c r="AG18" i="2" s="1"/>
  <c r="AF20" i="2"/>
  <c r="AF21" i="2"/>
  <c r="AG21" i="2" s="1"/>
  <c r="AF22" i="2"/>
  <c r="AF23" i="2"/>
  <c r="AF24" i="2"/>
  <c r="AG24" i="2" s="1"/>
  <c r="AF25" i="2"/>
  <c r="AF26" i="2"/>
  <c r="AF27" i="2"/>
  <c r="AF28" i="2"/>
  <c r="AF29" i="2"/>
  <c r="AG27" i="2" s="1"/>
  <c r="AF6" i="2"/>
  <c r="AG6" i="2" s="1"/>
  <c r="AD9" i="2"/>
  <c r="AD12" i="2"/>
  <c r="AD21" i="2"/>
  <c r="AD24" i="2"/>
  <c r="AC21" i="2"/>
  <c r="AC24" i="2"/>
  <c r="AB7" i="2"/>
  <c r="AB8" i="2"/>
  <c r="AB9" i="2"/>
  <c r="AB10" i="2"/>
  <c r="AB11" i="2"/>
  <c r="AC9" i="2" s="1"/>
  <c r="AB12" i="2"/>
  <c r="AC12" i="2" s="1"/>
  <c r="AB13" i="2"/>
  <c r="AB14" i="2"/>
  <c r="AB15" i="2"/>
  <c r="AB16" i="2"/>
  <c r="AC15" i="2" s="1"/>
  <c r="AB17" i="2"/>
  <c r="AD15" i="2" s="1"/>
  <c r="AB18" i="2"/>
  <c r="AD18" i="2" s="1"/>
  <c r="AB19" i="2"/>
  <c r="AB20" i="2"/>
  <c r="AB21" i="2"/>
  <c r="AB22" i="2"/>
  <c r="AB23" i="2"/>
  <c r="AB24" i="2"/>
  <c r="AB25" i="2"/>
  <c r="AB26" i="2"/>
  <c r="AB27" i="2"/>
  <c r="AD27" i="2" s="1"/>
  <c r="AB28" i="2"/>
  <c r="AB29" i="2"/>
  <c r="AC27" i="2" s="1"/>
  <c r="AB6" i="2"/>
  <c r="AD6" i="2" s="1"/>
  <c r="Z9" i="2"/>
  <c r="Y18" i="2"/>
  <c r="Y21" i="2"/>
  <c r="X7" i="2"/>
  <c r="X8" i="2"/>
  <c r="X9" i="2"/>
  <c r="Y9" i="2" s="1"/>
  <c r="X10" i="2"/>
  <c r="X11" i="2"/>
  <c r="X12" i="2"/>
  <c r="X13" i="2"/>
  <c r="Y12" i="2" s="1"/>
  <c r="X14" i="2"/>
  <c r="Z12" i="2" s="1"/>
  <c r="X15" i="2"/>
  <c r="Z15" i="2" s="1"/>
  <c r="X16" i="2"/>
  <c r="Y15" i="2" s="1"/>
  <c r="X17" i="2"/>
  <c r="X18" i="2"/>
  <c r="Z18" i="2" s="1"/>
  <c r="X19" i="2"/>
  <c r="X20" i="2"/>
  <c r="X21" i="2"/>
  <c r="Z21" i="2" s="1"/>
  <c r="X22" i="2"/>
  <c r="X23" i="2"/>
  <c r="X24" i="2"/>
  <c r="Z24" i="2" s="1"/>
  <c r="X25" i="2"/>
  <c r="X26" i="2"/>
  <c r="Y24" i="2" s="1"/>
  <c r="X27" i="2"/>
  <c r="Y27" i="2" s="1"/>
  <c r="X28" i="2"/>
  <c r="X29" i="2"/>
  <c r="X6" i="2"/>
  <c r="Y6" i="2" s="1"/>
  <c r="V27" i="2"/>
  <c r="V6" i="2"/>
  <c r="T7" i="2"/>
  <c r="T8" i="2"/>
  <c r="T9" i="2"/>
  <c r="U9" i="2" s="1"/>
  <c r="T10" i="2"/>
  <c r="T11" i="2"/>
  <c r="T12" i="2"/>
  <c r="U12" i="2" s="1"/>
  <c r="T13" i="2"/>
  <c r="T14" i="2"/>
  <c r="T15" i="2"/>
  <c r="U15" i="2" s="1"/>
  <c r="T16" i="2"/>
  <c r="T17" i="2"/>
  <c r="V15" i="2" s="1"/>
  <c r="T18" i="2"/>
  <c r="U18" i="2" s="1"/>
  <c r="T19" i="2"/>
  <c r="T20" i="2"/>
  <c r="T21" i="2"/>
  <c r="U21" i="2" s="1"/>
  <c r="T22" i="2"/>
  <c r="T23" i="2"/>
  <c r="T24" i="2"/>
  <c r="U24" i="2" s="1"/>
  <c r="T25" i="2"/>
  <c r="T26" i="2"/>
  <c r="T27" i="2"/>
  <c r="T28" i="2"/>
  <c r="T29" i="2"/>
  <c r="U27" i="2" s="1"/>
  <c r="T6" i="2"/>
  <c r="U6" i="2" s="1"/>
  <c r="R9" i="2"/>
  <c r="R12" i="2"/>
  <c r="R21" i="2"/>
  <c r="R24" i="2"/>
  <c r="Q21" i="2"/>
  <c r="Q24" i="2"/>
  <c r="P7" i="2"/>
  <c r="P8" i="2"/>
  <c r="P9" i="2"/>
  <c r="P10" i="2"/>
  <c r="P11" i="2"/>
  <c r="Q9" i="2" s="1"/>
  <c r="P12" i="2"/>
  <c r="Q12" i="2" s="1"/>
  <c r="P13" i="2"/>
  <c r="P14" i="2"/>
  <c r="P15" i="2"/>
  <c r="P16" i="2"/>
  <c r="Q15" i="2" s="1"/>
  <c r="P17" i="2"/>
  <c r="R15" i="2" s="1"/>
  <c r="P18" i="2"/>
  <c r="R18" i="2" s="1"/>
  <c r="P19" i="2"/>
  <c r="P20" i="2"/>
  <c r="P21" i="2"/>
  <c r="P22" i="2"/>
  <c r="P23" i="2"/>
  <c r="P24" i="2"/>
  <c r="P25" i="2"/>
  <c r="P26" i="2"/>
  <c r="P27" i="2"/>
  <c r="R27" i="2" s="1"/>
  <c r="P28" i="2"/>
  <c r="P29" i="2"/>
  <c r="Q27" i="2" s="1"/>
  <c r="P6" i="2"/>
  <c r="R6" i="2" s="1"/>
  <c r="K18" i="2"/>
  <c r="J14" i="2"/>
  <c r="J29" i="2"/>
  <c r="J7" i="2"/>
  <c r="J8" i="2"/>
  <c r="J9" i="2"/>
  <c r="K9" i="2" s="1"/>
  <c r="J10" i="2"/>
  <c r="L9" i="2" s="1"/>
  <c r="J11" i="2"/>
  <c r="J12" i="2"/>
  <c r="L12" i="2" s="1"/>
  <c r="J13" i="2"/>
  <c r="J15" i="2"/>
  <c r="L15" i="2" s="1"/>
  <c r="J16" i="2"/>
  <c r="J17" i="2"/>
  <c r="J18" i="2"/>
  <c r="L18" i="2" s="1"/>
  <c r="J19" i="2"/>
  <c r="J20" i="2"/>
  <c r="J21" i="2"/>
  <c r="J22" i="2"/>
  <c r="L21" i="2" s="1"/>
  <c r="J23" i="2"/>
  <c r="K21" i="2" s="1"/>
  <c r="J24" i="2"/>
  <c r="L24" i="2" s="1"/>
  <c r="J25" i="2"/>
  <c r="K24" i="2" s="1"/>
  <c r="J26" i="2"/>
  <c r="J27" i="2"/>
  <c r="K27" i="2" s="1"/>
  <c r="J28" i="2"/>
  <c r="J6" i="2"/>
  <c r="K6" i="2" s="1"/>
  <c r="H15" i="2"/>
  <c r="H27" i="2"/>
  <c r="H6" i="2"/>
  <c r="G27" i="2"/>
  <c r="F9" i="2"/>
  <c r="H9" i="2" s="1"/>
  <c r="F10" i="2"/>
  <c r="G9" i="2" s="1"/>
  <c r="F11" i="2"/>
  <c r="F12" i="2"/>
  <c r="G12" i="2" s="1"/>
  <c r="F13" i="2"/>
  <c r="F14" i="2"/>
  <c r="F15" i="2"/>
  <c r="G15" i="2" s="1"/>
  <c r="F16" i="2"/>
  <c r="F17" i="2"/>
  <c r="F18" i="2"/>
  <c r="G18" i="2" s="1"/>
  <c r="F19" i="2"/>
  <c r="F20" i="2"/>
  <c r="F21" i="2"/>
  <c r="G21" i="2" s="1"/>
  <c r="F22" i="2"/>
  <c r="F23" i="2"/>
  <c r="F24" i="2"/>
  <c r="G24" i="2" s="1"/>
  <c r="F25" i="2"/>
  <c r="F26" i="2"/>
  <c r="F27" i="2"/>
  <c r="F28" i="2"/>
  <c r="F29" i="2"/>
  <c r="F7" i="2"/>
  <c r="F8" i="2"/>
  <c r="F6" i="2"/>
  <c r="G6" i="2" s="1"/>
  <c r="T42" i="1"/>
  <c r="R42" i="1"/>
  <c r="P42" i="1"/>
  <c r="L42" i="1"/>
  <c r="Z39" i="1"/>
  <c r="X39" i="1"/>
  <c r="T39" i="1"/>
  <c r="R39" i="1"/>
  <c r="P39" i="1"/>
  <c r="L39" i="1"/>
  <c r="Z36" i="1"/>
  <c r="X36" i="1"/>
  <c r="T36" i="1"/>
  <c r="R36" i="1"/>
  <c r="P36" i="1"/>
  <c r="L36" i="1"/>
  <c r="H36" i="1"/>
  <c r="Z33" i="1"/>
  <c r="X33" i="1"/>
  <c r="T33" i="1"/>
  <c r="R33" i="1"/>
  <c r="P33" i="1"/>
  <c r="L33" i="1"/>
  <c r="H33" i="1"/>
  <c r="Z30" i="1"/>
  <c r="X30" i="1"/>
  <c r="T30" i="1"/>
  <c r="R30" i="1"/>
  <c r="P30" i="1"/>
  <c r="N30" i="1"/>
  <c r="L30" i="1"/>
  <c r="H30" i="1"/>
  <c r="F30" i="1"/>
  <c r="Z27" i="1"/>
  <c r="X27" i="1"/>
  <c r="T27" i="1"/>
  <c r="R27" i="1"/>
  <c r="P27" i="1"/>
  <c r="N27" i="1"/>
  <c r="L27" i="1"/>
  <c r="H27" i="1"/>
  <c r="F27" i="1"/>
  <c r="Z24" i="1"/>
  <c r="X24" i="1"/>
  <c r="T24" i="1"/>
  <c r="R24" i="1"/>
  <c r="P24" i="1"/>
  <c r="N24" i="1"/>
  <c r="L24" i="1"/>
  <c r="H24" i="1"/>
  <c r="F24" i="1"/>
  <c r="Z21" i="1"/>
  <c r="X21" i="1"/>
  <c r="T21" i="1"/>
  <c r="R21" i="1"/>
  <c r="P21" i="1"/>
  <c r="N21" i="1"/>
  <c r="L21" i="1"/>
  <c r="H21" i="1"/>
  <c r="F21" i="1"/>
  <c r="Z18" i="1"/>
  <c r="X18" i="1"/>
  <c r="T18" i="1"/>
  <c r="R18" i="1"/>
  <c r="P18" i="1"/>
  <c r="N18" i="1"/>
  <c r="L18" i="1"/>
  <c r="H18" i="1"/>
  <c r="F18" i="1"/>
  <c r="Z15" i="1"/>
  <c r="X15" i="1"/>
  <c r="T15" i="1"/>
  <c r="R15" i="1"/>
  <c r="P15" i="1"/>
  <c r="N15" i="1"/>
  <c r="L15" i="1"/>
  <c r="H15" i="1"/>
  <c r="F15" i="1"/>
  <c r="Z12" i="1"/>
  <c r="X12" i="1"/>
  <c r="T12" i="1"/>
  <c r="R12" i="1"/>
  <c r="P12" i="1"/>
  <c r="N12" i="1"/>
  <c r="L12" i="1"/>
  <c r="H12" i="1"/>
  <c r="F12" i="1"/>
  <c r="AC6" i="2" l="1"/>
  <c r="H24" i="2"/>
  <c r="K12" i="2"/>
  <c r="V24" i="2"/>
  <c r="AH24" i="2"/>
  <c r="H21" i="2"/>
  <c r="V21" i="2"/>
  <c r="AH21" i="2"/>
  <c r="H18" i="2"/>
  <c r="L6" i="2"/>
  <c r="Q18" i="2"/>
  <c r="V18" i="2"/>
  <c r="Z6" i="2"/>
  <c r="AC18" i="2"/>
  <c r="AN6" i="2"/>
  <c r="Q6" i="2"/>
  <c r="K15" i="2"/>
  <c r="L27" i="2"/>
  <c r="H12" i="2"/>
  <c r="V12" i="2"/>
  <c r="Z27" i="2"/>
  <c r="AH12" i="2"/>
  <c r="V9" i="2"/>
  <c r="AH9" i="2"/>
</calcChain>
</file>

<file path=xl/sharedStrings.xml><?xml version="1.0" encoding="utf-8"?>
<sst xmlns="http://schemas.openxmlformats.org/spreadsheetml/2006/main" count="79" uniqueCount="30">
  <si>
    <r>
      <t>NH</t>
    </r>
    <r>
      <rPr>
        <vertAlign val="sub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 xml:space="preserve">(mM) : </t>
    </r>
    <phoneticPr fontId="3"/>
  </si>
  <si>
    <r>
      <t>Inj volume (</t>
    </r>
    <r>
      <rPr>
        <sz val="11"/>
        <color theme="1"/>
        <rFont val="ＭＳ Ｐ明朝"/>
        <family val="1"/>
        <charset val="128"/>
      </rPr>
      <t>µ</t>
    </r>
    <r>
      <rPr>
        <sz val="11"/>
        <color theme="1"/>
        <rFont val="Times New Roman"/>
        <family val="1"/>
      </rPr>
      <t xml:space="preserve">L) : </t>
    </r>
    <phoneticPr fontId="3"/>
  </si>
  <si>
    <t>Area</t>
    <phoneticPr fontId="3"/>
  </si>
  <si>
    <t>Compounds</t>
    <phoneticPr fontId="3"/>
  </si>
  <si>
    <t>Fumalic acid</t>
    <phoneticPr fontId="3"/>
  </si>
  <si>
    <t>Succinic acid</t>
    <phoneticPr fontId="3"/>
  </si>
  <si>
    <t>Oxaloacetic acid</t>
    <phoneticPr fontId="3"/>
  </si>
  <si>
    <t>Malic acid</t>
    <phoneticPr fontId="3"/>
  </si>
  <si>
    <t>Oxoglutaric acid</t>
    <phoneticPr fontId="3"/>
  </si>
  <si>
    <t>Glutamine</t>
    <phoneticPr fontId="3"/>
  </si>
  <si>
    <t>Glutamic acid</t>
    <phoneticPr fontId="3"/>
  </si>
  <si>
    <t>Hydroxyglutaric acid</t>
    <phoneticPr fontId="3"/>
  </si>
  <si>
    <t>Aconitic acid</t>
    <phoneticPr fontId="3"/>
  </si>
  <si>
    <t>Citric acid</t>
    <phoneticPr fontId="3"/>
  </si>
  <si>
    <t>Isocitric acid</t>
    <phoneticPr fontId="3"/>
  </si>
  <si>
    <t>Precurser ion (m / z)</t>
    <phoneticPr fontId="3"/>
  </si>
  <si>
    <t>Product ion (m / z)</t>
    <phoneticPr fontId="3"/>
  </si>
  <si>
    <t>Collision energy (eV)</t>
    <phoneticPr fontId="3"/>
  </si>
  <si>
    <t>Concentration           (µM, pmol)</t>
    <phoneticPr fontId="3"/>
  </si>
  <si>
    <t>HCT116 MT</t>
    <phoneticPr fontId="3"/>
  </si>
  <si>
    <r>
      <t>20% O</t>
    </r>
    <r>
      <rPr>
        <b/>
        <sz val="10"/>
        <color theme="1"/>
        <rFont val="ＭＳ Ｐ明朝"/>
        <family val="1"/>
        <charset val="128"/>
      </rPr>
      <t>₂</t>
    </r>
    <phoneticPr fontId="3"/>
  </si>
  <si>
    <t>control</t>
    <phoneticPr fontId="3"/>
  </si>
  <si>
    <t>ASA 2mM</t>
    <phoneticPr fontId="3"/>
  </si>
  <si>
    <r>
      <t>1% O</t>
    </r>
    <r>
      <rPr>
        <b/>
        <sz val="10"/>
        <color theme="1"/>
        <rFont val="ＭＳ Ｐ明朝"/>
        <family val="1"/>
        <charset val="128"/>
      </rPr>
      <t>₂</t>
    </r>
    <phoneticPr fontId="3"/>
  </si>
  <si>
    <t>HCT116 WT</t>
    <phoneticPr fontId="3"/>
  </si>
  <si>
    <t>Concentration
 (pmol)</t>
    <phoneticPr fontId="3"/>
  </si>
  <si>
    <t>Average</t>
    <phoneticPr fontId="3"/>
  </si>
  <si>
    <t>S.D.</t>
    <phoneticPr fontId="3"/>
  </si>
  <si>
    <t>Cell</t>
    <phoneticPr fontId="3"/>
  </si>
  <si>
    <t>Condition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</si>
</sst>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0" fillId="0" borderId="4" xfId="0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0" fillId="0" borderId="7" xfId="0" applyBorder="1"/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vertical="center"/>
    </xf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12" xfId="0" applyBorder="1"/>
    <xf numFmtId="0" fontId="1" fillId="0" borderId="18" xfId="0" applyFont="1" applyBorder="1"/>
    <xf numFmtId="0" fontId="1" fillId="0" borderId="18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Fumalic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6288511049096E-2"/>
                  <c:y val="-4.46405661126784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curve'!$D$18:$D$29</c:f>
              <c:numCache>
                <c:formatCode>General</c:formatCode>
                <c:ptCount val="12"/>
                <c:pt idx="0">
                  <c:v>2500</c:v>
                </c:pt>
                <c:pt idx="3">
                  <c:v>500</c:v>
                </c:pt>
                <c:pt idx="6">
                  <c:v>250</c:v>
                </c:pt>
                <c:pt idx="9">
                  <c:v>50</c:v>
                </c:pt>
              </c:numCache>
            </c:numRef>
          </c:xVal>
          <c:yVal>
            <c:numRef>
              <c:f>'calibration curve'!$F$18:$F$29</c:f>
              <c:numCache>
                <c:formatCode>General</c:formatCode>
                <c:ptCount val="12"/>
                <c:pt idx="0">
                  <c:v>164615.66666666666</c:v>
                </c:pt>
                <c:pt idx="3" formatCode="0.00">
                  <c:v>40950.333333333336</c:v>
                </c:pt>
                <c:pt idx="6">
                  <c:v>21988</c:v>
                </c:pt>
                <c:pt idx="9" formatCode="0.00">
                  <c:v>4620.666666666667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4-4C29-8A2F-FF22BFB2C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928"/>
        <c:axId val="102917248"/>
      </c:scatterChart>
      <c:valAx>
        <c:axId val="241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2917248"/>
        <c:crosses val="autoZero"/>
        <c:crossBetween val="midCat"/>
      </c:valAx>
      <c:valAx>
        <c:axId val="102917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41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Isocitric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43228557453285E-2"/>
                  <c:y val="-4.538187597955171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curve'!$D$24:$D$41</c:f>
              <c:numCache>
                <c:formatCode>General</c:formatCode>
                <c:ptCount val="18"/>
                <c:pt idx="0">
                  <c:v>250</c:v>
                </c:pt>
                <c:pt idx="3">
                  <c:v>50</c:v>
                </c:pt>
                <c:pt idx="6">
                  <c:v>25</c:v>
                </c:pt>
                <c:pt idx="9">
                  <c:v>5</c:v>
                </c:pt>
                <c:pt idx="12">
                  <c:v>2.5</c:v>
                </c:pt>
                <c:pt idx="15">
                  <c:v>0.5</c:v>
                </c:pt>
              </c:numCache>
            </c:numRef>
          </c:xVal>
          <c:yVal>
            <c:numRef>
              <c:f>'calibration curve'!$Z$24:$Z$41</c:f>
              <c:numCache>
                <c:formatCode>General</c:formatCode>
                <c:ptCount val="18"/>
                <c:pt idx="0">
                  <c:v>29154</c:v>
                </c:pt>
                <c:pt idx="3">
                  <c:v>5521</c:v>
                </c:pt>
                <c:pt idx="6" formatCode="0.00">
                  <c:v>2551.6666666666665</c:v>
                </c:pt>
                <c:pt idx="9">
                  <c:v>463</c:v>
                </c:pt>
                <c:pt idx="12" formatCode="0.00">
                  <c:v>217.66666666666666</c:v>
                </c:pt>
                <c:pt idx="15" formatCode="0.00">
                  <c:v>43.826666666666661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43-4750-A0D0-B9A57014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85312"/>
        <c:axId val="174488576"/>
      </c:scatterChart>
      <c:valAx>
        <c:axId val="3508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488576"/>
        <c:crosses val="autoZero"/>
        <c:crossBetween val="midCat"/>
      </c:valAx>
      <c:valAx>
        <c:axId val="1744885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3508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Citric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43228557453285E-2"/>
                  <c:y val="-4.538187597955171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curve'!$D$18:$D$32</c:f>
              <c:numCache>
                <c:formatCode>General</c:formatCode>
                <c:ptCount val="15"/>
                <c:pt idx="0">
                  <c:v>2500</c:v>
                </c:pt>
                <c:pt idx="3">
                  <c:v>500</c:v>
                </c:pt>
                <c:pt idx="6">
                  <c:v>250</c:v>
                </c:pt>
                <c:pt idx="9">
                  <c:v>50</c:v>
                </c:pt>
                <c:pt idx="12">
                  <c:v>25</c:v>
                </c:pt>
              </c:numCache>
            </c:numRef>
          </c:xVal>
          <c:yVal>
            <c:numRef>
              <c:f>'calibration curve'!$X$18:$X$32</c:f>
              <c:numCache>
                <c:formatCode>0.00</c:formatCode>
                <c:ptCount val="15"/>
                <c:pt idx="0">
                  <c:v>338697.33333333331</c:v>
                </c:pt>
                <c:pt idx="3">
                  <c:v>93380.666666666672</c:v>
                </c:pt>
                <c:pt idx="6">
                  <c:v>48512.333333333336</c:v>
                </c:pt>
                <c:pt idx="9" formatCode="General">
                  <c:v>7197</c:v>
                </c:pt>
                <c:pt idx="12">
                  <c:v>3172.3333333333335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C1-4AB3-990C-82F841F77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09376"/>
        <c:axId val="174311296"/>
      </c:scatterChart>
      <c:valAx>
        <c:axId val="17430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311296"/>
        <c:crosses val="autoZero"/>
        <c:crossBetween val="midCat"/>
      </c:valAx>
      <c:valAx>
        <c:axId val="174311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30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Hydroxyglutaric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curve'!$D$24:$D$41</c:f>
              <c:numCache>
                <c:formatCode>General</c:formatCode>
                <c:ptCount val="18"/>
                <c:pt idx="0">
                  <c:v>250</c:v>
                </c:pt>
                <c:pt idx="3">
                  <c:v>50</c:v>
                </c:pt>
                <c:pt idx="6">
                  <c:v>25</c:v>
                </c:pt>
                <c:pt idx="9">
                  <c:v>5</c:v>
                </c:pt>
                <c:pt idx="12">
                  <c:v>2.5</c:v>
                </c:pt>
                <c:pt idx="15">
                  <c:v>0.5</c:v>
                </c:pt>
              </c:numCache>
            </c:numRef>
          </c:xVal>
          <c:yVal>
            <c:numRef>
              <c:f>'calibration curve'!$T$24:$T$41</c:f>
              <c:numCache>
                <c:formatCode>General</c:formatCode>
                <c:ptCount val="18"/>
                <c:pt idx="0">
                  <c:v>3007964</c:v>
                </c:pt>
                <c:pt idx="3">
                  <c:v>675789</c:v>
                </c:pt>
                <c:pt idx="6">
                  <c:v>299584</c:v>
                </c:pt>
                <c:pt idx="9" formatCode="0.00">
                  <c:v>49930.333333333336</c:v>
                </c:pt>
                <c:pt idx="12" formatCode="0.00">
                  <c:v>25743.666666666668</c:v>
                </c:pt>
                <c:pt idx="15">
                  <c:v>5133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3A-4203-94AE-582B3F5C5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58976"/>
        <c:axId val="174160512"/>
      </c:scatterChart>
      <c:valAx>
        <c:axId val="17415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60512"/>
        <c:crosses val="autoZero"/>
        <c:crossBetween val="midCat"/>
      </c:valAx>
      <c:valAx>
        <c:axId val="174160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5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Glutamic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143520248720945E-2"/>
                  <c:y val="-4.665872121303857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curve'!$D$15:$D$29</c:f>
              <c:numCache>
                <c:formatCode>General</c:formatCode>
                <c:ptCount val="15"/>
                <c:pt idx="0">
                  <c:v>5000</c:v>
                </c:pt>
                <c:pt idx="3">
                  <c:v>2500</c:v>
                </c:pt>
                <c:pt idx="6">
                  <c:v>500</c:v>
                </c:pt>
                <c:pt idx="9">
                  <c:v>250</c:v>
                </c:pt>
                <c:pt idx="12">
                  <c:v>50</c:v>
                </c:pt>
              </c:numCache>
            </c:numRef>
          </c:xVal>
          <c:yVal>
            <c:numRef>
              <c:f>'calibration curve'!$R$15:$R$29</c:f>
              <c:numCache>
                <c:formatCode>General</c:formatCode>
                <c:ptCount val="15"/>
                <c:pt idx="0">
                  <c:v>10155653</c:v>
                </c:pt>
                <c:pt idx="3">
                  <c:v>7496871</c:v>
                </c:pt>
                <c:pt idx="6" formatCode="0.00">
                  <c:v>1942352.3333333333</c:v>
                </c:pt>
                <c:pt idx="9">
                  <c:v>1082150</c:v>
                </c:pt>
                <c:pt idx="12" formatCode="0.00">
                  <c:v>244512.33333333334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7A-4086-B2BF-B4AEED0A2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7984"/>
        <c:axId val="174150784"/>
      </c:scatterChart>
      <c:valAx>
        <c:axId val="17389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150784"/>
        <c:crosses val="autoZero"/>
        <c:crossBetween val="midCat"/>
      </c:valAx>
      <c:valAx>
        <c:axId val="174150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89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Glutamine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609938161974954E-2"/>
                  <c:y val="-4.524996508270411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curve'!$D$24:$D$38</c:f>
              <c:numCache>
                <c:formatCode>General</c:formatCode>
                <c:ptCount val="15"/>
                <c:pt idx="0">
                  <c:v>250</c:v>
                </c:pt>
                <c:pt idx="3">
                  <c:v>50</c:v>
                </c:pt>
                <c:pt idx="6">
                  <c:v>25</c:v>
                </c:pt>
                <c:pt idx="9">
                  <c:v>5</c:v>
                </c:pt>
                <c:pt idx="12">
                  <c:v>2.5</c:v>
                </c:pt>
              </c:numCache>
            </c:numRef>
          </c:xVal>
          <c:yVal>
            <c:numRef>
              <c:f>'calibration curve'!$P$24:$P$38</c:f>
              <c:numCache>
                <c:formatCode>0.00</c:formatCode>
                <c:ptCount val="15"/>
                <c:pt idx="0">
                  <c:v>1508100.6666666667</c:v>
                </c:pt>
                <c:pt idx="3">
                  <c:v>370293.66666666669</c:v>
                </c:pt>
                <c:pt idx="6">
                  <c:v>194851.66666666666</c:v>
                </c:pt>
                <c:pt idx="9" formatCode="General">
                  <c:v>36782</c:v>
                </c:pt>
                <c:pt idx="12">
                  <c:v>18462.333333333332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14-44EC-B741-12B8AA9ED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55488"/>
        <c:axId val="173057536"/>
      </c:scatterChart>
      <c:valAx>
        <c:axId val="17425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057536"/>
        <c:crosses val="autoZero"/>
        <c:crossBetween val="midCat"/>
      </c:valAx>
      <c:valAx>
        <c:axId val="1730575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25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Oxoglutaric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curve'!$D$21:$D$32</c:f>
              <c:numCache>
                <c:formatCode>General</c:formatCode>
                <c:ptCount val="12"/>
                <c:pt idx="0">
                  <c:v>500</c:v>
                </c:pt>
                <c:pt idx="3">
                  <c:v>250</c:v>
                </c:pt>
                <c:pt idx="6">
                  <c:v>50</c:v>
                </c:pt>
                <c:pt idx="9">
                  <c:v>25</c:v>
                </c:pt>
              </c:numCache>
            </c:numRef>
          </c:xVal>
          <c:yVal>
            <c:numRef>
              <c:f>'calibration curve'!$N$21:$N$32</c:f>
              <c:numCache>
                <c:formatCode>0.00</c:formatCode>
                <c:ptCount val="12"/>
                <c:pt idx="0">
                  <c:v>67281.333333333328</c:v>
                </c:pt>
                <c:pt idx="3" formatCode="General">
                  <c:v>36497</c:v>
                </c:pt>
                <c:pt idx="6" formatCode="General">
                  <c:v>7817</c:v>
                </c:pt>
                <c:pt idx="9" formatCode="General">
                  <c:v>4228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D-48A1-9376-4E6FEA35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12416"/>
        <c:axId val="174283392"/>
      </c:scatterChart>
      <c:valAx>
        <c:axId val="17321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283392"/>
        <c:crosses val="autoZero"/>
        <c:crossBetween val="midCat"/>
      </c:valAx>
      <c:valAx>
        <c:axId val="17428339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21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Malic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38933842731801E-2"/>
                  <c:y val="4.00140311668343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curve'!$D$15:$D$26</c:f>
              <c:numCache>
                <c:formatCode>General</c:formatCode>
                <c:ptCount val="12"/>
                <c:pt idx="0">
                  <c:v>5000</c:v>
                </c:pt>
                <c:pt idx="3">
                  <c:v>2500</c:v>
                </c:pt>
                <c:pt idx="6">
                  <c:v>500</c:v>
                </c:pt>
                <c:pt idx="9">
                  <c:v>250</c:v>
                </c:pt>
              </c:numCache>
            </c:numRef>
          </c:xVal>
          <c:yVal>
            <c:numRef>
              <c:f>'calibration curve'!$L$15:$L$26</c:f>
              <c:numCache>
                <c:formatCode>0.00</c:formatCode>
                <c:ptCount val="12"/>
                <c:pt idx="0">
                  <c:v>3913835.3333333335</c:v>
                </c:pt>
                <c:pt idx="3" formatCode="0">
                  <c:v>2751480</c:v>
                </c:pt>
                <c:pt idx="6">
                  <c:v>930651.33333333337</c:v>
                </c:pt>
                <c:pt idx="9">
                  <c:v>523920.33333333331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7-409B-84E4-40E282E1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51648"/>
        <c:axId val="189551744"/>
      </c:scatterChart>
      <c:valAx>
        <c:axId val="17825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89551744"/>
        <c:crosses val="autoZero"/>
        <c:crossBetween val="midCat"/>
      </c:valAx>
      <c:valAx>
        <c:axId val="18955174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82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Succinic</a:t>
            </a: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6288511049096E-2"/>
                  <c:y val="-4.46405661126784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curve'!$D$18:$D$32</c:f>
              <c:numCache>
                <c:formatCode>General</c:formatCode>
                <c:ptCount val="15"/>
                <c:pt idx="0">
                  <c:v>2500</c:v>
                </c:pt>
                <c:pt idx="3">
                  <c:v>500</c:v>
                </c:pt>
                <c:pt idx="6">
                  <c:v>250</c:v>
                </c:pt>
                <c:pt idx="9">
                  <c:v>50</c:v>
                </c:pt>
                <c:pt idx="12">
                  <c:v>25</c:v>
                </c:pt>
              </c:numCache>
            </c:numRef>
          </c:xVal>
          <c:yVal>
            <c:numRef>
              <c:f>'calibration curve'!$H$18:$H$32</c:f>
              <c:numCache>
                <c:formatCode>General</c:formatCode>
                <c:ptCount val="15"/>
                <c:pt idx="0">
                  <c:v>1118111.3333333333</c:v>
                </c:pt>
                <c:pt idx="3" formatCode="0.00">
                  <c:v>303054.66666666669</c:v>
                </c:pt>
                <c:pt idx="6">
                  <c:v>163861</c:v>
                </c:pt>
                <c:pt idx="9" formatCode="0.00">
                  <c:v>31419.333333333332</c:v>
                </c:pt>
                <c:pt idx="12">
                  <c:v>16169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DD-40FC-9762-20EC7C800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09216"/>
        <c:axId val="174411136"/>
      </c:scatterChart>
      <c:valAx>
        <c:axId val="17440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411136"/>
        <c:crosses val="autoZero"/>
        <c:crossBetween val="midCat"/>
      </c:valAx>
      <c:valAx>
        <c:axId val="174411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440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22885</xdr:colOff>
      <xdr:row>4</xdr:row>
      <xdr:rowOff>184521</xdr:rowOff>
    </xdr:from>
    <xdr:to>
      <xdr:col>33</xdr:col>
      <xdr:colOff>675409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AFDF5A-F039-4456-BEAC-1B15476B3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37</xdr:row>
      <xdr:rowOff>0</xdr:rowOff>
    </xdr:from>
    <xdr:to>
      <xdr:col>49</xdr:col>
      <xdr:colOff>675409</xdr:colOff>
      <xdr:row>54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7210370-86E9-48A5-905F-95110F86D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-1</xdr:colOff>
      <xdr:row>21</xdr:row>
      <xdr:rowOff>0</xdr:rowOff>
    </xdr:from>
    <xdr:to>
      <xdr:col>50</xdr:col>
      <xdr:colOff>-1</xdr:colOff>
      <xdr:row>36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879CC90-7045-44DB-A6C0-41FD2B851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49</xdr:col>
      <xdr:colOff>675409</xdr:colOff>
      <xdr:row>20</xdr:row>
      <xdr:rowOff>17318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E0D40EF-C7A4-49F7-804A-384E68E1E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37</xdr:row>
      <xdr:rowOff>-1</xdr:rowOff>
    </xdr:from>
    <xdr:to>
      <xdr:col>41</xdr:col>
      <xdr:colOff>675409</xdr:colOff>
      <xdr:row>53</xdr:row>
      <xdr:rowOff>173181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D670509-F226-4886-9C99-FC874C24A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0</xdr:colOff>
      <xdr:row>21</xdr:row>
      <xdr:rowOff>0</xdr:rowOff>
    </xdr:from>
    <xdr:to>
      <xdr:col>41</xdr:col>
      <xdr:colOff>675409</xdr:colOff>
      <xdr:row>36</xdr:row>
      <xdr:rowOff>51954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93E3396-6988-4579-9C61-E3F32F1DA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-1</xdr:colOff>
      <xdr:row>5</xdr:row>
      <xdr:rowOff>0</xdr:rowOff>
    </xdr:from>
    <xdr:to>
      <xdr:col>42</xdr:col>
      <xdr:colOff>17318</xdr:colOff>
      <xdr:row>20</xdr:row>
      <xdr:rowOff>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B335439-F91F-4A3B-BF11-699BA3DAF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0</xdr:colOff>
      <xdr:row>37</xdr:row>
      <xdr:rowOff>0</xdr:rowOff>
    </xdr:from>
    <xdr:to>
      <xdr:col>33</xdr:col>
      <xdr:colOff>658091</xdr:colOff>
      <xdr:row>53</xdr:row>
      <xdr:rowOff>155864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1B04340-F907-4342-8073-9DB4FA650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692726</xdr:colOff>
      <xdr:row>21</xdr:row>
      <xdr:rowOff>0</xdr:rowOff>
    </xdr:from>
    <xdr:to>
      <xdr:col>33</xdr:col>
      <xdr:colOff>692726</xdr:colOff>
      <xdr:row>36</xdr:row>
      <xdr:rowOff>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A1DD978-BA90-4B71-8DC9-82BD1463F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EE0A-AD7C-4899-B2BD-59FD19B4BD14}">
  <sheetPr>
    <pageSetUpPr fitToPage="1"/>
  </sheetPr>
  <dimension ref="B4:AA79"/>
  <sheetViews>
    <sheetView tabSelected="1" topLeftCell="A24" zoomScale="80" zoomScaleNormal="80" workbookViewId="0">
      <selection activeCell="C42" sqref="C42:C44"/>
    </sheetView>
  </sheetViews>
  <sheetFormatPr defaultRowHeight="18.75" x14ac:dyDescent="0.4"/>
  <cols>
    <col min="2" max="2" width="10.625" customWidth="1"/>
    <col min="5" max="5" width="10.25" bestFit="1" customWidth="1"/>
    <col min="7" max="7" width="10.125" customWidth="1"/>
    <col min="8" max="8" width="10.375" bestFit="1" customWidth="1"/>
    <col min="9" max="9" width="9.625" customWidth="1"/>
    <col min="12" max="12" width="11.25" customWidth="1"/>
    <col min="14" max="14" width="12" customWidth="1"/>
    <col min="15" max="15" width="10.625" customWidth="1"/>
    <col min="16" max="16" width="12.125" customWidth="1"/>
    <col min="17" max="17" width="10.5" customWidth="1"/>
    <col min="18" max="18" width="13.375" customWidth="1"/>
    <col min="19" max="19" width="11.25" bestFit="1" customWidth="1"/>
    <col min="20" max="20" width="13" customWidth="1"/>
    <col min="24" max="24" width="9.875" customWidth="1"/>
    <col min="26" max="26" width="10.25" customWidth="1"/>
  </cols>
  <sheetData>
    <row r="4" spans="2:27" x14ac:dyDescent="0.4">
      <c r="B4" s="1" t="s">
        <v>0</v>
      </c>
      <c r="C4" s="2">
        <v>100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19.5" thickBot="1" x14ac:dyDescent="0.45">
      <c r="B5" s="1" t="s">
        <v>1</v>
      </c>
      <c r="C5" s="2">
        <v>5</v>
      </c>
      <c r="D5" s="2"/>
      <c r="E5" s="2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19.5" thickBot="1" x14ac:dyDescent="0.45">
      <c r="B6" s="26" t="s">
        <v>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4"/>
    </row>
    <row r="7" spans="2:27" ht="19.5" thickTop="1" x14ac:dyDescent="0.4">
      <c r="B7" s="27" t="s">
        <v>3</v>
      </c>
      <c r="C7" s="27"/>
      <c r="D7" s="27"/>
      <c r="E7" s="29" t="s">
        <v>4</v>
      </c>
      <c r="F7" s="29"/>
      <c r="G7" s="29" t="s">
        <v>5</v>
      </c>
      <c r="H7" s="29"/>
      <c r="I7" s="29" t="s">
        <v>6</v>
      </c>
      <c r="J7" s="29"/>
      <c r="K7" s="29" t="s">
        <v>7</v>
      </c>
      <c r="L7" s="29"/>
      <c r="M7" s="29" t="s">
        <v>8</v>
      </c>
      <c r="N7" s="29"/>
      <c r="O7" s="29" t="s">
        <v>9</v>
      </c>
      <c r="P7" s="29"/>
      <c r="Q7" s="29" t="s">
        <v>10</v>
      </c>
      <c r="R7" s="29"/>
      <c r="S7" s="31" t="s">
        <v>11</v>
      </c>
      <c r="T7" s="31"/>
      <c r="U7" s="29" t="s">
        <v>12</v>
      </c>
      <c r="V7" s="29"/>
      <c r="W7" s="29" t="s">
        <v>13</v>
      </c>
      <c r="X7" s="29"/>
      <c r="Y7" s="29" t="s">
        <v>14</v>
      </c>
      <c r="Z7" s="29"/>
      <c r="AA7" s="5"/>
    </row>
    <row r="8" spans="2:27" ht="19.5" thickBot="1" x14ac:dyDescent="0.45">
      <c r="B8" s="28"/>
      <c r="C8" s="28"/>
      <c r="D8" s="28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2"/>
      <c r="T8" s="32"/>
      <c r="U8" s="30"/>
      <c r="V8" s="30"/>
      <c r="W8" s="30"/>
      <c r="X8" s="30"/>
      <c r="Y8" s="30"/>
      <c r="Z8" s="30"/>
      <c r="AA8" s="5"/>
    </row>
    <row r="9" spans="2:27" ht="19.5" thickTop="1" x14ac:dyDescent="0.4">
      <c r="B9" s="27" t="s">
        <v>15</v>
      </c>
      <c r="C9" s="27"/>
      <c r="D9" s="27"/>
      <c r="E9" s="33">
        <v>115.16</v>
      </c>
      <c r="F9" s="33"/>
      <c r="G9" s="33">
        <v>117.21</v>
      </c>
      <c r="H9" s="33"/>
      <c r="I9" s="33">
        <v>131.04</v>
      </c>
      <c r="J9" s="33"/>
      <c r="K9" s="33">
        <v>133.11000000000001</v>
      </c>
      <c r="L9" s="33"/>
      <c r="M9" s="33">
        <v>145.02000000000001</v>
      </c>
      <c r="N9" s="33"/>
      <c r="O9" s="37">
        <v>147.1</v>
      </c>
      <c r="P9" s="37"/>
      <c r="Q9" s="37">
        <v>148.1</v>
      </c>
      <c r="R9" s="37"/>
      <c r="S9" s="33">
        <v>147.09</v>
      </c>
      <c r="T9" s="33"/>
      <c r="U9" s="33">
        <v>172.95</v>
      </c>
      <c r="V9" s="33"/>
      <c r="W9" s="33">
        <v>190.97</v>
      </c>
      <c r="X9" s="33"/>
      <c r="Y9" s="33">
        <v>190.97</v>
      </c>
      <c r="Z9" s="33"/>
      <c r="AA9" s="6"/>
    </row>
    <row r="10" spans="2:27" x14ac:dyDescent="0.4">
      <c r="B10" s="34" t="s">
        <v>16</v>
      </c>
      <c r="C10" s="34"/>
      <c r="D10" s="34"/>
      <c r="E10" s="35">
        <v>71.11</v>
      </c>
      <c r="F10" s="35"/>
      <c r="G10" s="35">
        <v>73.180000000000007</v>
      </c>
      <c r="H10" s="35"/>
      <c r="I10" s="35">
        <v>87.11</v>
      </c>
      <c r="J10" s="35"/>
      <c r="K10" s="36">
        <v>115</v>
      </c>
      <c r="L10" s="36"/>
      <c r="M10" s="36">
        <v>101</v>
      </c>
      <c r="N10" s="36"/>
      <c r="O10" s="36">
        <v>129.9</v>
      </c>
      <c r="P10" s="36"/>
      <c r="Q10" s="35">
        <v>84.11</v>
      </c>
      <c r="R10" s="35"/>
      <c r="S10" s="36">
        <v>129</v>
      </c>
      <c r="T10" s="36"/>
      <c r="U10" s="36">
        <v>129</v>
      </c>
      <c r="V10" s="36"/>
      <c r="W10" s="35">
        <v>85.11</v>
      </c>
      <c r="X10" s="35"/>
      <c r="Y10" s="35">
        <v>85.11</v>
      </c>
      <c r="Z10" s="35"/>
      <c r="AA10" s="6"/>
    </row>
    <row r="11" spans="2:27" ht="19.5" thickBot="1" x14ac:dyDescent="0.45">
      <c r="B11" s="28" t="s">
        <v>17</v>
      </c>
      <c r="C11" s="28"/>
      <c r="D11" s="28"/>
      <c r="E11" s="38">
        <v>10.25</v>
      </c>
      <c r="F11" s="38"/>
      <c r="G11" s="38">
        <v>10.25</v>
      </c>
      <c r="H11" s="38"/>
      <c r="I11" s="38">
        <v>10.25</v>
      </c>
      <c r="J11" s="38"/>
      <c r="K11" s="39">
        <v>10.25</v>
      </c>
      <c r="L11" s="39"/>
      <c r="M11" s="39">
        <v>10.25</v>
      </c>
      <c r="N11" s="39"/>
      <c r="O11" s="39">
        <v>10.25</v>
      </c>
      <c r="P11" s="39"/>
      <c r="Q11" s="39">
        <v>14.6</v>
      </c>
      <c r="R11" s="39"/>
      <c r="S11" s="39">
        <v>10.25</v>
      </c>
      <c r="T11" s="39"/>
      <c r="U11" s="39">
        <v>10.25</v>
      </c>
      <c r="V11" s="39"/>
      <c r="W11" s="39">
        <v>16.7</v>
      </c>
      <c r="X11" s="39"/>
      <c r="Y11" s="39">
        <v>16.7</v>
      </c>
      <c r="Z11" s="39"/>
      <c r="AA11" s="7"/>
    </row>
    <row r="12" spans="2:27" ht="15.75" customHeight="1" thickTop="1" x14ac:dyDescent="0.4">
      <c r="B12" s="31" t="s">
        <v>18</v>
      </c>
      <c r="C12" s="34">
        <v>5000</v>
      </c>
      <c r="D12" s="34">
        <v>25000</v>
      </c>
      <c r="E12" s="3">
        <v>688141</v>
      </c>
      <c r="F12" s="35">
        <f>AVERAGE(E12:E14)</f>
        <v>682978.33333333337</v>
      </c>
      <c r="G12" s="3">
        <v>5020090</v>
      </c>
      <c r="H12" s="42">
        <f>AVERAGE(G12:G14)</f>
        <v>5044129</v>
      </c>
      <c r="I12" s="3"/>
      <c r="J12" s="35"/>
      <c r="K12" s="3">
        <v>7625612</v>
      </c>
      <c r="L12" s="36">
        <f>AVERAGE(K12:K14)</f>
        <v>7570120.666666667</v>
      </c>
      <c r="M12" s="3">
        <v>1205075</v>
      </c>
      <c r="N12" s="36">
        <f>AVERAGE(M12:M14)</f>
        <v>1247220.3333333333</v>
      </c>
      <c r="O12" s="3">
        <v>29477166</v>
      </c>
      <c r="P12" s="35">
        <f>AVERAGE(O12:O14)</f>
        <v>28236843</v>
      </c>
      <c r="Q12" s="3">
        <v>25475377</v>
      </c>
      <c r="R12" s="35">
        <f>AVERAGE(Q12:Q14)</f>
        <v>24571332</v>
      </c>
      <c r="S12" s="3">
        <v>40192083</v>
      </c>
      <c r="T12" s="36">
        <f>AVERAGE(S12:S14)</f>
        <v>39520466.333333336</v>
      </c>
      <c r="U12" s="3"/>
      <c r="V12" s="35"/>
      <c r="W12" s="3">
        <v>1374422</v>
      </c>
      <c r="X12" s="35">
        <f>AVERAGE(W12:W14)</f>
        <v>1382840.6666666667</v>
      </c>
      <c r="Y12" s="3">
        <v>786009</v>
      </c>
      <c r="Z12" s="36">
        <f>AVERAGE(Y12:Y14)</f>
        <v>785731.33333333337</v>
      </c>
      <c r="AA12" s="6"/>
    </row>
    <row r="13" spans="2:27" x14ac:dyDescent="0.4">
      <c r="B13" s="40"/>
      <c r="C13" s="34"/>
      <c r="D13" s="34"/>
      <c r="E13" s="3">
        <v>680124</v>
      </c>
      <c r="F13" s="35"/>
      <c r="G13" s="3">
        <v>5051250</v>
      </c>
      <c r="H13" s="42"/>
      <c r="I13" s="3"/>
      <c r="J13" s="35"/>
      <c r="K13" s="3">
        <v>7594950</v>
      </c>
      <c r="L13" s="36"/>
      <c r="M13" s="3">
        <v>1264853</v>
      </c>
      <c r="N13" s="36"/>
      <c r="O13" s="3">
        <v>27976539</v>
      </c>
      <c r="P13" s="35"/>
      <c r="Q13" s="3">
        <v>24147240</v>
      </c>
      <c r="R13" s="35"/>
      <c r="S13" s="3">
        <v>39349730</v>
      </c>
      <c r="T13" s="36"/>
      <c r="U13" s="3"/>
      <c r="V13" s="35"/>
      <c r="W13" s="3">
        <v>1390405</v>
      </c>
      <c r="X13" s="35"/>
      <c r="Y13" s="3">
        <v>788090</v>
      </c>
      <c r="Z13" s="36"/>
      <c r="AA13" s="6"/>
    </row>
    <row r="14" spans="2:27" x14ac:dyDescent="0.4">
      <c r="B14" s="40"/>
      <c r="C14" s="34"/>
      <c r="D14" s="34"/>
      <c r="E14" s="3">
        <v>680670</v>
      </c>
      <c r="F14" s="35"/>
      <c r="G14" s="3">
        <v>5061047</v>
      </c>
      <c r="H14" s="42"/>
      <c r="I14" s="3"/>
      <c r="J14" s="35"/>
      <c r="K14" s="3">
        <v>7489800</v>
      </c>
      <c r="L14" s="36"/>
      <c r="M14" s="3">
        <v>1271733</v>
      </c>
      <c r="N14" s="36"/>
      <c r="O14" s="3">
        <v>27256824</v>
      </c>
      <c r="P14" s="35"/>
      <c r="Q14" s="3">
        <v>24091379</v>
      </c>
      <c r="R14" s="35"/>
      <c r="S14" s="3">
        <v>39019586</v>
      </c>
      <c r="T14" s="36"/>
      <c r="U14" s="3"/>
      <c r="V14" s="35"/>
      <c r="W14" s="3">
        <v>1383695</v>
      </c>
      <c r="X14" s="35"/>
      <c r="Y14" s="3">
        <v>783095</v>
      </c>
      <c r="Z14" s="36"/>
      <c r="AA14" s="6"/>
    </row>
    <row r="15" spans="2:27" x14ac:dyDescent="0.4">
      <c r="B15" s="40"/>
      <c r="C15" s="34">
        <v>1000</v>
      </c>
      <c r="D15" s="34">
        <v>5000</v>
      </c>
      <c r="E15" s="3">
        <v>273014</v>
      </c>
      <c r="F15" s="35">
        <f>AVERAGE(E15:E17)</f>
        <v>268743.66666666669</v>
      </c>
      <c r="G15" s="3">
        <v>1794504</v>
      </c>
      <c r="H15" s="42">
        <f>AVERAGE(G15:G17)</f>
        <v>1779040</v>
      </c>
      <c r="I15" s="3"/>
      <c r="J15" s="35"/>
      <c r="K15" s="3">
        <v>3950097</v>
      </c>
      <c r="L15" s="36">
        <f>AVERAGE(K15:K17)</f>
        <v>3913835.3333333335</v>
      </c>
      <c r="M15" s="3">
        <v>404272</v>
      </c>
      <c r="N15" s="42">
        <f>AVERAGE(M15:M17)</f>
        <v>395529</v>
      </c>
      <c r="O15" s="3">
        <v>12492207</v>
      </c>
      <c r="P15" s="35">
        <f>AVERAGE(O15:O17)</f>
        <v>12419908.333333334</v>
      </c>
      <c r="Q15" s="3">
        <v>10231565</v>
      </c>
      <c r="R15" s="35">
        <f>AVERAGE(Q15:Q17)</f>
        <v>10155653</v>
      </c>
      <c r="S15" s="3">
        <v>18963398</v>
      </c>
      <c r="T15" s="35">
        <f>AVERAGE(S15:S17)</f>
        <v>18643056</v>
      </c>
      <c r="U15" s="3"/>
      <c r="V15" s="35"/>
      <c r="W15" s="3">
        <v>545573</v>
      </c>
      <c r="X15" s="35">
        <f>AVERAGE(W15:W17)</f>
        <v>529879</v>
      </c>
      <c r="Y15" s="3">
        <v>315023</v>
      </c>
      <c r="Z15" s="36">
        <f>AVERAGE(Y15:Y17)</f>
        <v>310219.66666666669</v>
      </c>
      <c r="AA15" s="6"/>
    </row>
    <row r="16" spans="2:27" x14ac:dyDescent="0.4">
      <c r="B16" s="40"/>
      <c r="C16" s="34"/>
      <c r="D16" s="34"/>
      <c r="E16" s="3">
        <v>260663</v>
      </c>
      <c r="F16" s="35"/>
      <c r="G16" s="3">
        <v>1756401</v>
      </c>
      <c r="H16" s="42"/>
      <c r="I16" s="3"/>
      <c r="J16" s="35"/>
      <c r="K16" s="3">
        <v>3863669</v>
      </c>
      <c r="L16" s="36"/>
      <c r="M16" s="3">
        <v>393831</v>
      </c>
      <c r="N16" s="42"/>
      <c r="O16" s="3">
        <v>12292332</v>
      </c>
      <c r="P16" s="35"/>
      <c r="Q16" s="3">
        <v>10087652</v>
      </c>
      <c r="R16" s="35"/>
      <c r="S16" s="3">
        <v>18425062</v>
      </c>
      <c r="T16" s="35"/>
      <c r="U16" s="3"/>
      <c r="V16" s="35"/>
      <c r="W16" s="3">
        <v>517725</v>
      </c>
      <c r="X16" s="35"/>
      <c r="Y16" s="3">
        <v>308487</v>
      </c>
      <c r="Z16" s="36"/>
      <c r="AA16" s="6"/>
    </row>
    <row r="17" spans="2:27" x14ac:dyDescent="0.4">
      <c r="B17" s="40"/>
      <c r="C17" s="34"/>
      <c r="D17" s="34"/>
      <c r="E17" s="3">
        <v>272554</v>
      </c>
      <c r="F17" s="35"/>
      <c r="G17" s="3">
        <v>1786215</v>
      </c>
      <c r="H17" s="42"/>
      <c r="I17" s="3"/>
      <c r="J17" s="35"/>
      <c r="K17" s="3">
        <v>3927740</v>
      </c>
      <c r="L17" s="36"/>
      <c r="M17" s="3">
        <v>388484</v>
      </c>
      <c r="N17" s="42"/>
      <c r="O17" s="3">
        <v>12475186</v>
      </c>
      <c r="P17" s="35"/>
      <c r="Q17" s="3">
        <v>10147742</v>
      </c>
      <c r="R17" s="35"/>
      <c r="S17" s="3">
        <v>18540708</v>
      </c>
      <c r="T17" s="35"/>
      <c r="U17" s="3"/>
      <c r="V17" s="35"/>
      <c r="W17" s="3">
        <v>526339</v>
      </c>
      <c r="X17" s="35"/>
      <c r="Y17" s="3">
        <v>307149</v>
      </c>
      <c r="Z17" s="36"/>
      <c r="AA17" s="6"/>
    </row>
    <row r="18" spans="2:27" x14ac:dyDescent="0.4">
      <c r="B18" s="40"/>
      <c r="C18" s="34">
        <v>500</v>
      </c>
      <c r="D18" s="34">
        <v>2500</v>
      </c>
      <c r="E18" s="3">
        <v>162414</v>
      </c>
      <c r="F18" s="35">
        <f>AVERAGE(E18:E20)</f>
        <v>164615.66666666666</v>
      </c>
      <c r="G18" s="3">
        <v>1123223</v>
      </c>
      <c r="H18" s="35">
        <f>AVERAGE(G18:G20)</f>
        <v>1118111.3333333333</v>
      </c>
      <c r="I18" s="3"/>
      <c r="J18" s="35"/>
      <c r="K18" s="3">
        <v>2764130</v>
      </c>
      <c r="L18" s="42">
        <f>AVERAGE(K18:K20)</f>
        <v>2751480</v>
      </c>
      <c r="M18" s="3">
        <v>276992</v>
      </c>
      <c r="N18" s="42">
        <f>AVERAGE(M18:M20)</f>
        <v>269829</v>
      </c>
      <c r="O18" s="3">
        <v>8767280</v>
      </c>
      <c r="P18" s="35">
        <f>AVERAGE(O18:O20)</f>
        <v>8777730</v>
      </c>
      <c r="Q18" s="3">
        <v>7522184</v>
      </c>
      <c r="R18" s="35">
        <f>AVERAGE(Q18:Q20)</f>
        <v>7496871</v>
      </c>
      <c r="S18" s="3">
        <v>13236266</v>
      </c>
      <c r="T18" s="35">
        <f>AVERAGE(S18:S20)</f>
        <v>13125297.333333334</v>
      </c>
      <c r="U18" s="3"/>
      <c r="V18" s="35"/>
      <c r="W18" s="3">
        <v>342415</v>
      </c>
      <c r="X18" s="36">
        <f>AVERAGE(W18:W20)</f>
        <v>338697.33333333331</v>
      </c>
      <c r="Y18" s="3">
        <v>200539</v>
      </c>
      <c r="Z18" s="36">
        <f>AVERAGE(Y18:Y20)</f>
        <v>198285.66666666666</v>
      </c>
      <c r="AA18" s="6"/>
    </row>
    <row r="19" spans="2:27" x14ac:dyDescent="0.4">
      <c r="B19" s="40"/>
      <c r="C19" s="34"/>
      <c r="D19" s="34"/>
      <c r="E19" s="3">
        <v>166912</v>
      </c>
      <c r="F19" s="35"/>
      <c r="G19" s="3">
        <v>1129551</v>
      </c>
      <c r="H19" s="35"/>
      <c r="I19" s="3"/>
      <c r="J19" s="35"/>
      <c r="K19" s="3">
        <v>2710889</v>
      </c>
      <c r="L19" s="42"/>
      <c r="M19" s="3">
        <v>264753</v>
      </c>
      <c r="N19" s="42"/>
      <c r="O19" s="3">
        <v>8674456</v>
      </c>
      <c r="P19" s="35"/>
      <c r="Q19" s="3">
        <v>7392856</v>
      </c>
      <c r="R19" s="35"/>
      <c r="S19" s="3">
        <v>13015638</v>
      </c>
      <c r="T19" s="35"/>
      <c r="U19" s="3"/>
      <c r="V19" s="35"/>
      <c r="W19" s="3">
        <v>338452</v>
      </c>
      <c r="X19" s="36"/>
      <c r="Y19" s="3">
        <v>194541</v>
      </c>
      <c r="Z19" s="36"/>
      <c r="AA19" s="6"/>
    </row>
    <row r="20" spans="2:27" x14ac:dyDescent="0.4">
      <c r="B20" s="40"/>
      <c r="C20" s="34"/>
      <c r="D20" s="34"/>
      <c r="E20" s="3">
        <v>164521</v>
      </c>
      <c r="F20" s="35"/>
      <c r="G20" s="3">
        <v>1101560</v>
      </c>
      <c r="H20" s="35"/>
      <c r="I20" s="3"/>
      <c r="J20" s="35"/>
      <c r="K20" s="3">
        <v>2779421</v>
      </c>
      <c r="L20" s="42"/>
      <c r="M20" s="3">
        <v>267742</v>
      </c>
      <c r="N20" s="42"/>
      <c r="O20" s="3">
        <v>8891454</v>
      </c>
      <c r="P20" s="35"/>
      <c r="Q20" s="3">
        <v>7575573</v>
      </c>
      <c r="R20" s="35"/>
      <c r="S20" s="3">
        <v>13123988</v>
      </c>
      <c r="T20" s="35"/>
      <c r="U20" s="3"/>
      <c r="V20" s="35"/>
      <c r="W20" s="3">
        <v>335225</v>
      </c>
      <c r="X20" s="36"/>
      <c r="Y20" s="3">
        <v>199777</v>
      </c>
      <c r="Z20" s="36"/>
      <c r="AA20" s="6"/>
    </row>
    <row r="21" spans="2:27" x14ac:dyDescent="0.4">
      <c r="B21" s="40"/>
      <c r="C21" s="34">
        <v>100</v>
      </c>
      <c r="D21" s="34">
        <v>500</v>
      </c>
      <c r="E21" s="3">
        <v>40886</v>
      </c>
      <c r="F21" s="36">
        <f>AVERAGE(E21:E23)</f>
        <v>40950.333333333336</v>
      </c>
      <c r="G21" s="3">
        <v>303109</v>
      </c>
      <c r="H21" s="36">
        <f>AVERAGE(G21:G23)</f>
        <v>303054.66666666669</v>
      </c>
      <c r="I21" s="3"/>
      <c r="J21" s="35"/>
      <c r="K21" s="3">
        <v>938879</v>
      </c>
      <c r="L21" s="36">
        <f>AVERAGE(K21:K23)</f>
        <v>930651.33333333337</v>
      </c>
      <c r="M21" s="3">
        <v>66401</v>
      </c>
      <c r="N21" s="36">
        <f>AVERAGE(M21:M23)</f>
        <v>67281.333333333328</v>
      </c>
      <c r="O21" s="3">
        <v>2481616</v>
      </c>
      <c r="P21" s="36">
        <f>AVERAGE(O21:O23)</f>
        <v>2513579.6666666665</v>
      </c>
      <c r="Q21" s="3">
        <v>1927793</v>
      </c>
      <c r="R21" s="36">
        <f>AVERAGE(Q21:Q23)</f>
        <v>1942352.3333333333</v>
      </c>
      <c r="S21" s="3">
        <v>5012069</v>
      </c>
      <c r="T21" s="36">
        <f>AVERAGE(S21:S23)</f>
        <v>5039654.333333333</v>
      </c>
      <c r="U21" s="3"/>
      <c r="V21" s="35"/>
      <c r="W21" s="3">
        <v>93473</v>
      </c>
      <c r="X21" s="36">
        <f>AVERAGE(W21:W23)</f>
        <v>93380.666666666672</v>
      </c>
      <c r="Y21" s="3">
        <v>53254</v>
      </c>
      <c r="Z21" s="36">
        <f>AVERAGE(Y21:Y23)</f>
        <v>53883.666666666664</v>
      </c>
      <c r="AA21" s="6"/>
    </row>
    <row r="22" spans="2:27" x14ac:dyDescent="0.4">
      <c r="B22" s="40"/>
      <c r="C22" s="34"/>
      <c r="D22" s="34"/>
      <c r="E22" s="3">
        <v>40631</v>
      </c>
      <c r="F22" s="36"/>
      <c r="G22" s="3">
        <v>306256</v>
      </c>
      <c r="H22" s="36"/>
      <c r="I22" s="3"/>
      <c r="J22" s="35"/>
      <c r="K22" s="3">
        <v>920338</v>
      </c>
      <c r="L22" s="36"/>
      <c r="M22" s="3">
        <v>68624</v>
      </c>
      <c r="N22" s="36"/>
      <c r="O22" s="3">
        <v>2496717</v>
      </c>
      <c r="P22" s="36"/>
      <c r="Q22" s="3">
        <v>1918457</v>
      </c>
      <c r="R22" s="36"/>
      <c r="S22" s="3">
        <v>5090413</v>
      </c>
      <c r="T22" s="36"/>
      <c r="U22" s="3"/>
      <c r="V22" s="35"/>
      <c r="W22" s="3">
        <v>93538</v>
      </c>
      <c r="X22" s="36"/>
      <c r="Y22" s="3">
        <v>53794</v>
      </c>
      <c r="Z22" s="36"/>
      <c r="AA22" s="6"/>
    </row>
    <row r="23" spans="2:27" x14ac:dyDescent="0.4">
      <c r="B23" s="40"/>
      <c r="C23" s="34"/>
      <c r="D23" s="34"/>
      <c r="E23" s="3">
        <v>41334</v>
      </c>
      <c r="F23" s="36"/>
      <c r="G23" s="3">
        <v>299799</v>
      </c>
      <c r="H23" s="36"/>
      <c r="I23" s="3"/>
      <c r="J23" s="35"/>
      <c r="K23" s="3">
        <v>932737</v>
      </c>
      <c r="L23" s="36"/>
      <c r="M23" s="3">
        <v>66819</v>
      </c>
      <c r="N23" s="36"/>
      <c r="O23" s="3">
        <v>2562406</v>
      </c>
      <c r="P23" s="36"/>
      <c r="Q23" s="3">
        <v>1980807</v>
      </c>
      <c r="R23" s="36"/>
      <c r="S23" s="3">
        <v>5016481</v>
      </c>
      <c r="T23" s="36"/>
      <c r="U23" s="3"/>
      <c r="V23" s="35"/>
      <c r="W23" s="3">
        <v>93131</v>
      </c>
      <c r="X23" s="36"/>
      <c r="Y23" s="3">
        <v>54603</v>
      </c>
      <c r="Z23" s="36"/>
      <c r="AA23" s="6"/>
    </row>
    <row r="24" spans="2:27" x14ac:dyDescent="0.4">
      <c r="B24" s="40"/>
      <c r="C24" s="34">
        <v>50</v>
      </c>
      <c r="D24" s="34">
        <v>250</v>
      </c>
      <c r="E24" s="3">
        <v>22126</v>
      </c>
      <c r="F24" s="35">
        <f>AVERAGE(E24:E26)</f>
        <v>21988</v>
      </c>
      <c r="G24" s="3">
        <v>167343</v>
      </c>
      <c r="H24" s="35">
        <f>AVERAGE(G24:G26)</f>
        <v>163861</v>
      </c>
      <c r="I24" s="3"/>
      <c r="J24" s="35"/>
      <c r="K24" s="3">
        <v>525834</v>
      </c>
      <c r="L24" s="36">
        <f>AVERAGE(K24:K26)</f>
        <v>523920.33333333331</v>
      </c>
      <c r="M24" s="3">
        <v>35247</v>
      </c>
      <c r="N24" s="35">
        <f>AVERAGE(M24:M26)</f>
        <v>36497</v>
      </c>
      <c r="O24" s="3">
        <v>1529689</v>
      </c>
      <c r="P24" s="36">
        <f>AVERAGE(O24:O26)</f>
        <v>1508100.6666666667</v>
      </c>
      <c r="Q24" s="3">
        <v>1116567</v>
      </c>
      <c r="R24" s="35">
        <f>AVERAGE(Q24:Q26)</f>
        <v>1082150</v>
      </c>
      <c r="S24" s="3">
        <v>3080426</v>
      </c>
      <c r="T24" s="35">
        <f>AVERAGE(S24:S26)</f>
        <v>3007964</v>
      </c>
      <c r="U24" s="3"/>
      <c r="V24" s="35"/>
      <c r="W24" s="3">
        <v>49337</v>
      </c>
      <c r="X24" s="36">
        <f>AVERAGE(W24:W26)</f>
        <v>48512.333333333336</v>
      </c>
      <c r="Y24" s="3">
        <v>28954</v>
      </c>
      <c r="Z24" s="35">
        <f>AVERAGE(Y24:Y26)</f>
        <v>29154</v>
      </c>
      <c r="AA24" s="6"/>
    </row>
    <row r="25" spans="2:27" x14ac:dyDescent="0.4">
      <c r="B25" s="40"/>
      <c r="C25" s="34"/>
      <c r="D25" s="34"/>
      <c r="E25" s="3">
        <v>21812</v>
      </c>
      <c r="F25" s="35"/>
      <c r="G25" s="3">
        <v>162169</v>
      </c>
      <c r="H25" s="35"/>
      <c r="I25" s="3"/>
      <c r="J25" s="35"/>
      <c r="K25" s="3">
        <v>525574</v>
      </c>
      <c r="L25" s="36"/>
      <c r="M25" s="3">
        <v>36678</v>
      </c>
      <c r="N25" s="35"/>
      <c r="O25" s="3">
        <v>1526873</v>
      </c>
      <c r="P25" s="36"/>
      <c r="Q25" s="3">
        <v>1076231</v>
      </c>
      <c r="R25" s="35"/>
      <c r="S25" s="3">
        <v>3043374</v>
      </c>
      <c r="T25" s="35"/>
      <c r="U25" s="3"/>
      <c r="V25" s="35"/>
      <c r="W25" s="3">
        <v>48146</v>
      </c>
      <c r="X25" s="36"/>
      <c r="Y25" s="3">
        <v>29598</v>
      </c>
      <c r="Z25" s="35"/>
      <c r="AA25" s="6"/>
    </row>
    <row r="26" spans="2:27" x14ac:dyDescent="0.4">
      <c r="B26" s="40"/>
      <c r="C26" s="34"/>
      <c r="D26" s="34"/>
      <c r="E26" s="3">
        <v>22026</v>
      </c>
      <c r="F26" s="35"/>
      <c r="G26" s="3">
        <v>162071</v>
      </c>
      <c r="H26" s="35"/>
      <c r="I26" s="3"/>
      <c r="J26" s="35"/>
      <c r="K26" s="3">
        <v>520353</v>
      </c>
      <c r="L26" s="36"/>
      <c r="M26" s="3">
        <v>37566</v>
      </c>
      <c r="N26" s="35"/>
      <c r="O26" s="3">
        <v>1467740</v>
      </c>
      <c r="P26" s="36"/>
      <c r="Q26" s="3">
        <v>1053652</v>
      </c>
      <c r="R26" s="35"/>
      <c r="S26" s="3">
        <v>2900092</v>
      </c>
      <c r="T26" s="35"/>
      <c r="U26" s="3"/>
      <c r="V26" s="35"/>
      <c r="W26" s="3">
        <v>48054</v>
      </c>
      <c r="X26" s="36"/>
      <c r="Y26" s="3">
        <v>28910</v>
      </c>
      <c r="Z26" s="35"/>
      <c r="AA26" s="6"/>
    </row>
    <row r="27" spans="2:27" x14ac:dyDescent="0.4">
      <c r="B27" s="40"/>
      <c r="C27" s="34">
        <v>10</v>
      </c>
      <c r="D27" s="34">
        <v>50</v>
      </c>
      <c r="E27" s="3">
        <v>4325</v>
      </c>
      <c r="F27" s="36">
        <f>AVERAGE(E27:E29)</f>
        <v>4620.666666666667</v>
      </c>
      <c r="G27" s="3">
        <v>31324</v>
      </c>
      <c r="H27" s="36">
        <f>AVERAGE(G27:G29)</f>
        <v>31419.333333333332</v>
      </c>
      <c r="I27" s="3"/>
      <c r="J27" s="35"/>
      <c r="K27" s="3">
        <v>95754</v>
      </c>
      <c r="L27" s="42">
        <f>AVERAGE(K27:K29)</f>
        <v>95172</v>
      </c>
      <c r="M27" s="3">
        <v>7557</v>
      </c>
      <c r="N27" s="35">
        <f>AVERAGE(M27:M29)</f>
        <v>7817</v>
      </c>
      <c r="O27" s="3">
        <v>374018</v>
      </c>
      <c r="P27" s="36">
        <f>AVERAGE(O27:O29)</f>
        <v>370293.66666666669</v>
      </c>
      <c r="Q27" s="3">
        <v>250413</v>
      </c>
      <c r="R27" s="36">
        <f>AVERAGE(Q27:Q29)</f>
        <v>244512.33333333334</v>
      </c>
      <c r="S27" s="3">
        <v>666654</v>
      </c>
      <c r="T27" s="35">
        <f>AVERAGE(S27:S29)</f>
        <v>675789</v>
      </c>
      <c r="U27" s="3"/>
      <c r="V27" s="35"/>
      <c r="W27" s="3">
        <v>6841</v>
      </c>
      <c r="X27" s="35">
        <f>AVERAGE(W27:W29)</f>
        <v>7197</v>
      </c>
      <c r="Y27" s="3">
        <v>5341</v>
      </c>
      <c r="Z27" s="35">
        <f>AVERAGE(Y27:Y29)</f>
        <v>5521</v>
      </c>
      <c r="AA27" s="6"/>
    </row>
    <row r="28" spans="2:27" x14ac:dyDescent="0.4">
      <c r="B28" s="40"/>
      <c r="C28" s="34"/>
      <c r="D28" s="34"/>
      <c r="E28" s="3">
        <v>4623</v>
      </c>
      <c r="F28" s="36"/>
      <c r="G28" s="3">
        <v>32018</v>
      </c>
      <c r="H28" s="36"/>
      <c r="I28" s="3"/>
      <c r="J28" s="35"/>
      <c r="K28" s="3">
        <v>95838</v>
      </c>
      <c r="L28" s="42"/>
      <c r="M28" s="3">
        <v>7334</v>
      </c>
      <c r="N28" s="35"/>
      <c r="O28" s="3">
        <v>367021</v>
      </c>
      <c r="P28" s="36"/>
      <c r="Q28" s="3">
        <v>240316</v>
      </c>
      <c r="R28" s="36"/>
      <c r="S28" s="3">
        <v>692943</v>
      </c>
      <c r="T28" s="35"/>
      <c r="U28" s="3"/>
      <c r="V28" s="35"/>
      <c r="W28" s="3">
        <v>7560</v>
      </c>
      <c r="X28" s="35"/>
      <c r="Y28" s="3">
        <v>5439</v>
      </c>
      <c r="Z28" s="35"/>
      <c r="AA28" s="6"/>
    </row>
    <row r="29" spans="2:27" x14ac:dyDescent="0.4">
      <c r="B29" s="40"/>
      <c r="C29" s="34"/>
      <c r="D29" s="34"/>
      <c r="E29" s="3">
        <v>4914</v>
      </c>
      <c r="F29" s="36"/>
      <c r="G29" s="3">
        <v>30916</v>
      </c>
      <c r="H29" s="36"/>
      <c r="I29" s="3"/>
      <c r="J29" s="35"/>
      <c r="K29" s="3">
        <v>93924</v>
      </c>
      <c r="L29" s="42"/>
      <c r="M29" s="3">
        <v>8560</v>
      </c>
      <c r="N29" s="35"/>
      <c r="O29" s="3">
        <v>369842</v>
      </c>
      <c r="P29" s="36"/>
      <c r="Q29" s="3">
        <v>242808</v>
      </c>
      <c r="R29" s="36"/>
      <c r="S29" s="3">
        <v>667770</v>
      </c>
      <c r="T29" s="35"/>
      <c r="U29" s="3"/>
      <c r="V29" s="35"/>
      <c r="W29" s="3">
        <v>7190</v>
      </c>
      <c r="X29" s="35"/>
      <c r="Y29" s="3">
        <v>5783</v>
      </c>
      <c r="Z29" s="35"/>
      <c r="AA29" s="6"/>
    </row>
    <row r="30" spans="2:27" x14ac:dyDescent="0.4">
      <c r="B30" s="40"/>
      <c r="C30" s="34">
        <v>5</v>
      </c>
      <c r="D30" s="34">
        <v>25</v>
      </c>
      <c r="E30" s="3">
        <v>2272</v>
      </c>
      <c r="F30" s="35">
        <f>AVERAGE(E30:E32)</f>
        <v>2424</v>
      </c>
      <c r="G30" s="3">
        <v>16234</v>
      </c>
      <c r="H30" s="35">
        <f>AVERAGE(G30:G32)</f>
        <v>16169</v>
      </c>
      <c r="I30" s="3"/>
      <c r="J30" s="35"/>
      <c r="K30" s="3">
        <v>39809</v>
      </c>
      <c r="L30" s="36">
        <f>AVERAGE(K30:K32)</f>
        <v>39191.333333333336</v>
      </c>
      <c r="M30" s="3">
        <v>4043</v>
      </c>
      <c r="N30" s="35">
        <f>AVERAGE(M30:M32)</f>
        <v>4228</v>
      </c>
      <c r="O30" s="3">
        <v>194273</v>
      </c>
      <c r="P30" s="36">
        <f>AVERAGE(O30:O32)</f>
        <v>194851.66666666666</v>
      </c>
      <c r="Q30" s="3">
        <v>128533</v>
      </c>
      <c r="R30" s="35">
        <f>AVERAGE(Q30:Q32)</f>
        <v>126902</v>
      </c>
      <c r="S30" s="3">
        <v>301671</v>
      </c>
      <c r="T30" s="35">
        <f>AVERAGE(S30:S32)</f>
        <v>299584</v>
      </c>
      <c r="U30" s="3"/>
      <c r="V30" s="35"/>
      <c r="W30" s="3">
        <v>3121</v>
      </c>
      <c r="X30" s="36">
        <f>AVERAGE(W30:W32)</f>
        <v>3172.3333333333335</v>
      </c>
      <c r="Y30" s="3">
        <v>2605</v>
      </c>
      <c r="Z30" s="36">
        <f>AVERAGE(Y30:Y32)</f>
        <v>2551.6666666666665</v>
      </c>
      <c r="AA30" s="6"/>
    </row>
    <row r="31" spans="2:27" x14ac:dyDescent="0.4">
      <c r="B31" s="40"/>
      <c r="C31" s="34"/>
      <c r="D31" s="34"/>
      <c r="E31" s="3">
        <v>2337</v>
      </c>
      <c r="F31" s="35"/>
      <c r="G31" s="3">
        <v>15604</v>
      </c>
      <c r="H31" s="35"/>
      <c r="I31" s="3"/>
      <c r="J31" s="35"/>
      <c r="K31" s="3">
        <v>39535</v>
      </c>
      <c r="L31" s="36"/>
      <c r="M31" s="3">
        <v>4081</v>
      </c>
      <c r="N31" s="35"/>
      <c r="O31" s="3">
        <v>198194</v>
      </c>
      <c r="P31" s="36"/>
      <c r="Q31" s="3">
        <v>128053</v>
      </c>
      <c r="R31" s="35"/>
      <c r="S31" s="3">
        <v>298304</v>
      </c>
      <c r="T31" s="35"/>
      <c r="U31" s="3"/>
      <c r="V31" s="35"/>
      <c r="W31" s="3">
        <v>3022</v>
      </c>
      <c r="X31" s="36"/>
      <c r="Y31" s="3">
        <v>2577</v>
      </c>
      <c r="Z31" s="36"/>
      <c r="AA31" s="6"/>
    </row>
    <row r="32" spans="2:27" x14ac:dyDescent="0.4">
      <c r="B32" s="40"/>
      <c r="C32" s="34"/>
      <c r="D32" s="34"/>
      <c r="E32" s="3">
        <v>2663</v>
      </c>
      <c r="F32" s="35"/>
      <c r="G32" s="3">
        <v>16669</v>
      </c>
      <c r="H32" s="35"/>
      <c r="I32" s="3"/>
      <c r="J32" s="35"/>
      <c r="K32" s="3">
        <v>38230</v>
      </c>
      <c r="L32" s="36"/>
      <c r="M32" s="3">
        <v>4560</v>
      </c>
      <c r="N32" s="35"/>
      <c r="O32" s="3">
        <v>192088</v>
      </c>
      <c r="P32" s="36"/>
      <c r="Q32" s="3">
        <v>124120</v>
      </c>
      <c r="R32" s="35"/>
      <c r="S32" s="3">
        <v>298777</v>
      </c>
      <c r="T32" s="35"/>
      <c r="U32" s="3"/>
      <c r="V32" s="35"/>
      <c r="W32" s="3">
        <v>3374</v>
      </c>
      <c r="X32" s="36"/>
      <c r="Y32" s="3">
        <v>2473</v>
      </c>
      <c r="Z32" s="36"/>
      <c r="AA32" s="6"/>
    </row>
    <row r="33" spans="2:27" x14ac:dyDescent="0.4">
      <c r="B33" s="40"/>
      <c r="C33" s="34">
        <v>1</v>
      </c>
      <c r="D33" s="34">
        <v>5</v>
      </c>
      <c r="E33" s="3"/>
      <c r="F33" s="35"/>
      <c r="G33" s="3">
        <v>3923</v>
      </c>
      <c r="H33" s="36">
        <f>AVERAGE(G33:G35)</f>
        <v>3924.3333333333335</v>
      </c>
      <c r="I33" s="3"/>
      <c r="J33" s="35"/>
      <c r="K33" s="3">
        <v>7318</v>
      </c>
      <c r="L33" s="36">
        <f>AVERAGE(K33:K35)</f>
        <v>6894.333333333333</v>
      </c>
      <c r="M33" s="3"/>
      <c r="N33" s="35"/>
      <c r="O33" s="3">
        <v>37791</v>
      </c>
      <c r="P33" s="35">
        <f>AVERAGE(O33:O35)</f>
        <v>36782</v>
      </c>
      <c r="Q33" s="3">
        <v>25932</v>
      </c>
      <c r="R33" s="36">
        <f>AVERAGE(Q33:Q35)</f>
        <v>25276.333333333332</v>
      </c>
      <c r="S33" s="3">
        <v>50884</v>
      </c>
      <c r="T33" s="36">
        <f>AVERAGE(S33:S35)</f>
        <v>49930.333333333336</v>
      </c>
      <c r="U33" s="3"/>
      <c r="V33" s="35"/>
      <c r="W33" s="3">
        <v>740</v>
      </c>
      <c r="X33" s="36">
        <f>AVERAGE(W33:W35)</f>
        <v>688.66666666666663</v>
      </c>
      <c r="Y33" s="3">
        <v>413</v>
      </c>
      <c r="Z33" s="35">
        <f>AVERAGE(Y33:Y35)</f>
        <v>463</v>
      </c>
      <c r="AA33" s="6"/>
    </row>
    <row r="34" spans="2:27" x14ac:dyDescent="0.4">
      <c r="B34" s="40"/>
      <c r="C34" s="34"/>
      <c r="D34" s="34"/>
      <c r="E34" s="3"/>
      <c r="F34" s="35"/>
      <c r="G34" s="3">
        <v>4014</v>
      </c>
      <c r="H34" s="36"/>
      <c r="I34" s="3"/>
      <c r="J34" s="35"/>
      <c r="K34" s="3">
        <v>6811</v>
      </c>
      <c r="L34" s="36"/>
      <c r="M34" s="3"/>
      <c r="N34" s="35"/>
      <c r="O34" s="3">
        <v>37248</v>
      </c>
      <c r="P34" s="35"/>
      <c r="Q34" s="3">
        <v>25931</v>
      </c>
      <c r="R34" s="36"/>
      <c r="S34" s="3">
        <v>50686</v>
      </c>
      <c r="T34" s="36"/>
      <c r="U34" s="3"/>
      <c r="V34" s="35"/>
      <c r="W34" s="3">
        <v>713</v>
      </c>
      <c r="X34" s="36"/>
      <c r="Y34" s="3">
        <v>553</v>
      </c>
      <c r="Z34" s="35"/>
      <c r="AA34" s="6"/>
    </row>
    <row r="35" spans="2:27" x14ac:dyDescent="0.4">
      <c r="B35" s="40"/>
      <c r="C35" s="34"/>
      <c r="D35" s="34"/>
      <c r="E35" s="3">
        <v>318</v>
      </c>
      <c r="F35" s="35"/>
      <c r="G35" s="3">
        <v>3836</v>
      </c>
      <c r="H35" s="36"/>
      <c r="I35" s="3"/>
      <c r="J35" s="35"/>
      <c r="K35" s="3">
        <v>6554</v>
      </c>
      <c r="L35" s="36"/>
      <c r="M35" s="3"/>
      <c r="N35" s="35"/>
      <c r="O35" s="3">
        <v>35307</v>
      </c>
      <c r="P35" s="35"/>
      <c r="Q35" s="3">
        <v>23966</v>
      </c>
      <c r="R35" s="36"/>
      <c r="S35" s="3">
        <v>48221</v>
      </c>
      <c r="T35" s="36"/>
      <c r="U35" s="3"/>
      <c r="V35" s="35"/>
      <c r="W35" s="3">
        <v>613</v>
      </c>
      <c r="X35" s="36"/>
      <c r="Y35" s="3">
        <v>423</v>
      </c>
      <c r="Z35" s="35"/>
      <c r="AA35" s="6"/>
    </row>
    <row r="36" spans="2:27" x14ac:dyDescent="0.4">
      <c r="B36" s="40"/>
      <c r="C36" s="34">
        <v>0.5</v>
      </c>
      <c r="D36" s="34">
        <v>2.5</v>
      </c>
      <c r="E36" s="3"/>
      <c r="F36" s="35"/>
      <c r="G36" s="3">
        <v>1418</v>
      </c>
      <c r="H36" s="35">
        <f>AVERAGE(G36:G38)</f>
        <v>1865</v>
      </c>
      <c r="I36" s="3"/>
      <c r="J36" s="35"/>
      <c r="K36" s="3">
        <v>3635</v>
      </c>
      <c r="L36" s="36">
        <f>AVERAGE(K36:K38)</f>
        <v>3668.3333333333335</v>
      </c>
      <c r="M36" s="3"/>
      <c r="N36" s="35"/>
      <c r="O36" s="3">
        <v>17881</v>
      </c>
      <c r="P36" s="36">
        <f>AVERAGE(O36:O38)</f>
        <v>18462.333333333332</v>
      </c>
      <c r="Q36" s="3">
        <v>12646</v>
      </c>
      <c r="R36" s="36">
        <f>AVERAGE(Q36:Q38)</f>
        <v>13080.333333333334</v>
      </c>
      <c r="S36" s="3">
        <v>25670</v>
      </c>
      <c r="T36" s="36">
        <f>AVERAGE(S36:S38)</f>
        <v>25743.666666666668</v>
      </c>
      <c r="U36" s="3"/>
      <c r="V36" s="35"/>
      <c r="W36" s="3">
        <v>236</v>
      </c>
      <c r="X36" s="36">
        <f>AVERAGE(W36:W38)</f>
        <v>297.33333333333331</v>
      </c>
      <c r="Y36" s="3">
        <v>255</v>
      </c>
      <c r="Z36" s="36">
        <f>AVERAGE(Y36:Y38)</f>
        <v>217.66666666666666</v>
      </c>
      <c r="AA36" s="6"/>
    </row>
    <row r="37" spans="2:27" x14ac:dyDescent="0.4">
      <c r="B37" s="40"/>
      <c r="C37" s="34"/>
      <c r="D37" s="34"/>
      <c r="E37" s="3"/>
      <c r="F37" s="35"/>
      <c r="G37" s="3">
        <v>2243</v>
      </c>
      <c r="H37" s="35"/>
      <c r="I37" s="3"/>
      <c r="J37" s="35"/>
      <c r="K37" s="3">
        <v>3863</v>
      </c>
      <c r="L37" s="36"/>
      <c r="M37" s="3"/>
      <c r="N37" s="35"/>
      <c r="O37" s="3">
        <v>18799</v>
      </c>
      <c r="P37" s="36"/>
      <c r="Q37" s="3">
        <v>13400</v>
      </c>
      <c r="R37" s="36"/>
      <c r="S37" s="3">
        <v>25491</v>
      </c>
      <c r="T37" s="36"/>
      <c r="U37" s="3"/>
      <c r="V37" s="35"/>
      <c r="W37" s="3">
        <v>319</v>
      </c>
      <c r="X37" s="36"/>
      <c r="Y37" s="3">
        <v>139</v>
      </c>
      <c r="Z37" s="36"/>
      <c r="AA37" s="6"/>
    </row>
    <row r="38" spans="2:27" x14ac:dyDescent="0.4">
      <c r="B38" s="40"/>
      <c r="C38" s="34"/>
      <c r="D38" s="34"/>
      <c r="E38" s="3"/>
      <c r="F38" s="35"/>
      <c r="G38" s="3">
        <v>1934</v>
      </c>
      <c r="H38" s="35"/>
      <c r="I38" s="3"/>
      <c r="J38" s="35"/>
      <c r="K38" s="3">
        <v>3507</v>
      </c>
      <c r="L38" s="36"/>
      <c r="M38" s="3"/>
      <c r="N38" s="35"/>
      <c r="O38" s="3">
        <v>18707</v>
      </c>
      <c r="P38" s="36"/>
      <c r="Q38" s="3">
        <v>13195</v>
      </c>
      <c r="R38" s="36"/>
      <c r="S38" s="3">
        <v>26070</v>
      </c>
      <c r="T38" s="36"/>
      <c r="U38" s="3"/>
      <c r="V38" s="35"/>
      <c r="W38" s="3">
        <v>337</v>
      </c>
      <c r="X38" s="36"/>
      <c r="Y38" s="3">
        <v>259</v>
      </c>
      <c r="Z38" s="36"/>
      <c r="AA38" s="6"/>
    </row>
    <row r="39" spans="2:27" x14ac:dyDescent="0.4">
      <c r="B39" s="40"/>
      <c r="C39" s="34">
        <v>0.1</v>
      </c>
      <c r="D39" s="34">
        <v>0.5</v>
      </c>
      <c r="E39" s="3"/>
      <c r="F39" s="35"/>
      <c r="G39" s="3"/>
      <c r="H39" s="35"/>
      <c r="I39" s="3"/>
      <c r="J39" s="35"/>
      <c r="K39" s="3">
        <v>771</v>
      </c>
      <c r="L39" s="42">
        <f>AVERAGE(K39:K41)</f>
        <v>797</v>
      </c>
      <c r="M39" s="3"/>
      <c r="N39" s="35"/>
      <c r="O39" s="3">
        <v>3676</v>
      </c>
      <c r="P39" s="36">
        <f>AVERAGE(O39:O41)</f>
        <v>3650.3333333333335</v>
      </c>
      <c r="Q39" s="3">
        <v>2503</v>
      </c>
      <c r="R39" s="36">
        <f>AVERAGE(Q39:Q41)</f>
        <v>2686.6666666666665</v>
      </c>
      <c r="S39" s="3">
        <v>4735</v>
      </c>
      <c r="T39" s="35">
        <f>AVERAGE(S39:S41)</f>
        <v>5133</v>
      </c>
      <c r="U39" s="3"/>
      <c r="V39" s="35"/>
      <c r="W39" s="3">
        <v>27.66</v>
      </c>
      <c r="X39" s="36">
        <f>AVERAGE(W39:W41)</f>
        <v>51.913333333333334</v>
      </c>
      <c r="Y39" s="3">
        <v>22.27</v>
      </c>
      <c r="Z39" s="36">
        <f>AVERAGE(Y39:Y41)</f>
        <v>43.826666666666661</v>
      </c>
      <c r="AA39" s="6"/>
    </row>
    <row r="40" spans="2:27" x14ac:dyDescent="0.4">
      <c r="B40" s="40"/>
      <c r="C40" s="34"/>
      <c r="D40" s="34"/>
      <c r="E40" s="3"/>
      <c r="F40" s="35"/>
      <c r="G40" s="3"/>
      <c r="H40" s="35"/>
      <c r="I40" s="3"/>
      <c r="J40" s="35"/>
      <c r="K40" s="3">
        <v>866</v>
      </c>
      <c r="L40" s="42"/>
      <c r="M40" s="3"/>
      <c r="N40" s="35"/>
      <c r="O40" s="3">
        <v>3810</v>
      </c>
      <c r="P40" s="36"/>
      <c r="Q40" s="3">
        <v>3045</v>
      </c>
      <c r="R40" s="36"/>
      <c r="S40" s="3">
        <v>5135</v>
      </c>
      <c r="T40" s="35"/>
      <c r="U40" s="3"/>
      <c r="V40" s="35"/>
      <c r="W40" s="3">
        <v>53.22</v>
      </c>
      <c r="X40" s="36"/>
      <c r="Y40" s="3">
        <v>62.73</v>
      </c>
      <c r="Z40" s="36"/>
      <c r="AA40" s="6"/>
    </row>
    <row r="41" spans="2:27" x14ac:dyDescent="0.4">
      <c r="B41" s="40"/>
      <c r="C41" s="34"/>
      <c r="D41" s="34"/>
      <c r="E41" s="3"/>
      <c r="F41" s="35"/>
      <c r="G41" s="3"/>
      <c r="H41" s="35"/>
      <c r="I41" s="3"/>
      <c r="J41" s="35"/>
      <c r="K41" s="3">
        <v>754</v>
      </c>
      <c r="L41" s="42"/>
      <c r="M41" s="3"/>
      <c r="N41" s="35"/>
      <c r="O41" s="3">
        <v>3465</v>
      </c>
      <c r="P41" s="36"/>
      <c r="Q41" s="3">
        <v>2512</v>
      </c>
      <c r="R41" s="36"/>
      <c r="S41" s="3">
        <v>5529</v>
      </c>
      <c r="T41" s="35"/>
      <c r="U41" s="3"/>
      <c r="V41" s="35"/>
      <c r="W41" s="3">
        <v>74.86</v>
      </c>
      <c r="X41" s="36"/>
      <c r="Y41" s="3">
        <v>46.48</v>
      </c>
      <c r="Z41" s="36"/>
      <c r="AA41" s="6"/>
    </row>
    <row r="42" spans="2:27" x14ac:dyDescent="0.4">
      <c r="B42" s="40"/>
      <c r="C42" s="34">
        <v>0.05</v>
      </c>
      <c r="D42" s="34">
        <v>0.25</v>
      </c>
      <c r="E42" s="3"/>
      <c r="F42" s="35"/>
      <c r="G42" s="3"/>
      <c r="H42" s="35"/>
      <c r="I42" s="3"/>
      <c r="J42" s="35"/>
      <c r="K42" s="3">
        <v>622</v>
      </c>
      <c r="L42" s="36">
        <f>AVERAGE(K42:K44)</f>
        <v>640.66666666666663</v>
      </c>
      <c r="M42" s="3"/>
      <c r="N42" s="35"/>
      <c r="O42" s="3">
        <v>1704</v>
      </c>
      <c r="P42" s="36">
        <f>AVERAGE(O42:O44)</f>
        <v>1812.3333333333333</v>
      </c>
      <c r="Q42" s="3">
        <v>1409</v>
      </c>
      <c r="R42" s="36">
        <f>AVERAGE(Q42:Q44)</f>
        <v>1274.3333333333333</v>
      </c>
      <c r="S42" s="3">
        <v>2919</v>
      </c>
      <c r="T42" s="36">
        <f>AVERAGE(S42:S44)</f>
        <v>2507.3333333333335</v>
      </c>
      <c r="U42" s="3"/>
      <c r="V42" s="35"/>
      <c r="W42" s="3">
        <v>4.08</v>
      </c>
      <c r="X42" s="35"/>
      <c r="Y42" s="3">
        <v>2.67</v>
      </c>
      <c r="Z42" s="35"/>
      <c r="AA42" s="6"/>
    </row>
    <row r="43" spans="2:27" x14ac:dyDescent="0.4">
      <c r="B43" s="40"/>
      <c r="C43" s="34"/>
      <c r="D43" s="34"/>
      <c r="E43" s="3"/>
      <c r="F43" s="35"/>
      <c r="G43" s="3"/>
      <c r="H43" s="35"/>
      <c r="I43" s="3"/>
      <c r="J43" s="35"/>
      <c r="K43" s="3">
        <v>677</v>
      </c>
      <c r="L43" s="36"/>
      <c r="M43" s="3"/>
      <c r="N43" s="35"/>
      <c r="O43" s="3">
        <v>1798</v>
      </c>
      <c r="P43" s="36"/>
      <c r="Q43" s="3">
        <v>1245</v>
      </c>
      <c r="R43" s="36"/>
      <c r="S43" s="3">
        <v>2846</v>
      </c>
      <c r="T43" s="36"/>
      <c r="U43" s="3"/>
      <c r="V43" s="35"/>
      <c r="W43" s="3"/>
      <c r="X43" s="35"/>
      <c r="Y43" s="3"/>
      <c r="Z43" s="35"/>
      <c r="AA43" s="6"/>
    </row>
    <row r="44" spans="2:27" x14ac:dyDescent="0.4">
      <c r="B44" s="40"/>
      <c r="C44" s="34"/>
      <c r="D44" s="34"/>
      <c r="E44" s="3"/>
      <c r="F44" s="35"/>
      <c r="G44" s="3"/>
      <c r="H44" s="35"/>
      <c r="I44" s="3"/>
      <c r="J44" s="35"/>
      <c r="K44" s="3">
        <v>623</v>
      </c>
      <c r="L44" s="36"/>
      <c r="M44" s="3"/>
      <c r="N44" s="35"/>
      <c r="O44" s="3">
        <v>1935</v>
      </c>
      <c r="P44" s="36"/>
      <c r="Q44" s="3">
        <v>1169</v>
      </c>
      <c r="R44" s="36"/>
      <c r="S44" s="3">
        <v>1757</v>
      </c>
      <c r="T44" s="36"/>
      <c r="U44" s="3"/>
      <c r="V44" s="35"/>
      <c r="W44" s="3"/>
      <c r="X44" s="35"/>
      <c r="Y44" s="3"/>
      <c r="Z44" s="35"/>
      <c r="AA44" s="6"/>
    </row>
    <row r="45" spans="2:27" x14ac:dyDescent="0.4">
      <c r="B45" s="40"/>
      <c r="C45" s="34">
        <v>0.01</v>
      </c>
      <c r="D45" s="34">
        <v>0.05</v>
      </c>
      <c r="E45" s="3"/>
      <c r="F45" s="35"/>
      <c r="G45" s="3"/>
      <c r="H45" s="35"/>
      <c r="I45" s="3"/>
      <c r="J45" s="35"/>
      <c r="K45" s="3"/>
      <c r="L45" s="35"/>
      <c r="M45" s="3"/>
      <c r="N45" s="35"/>
      <c r="O45" s="3"/>
      <c r="P45" s="35"/>
      <c r="Q45" s="3"/>
      <c r="R45" s="35"/>
      <c r="S45" s="3"/>
      <c r="T45" s="35"/>
      <c r="U45" s="3"/>
      <c r="V45" s="35"/>
      <c r="W45" s="3"/>
      <c r="X45" s="35"/>
      <c r="Y45" s="3"/>
      <c r="Z45" s="35"/>
      <c r="AA45" s="6"/>
    </row>
    <row r="46" spans="2:27" x14ac:dyDescent="0.4">
      <c r="B46" s="40"/>
      <c r="C46" s="34"/>
      <c r="D46" s="34"/>
      <c r="E46" s="3"/>
      <c r="F46" s="35"/>
      <c r="G46" s="3"/>
      <c r="H46" s="35"/>
      <c r="I46" s="3"/>
      <c r="J46" s="35"/>
      <c r="K46" s="3"/>
      <c r="L46" s="35"/>
      <c r="M46" s="3"/>
      <c r="N46" s="35"/>
      <c r="O46" s="3"/>
      <c r="P46" s="35"/>
      <c r="Q46" s="3"/>
      <c r="R46" s="35"/>
      <c r="S46" s="3"/>
      <c r="T46" s="35"/>
      <c r="U46" s="3"/>
      <c r="V46" s="35"/>
      <c r="W46" s="3"/>
      <c r="X46" s="35"/>
      <c r="Y46" s="3"/>
      <c r="Z46" s="35"/>
      <c r="AA46" s="6"/>
    </row>
    <row r="47" spans="2:27" ht="19.5" thickBot="1" x14ac:dyDescent="0.45">
      <c r="B47" s="41"/>
      <c r="C47" s="44"/>
      <c r="D47" s="44"/>
      <c r="E47" s="8"/>
      <c r="F47" s="43"/>
      <c r="G47" s="8"/>
      <c r="H47" s="43"/>
      <c r="I47" s="8"/>
      <c r="J47" s="43"/>
      <c r="K47" s="8"/>
      <c r="L47" s="43"/>
      <c r="M47" s="8"/>
      <c r="N47" s="43"/>
      <c r="O47" s="8"/>
      <c r="P47" s="43"/>
      <c r="Q47" s="8"/>
      <c r="R47" s="43"/>
      <c r="S47" s="8"/>
      <c r="T47" s="43"/>
      <c r="U47" s="8"/>
      <c r="V47" s="43"/>
      <c r="W47" s="8"/>
      <c r="X47" s="43"/>
      <c r="Y47" s="8"/>
      <c r="Z47" s="43"/>
      <c r="AA47" s="6"/>
    </row>
    <row r="48" spans="2:27" x14ac:dyDescent="0.4">
      <c r="B48" s="9"/>
      <c r="C48" s="10"/>
      <c r="D48" s="10"/>
      <c r="E48" s="3"/>
      <c r="F48" s="6"/>
      <c r="G48" s="3"/>
      <c r="H48" s="6"/>
      <c r="I48" s="3"/>
      <c r="J48" s="6"/>
      <c r="K48" s="3"/>
      <c r="L48" s="6"/>
      <c r="M48" s="3"/>
      <c r="N48" s="6"/>
      <c r="O48" s="3"/>
      <c r="P48" s="6"/>
      <c r="Q48" s="3"/>
      <c r="R48" s="6"/>
      <c r="S48" s="3"/>
      <c r="T48" s="6"/>
      <c r="U48" s="3"/>
      <c r="V48" s="6"/>
      <c r="W48" s="3"/>
      <c r="X48" s="6"/>
      <c r="Y48" s="3"/>
      <c r="Z48" s="6"/>
      <c r="AA48" s="6"/>
    </row>
    <row r="49" spans="2:27" x14ac:dyDescent="0.4">
      <c r="B49" s="9"/>
      <c r="C49" s="10"/>
      <c r="D49" s="10"/>
      <c r="E49" s="3"/>
      <c r="F49" s="6"/>
      <c r="G49" s="3"/>
      <c r="H49" s="6"/>
      <c r="I49" s="3"/>
      <c r="J49" s="6"/>
      <c r="K49" s="3"/>
      <c r="L49" s="6"/>
      <c r="M49" s="3"/>
      <c r="N49" s="6"/>
      <c r="O49" s="3"/>
      <c r="P49" s="6"/>
      <c r="Q49" s="3"/>
      <c r="R49" s="6"/>
      <c r="S49" s="3"/>
      <c r="T49" s="6"/>
      <c r="U49" s="3"/>
      <c r="V49" s="6"/>
      <c r="W49" s="3"/>
      <c r="X49" s="6"/>
      <c r="Y49" s="3"/>
      <c r="Z49" s="6"/>
      <c r="AA49" s="6"/>
    </row>
    <row r="50" spans="2:27" ht="19.5" thickBot="1" x14ac:dyDescent="0.45"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77" spans="2:26" x14ac:dyDescent="0.4">
      <c r="B77" s="5"/>
      <c r="C77" s="5"/>
      <c r="D77" s="5"/>
      <c r="E77" s="13"/>
      <c r="F77" s="13"/>
      <c r="G77" s="13"/>
      <c r="H77" s="6"/>
      <c r="I77" s="13"/>
      <c r="J77" s="13"/>
      <c r="K77" s="13"/>
      <c r="L77" s="6"/>
      <c r="M77" s="3"/>
      <c r="N77" s="6"/>
      <c r="O77" s="13"/>
      <c r="P77" s="6"/>
      <c r="Q77" s="13"/>
      <c r="R77" s="6"/>
      <c r="S77" s="13"/>
      <c r="T77" s="6"/>
      <c r="U77" s="13"/>
      <c r="V77" s="13"/>
      <c r="W77" s="13"/>
      <c r="X77" s="6"/>
      <c r="Y77" s="13"/>
      <c r="Z77" s="13"/>
    </row>
    <row r="78" spans="2:26" x14ac:dyDescent="0.4">
      <c r="B78" s="5"/>
      <c r="C78" s="5"/>
      <c r="D78" s="5"/>
      <c r="E78" s="13"/>
      <c r="F78" s="13"/>
      <c r="G78" s="13"/>
      <c r="H78" s="6"/>
      <c r="I78" s="13"/>
      <c r="J78" s="13"/>
      <c r="K78" s="13"/>
      <c r="L78" s="6"/>
      <c r="M78" s="3"/>
      <c r="N78" s="6"/>
      <c r="O78" s="13"/>
      <c r="P78" s="6"/>
      <c r="Q78" s="13"/>
      <c r="R78" s="6"/>
      <c r="S78" s="13"/>
      <c r="T78" s="6"/>
      <c r="U78" s="13"/>
      <c r="V78" s="13"/>
      <c r="W78" s="13"/>
      <c r="X78" s="6"/>
      <c r="Y78" s="13"/>
      <c r="Z78" s="13"/>
    </row>
    <row r="79" spans="2:26" ht="19.5" thickBot="1" x14ac:dyDescent="0.4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</sheetData>
  <mergeCells count="206">
    <mergeCell ref="T45:T47"/>
    <mergeCell ref="V45:V47"/>
    <mergeCell ref="X45:X47"/>
    <mergeCell ref="Z45:Z47"/>
    <mergeCell ref="C45:C47"/>
    <mergeCell ref="D45:D47"/>
    <mergeCell ref="F45:F47"/>
    <mergeCell ref="H45:H47"/>
    <mergeCell ref="J45:J47"/>
    <mergeCell ref="L45:L47"/>
    <mergeCell ref="N45:N47"/>
    <mergeCell ref="P45:P47"/>
    <mergeCell ref="R45:R47"/>
    <mergeCell ref="T39:T41"/>
    <mergeCell ref="V39:V41"/>
    <mergeCell ref="X39:X41"/>
    <mergeCell ref="Z39:Z41"/>
    <mergeCell ref="C42:C44"/>
    <mergeCell ref="D42:D44"/>
    <mergeCell ref="F42:F44"/>
    <mergeCell ref="H42:H44"/>
    <mergeCell ref="J42:J44"/>
    <mergeCell ref="L42:L44"/>
    <mergeCell ref="Z42:Z44"/>
    <mergeCell ref="N42:N44"/>
    <mergeCell ref="P42:P44"/>
    <mergeCell ref="R42:R44"/>
    <mergeCell ref="T42:T44"/>
    <mergeCell ref="V42:V44"/>
    <mergeCell ref="X42:X44"/>
    <mergeCell ref="C39:C41"/>
    <mergeCell ref="D39:D41"/>
    <mergeCell ref="F39:F41"/>
    <mergeCell ref="H39:H41"/>
    <mergeCell ref="J39:J41"/>
    <mergeCell ref="L39:L41"/>
    <mergeCell ref="N39:N41"/>
    <mergeCell ref="P39:P41"/>
    <mergeCell ref="R39:R41"/>
    <mergeCell ref="T33:T35"/>
    <mergeCell ref="V33:V35"/>
    <mergeCell ref="X33:X35"/>
    <mergeCell ref="Z33:Z35"/>
    <mergeCell ref="C36:C38"/>
    <mergeCell ref="D36:D38"/>
    <mergeCell ref="F36:F38"/>
    <mergeCell ref="H36:H38"/>
    <mergeCell ref="J36:J38"/>
    <mergeCell ref="L36:L38"/>
    <mergeCell ref="Z36:Z38"/>
    <mergeCell ref="N36:N38"/>
    <mergeCell ref="P36:P38"/>
    <mergeCell ref="R36:R38"/>
    <mergeCell ref="T36:T38"/>
    <mergeCell ref="V36:V38"/>
    <mergeCell ref="X36:X38"/>
    <mergeCell ref="C33:C35"/>
    <mergeCell ref="D33:D35"/>
    <mergeCell ref="F33:F35"/>
    <mergeCell ref="H33:H35"/>
    <mergeCell ref="J33:J35"/>
    <mergeCell ref="L33:L35"/>
    <mergeCell ref="N33:N35"/>
    <mergeCell ref="P33:P35"/>
    <mergeCell ref="R33:R35"/>
    <mergeCell ref="T27:T29"/>
    <mergeCell ref="V27:V29"/>
    <mergeCell ref="X27:X29"/>
    <mergeCell ref="Z27:Z29"/>
    <mergeCell ref="C30:C32"/>
    <mergeCell ref="D30:D32"/>
    <mergeCell ref="F30:F32"/>
    <mergeCell ref="H30:H32"/>
    <mergeCell ref="J30:J32"/>
    <mergeCell ref="L30:L32"/>
    <mergeCell ref="Z30:Z32"/>
    <mergeCell ref="N30:N32"/>
    <mergeCell ref="P30:P32"/>
    <mergeCell ref="R30:R32"/>
    <mergeCell ref="T30:T32"/>
    <mergeCell ref="V30:V32"/>
    <mergeCell ref="X30:X32"/>
    <mergeCell ref="C27:C29"/>
    <mergeCell ref="D27:D29"/>
    <mergeCell ref="F27:F29"/>
    <mergeCell ref="H27:H29"/>
    <mergeCell ref="J27:J29"/>
    <mergeCell ref="L27:L29"/>
    <mergeCell ref="N27:N29"/>
    <mergeCell ref="P27:P29"/>
    <mergeCell ref="R27:R29"/>
    <mergeCell ref="T21:T23"/>
    <mergeCell ref="V21:V23"/>
    <mergeCell ref="X21:X23"/>
    <mergeCell ref="Z21:Z23"/>
    <mergeCell ref="C24:C26"/>
    <mergeCell ref="D24:D26"/>
    <mergeCell ref="F24:F26"/>
    <mergeCell ref="H24:H26"/>
    <mergeCell ref="J24:J26"/>
    <mergeCell ref="L24:L26"/>
    <mergeCell ref="Z24:Z26"/>
    <mergeCell ref="N24:N26"/>
    <mergeCell ref="P24:P26"/>
    <mergeCell ref="R24:R26"/>
    <mergeCell ref="T24:T26"/>
    <mergeCell ref="V24:V26"/>
    <mergeCell ref="X24:X26"/>
    <mergeCell ref="C21:C23"/>
    <mergeCell ref="D21:D23"/>
    <mergeCell ref="F21:F23"/>
    <mergeCell ref="H21:H23"/>
    <mergeCell ref="J21:J23"/>
    <mergeCell ref="L21:L23"/>
    <mergeCell ref="N21:N23"/>
    <mergeCell ref="P21:P23"/>
    <mergeCell ref="R21:R23"/>
    <mergeCell ref="V12:V14"/>
    <mergeCell ref="X12:X14"/>
    <mergeCell ref="T15:T17"/>
    <mergeCell ref="V15:V17"/>
    <mergeCell ref="X15:X17"/>
    <mergeCell ref="Z15:Z17"/>
    <mergeCell ref="C18:C20"/>
    <mergeCell ref="D18:D20"/>
    <mergeCell ref="F18:F20"/>
    <mergeCell ref="H18:H20"/>
    <mergeCell ref="J18:J20"/>
    <mergeCell ref="L18:L20"/>
    <mergeCell ref="Z18:Z20"/>
    <mergeCell ref="N18:N20"/>
    <mergeCell ref="P18:P20"/>
    <mergeCell ref="R18:R20"/>
    <mergeCell ref="T18:T20"/>
    <mergeCell ref="V18:V20"/>
    <mergeCell ref="X18:X20"/>
    <mergeCell ref="U11:V11"/>
    <mergeCell ref="W11:X11"/>
    <mergeCell ref="Y11:Z11"/>
    <mergeCell ref="B12:B47"/>
    <mergeCell ref="C12:C14"/>
    <mergeCell ref="D12:D14"/>
    <mergeCell ref="F12:F14"/>
    <mergeCell ref="H12:H14"/>
    <mergeCell ref="J12:J14"/>
    <mergeCell ref="L12:L14"/>
    <mergeCell ref="Z12:Z14"/>
    <mergeCell ref="C15:C17"/>
    <mergeCell ref="D15:D17"/>
    <mergeCell ref="F15:F17"/>
    <mergeCell ref="H15:H17"/>
    <mergeCell ref="J15:J17"/>
    <mergeCell ref="L15:L17"/>
    <mergeCell ref="N15:N17"/>
    <mergeCell ref="P15:P17"/>
    <mergeCell ref="R15:R17"/>
    <mergeCell ref="N12:N14"/>
    <mergeCell ref="P12:P14"/>
    <mergeCell ref="R12:R14"/>
    <mergeCell ref="T12:T14"/>
    <mergeCell ref="B11:D11"/>
    <mergeCell ref="E11:F11"/>
    <mergeCell ref="G11:H11"/>
    <mergeCell ref="I11:J11"/>
    <mergeCell ref="K11:L11"/>
    <mergeCell ref="M11:N11"/>
    <mergeCell ref="O11:P11"/>
    <mergeCell ref="Q11:R11"/>
    <mergeCell ref="S11:T11"/>
    <mergeCell ref="U9:V9"/>
    <mergeCell ref="W9:X9"/>
    <mergeCell ref="Y9:Z9"/>
    <mergeCell ref="B10:D10"/>
    <mergeCell ref="E10:F10"/>
    <mergeCell ref="G10:H10"/>
    <mergeCell ref="I10:J10"/>
    <mergeCell ref="K10:L10"/>
    <mergeCell ref="Y10:Z10"/>
    <mergeCell ref="M10:N10"/>
    <mergeCell ref="O10:P10"/>
    <mergeCell ref="Q10:R10"/>
    <mergeCell ref="S10:T10"/>
    <mergeCell ref="U10:V10"/>
    <mergeCell ref="W10:X10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B6:Z6"/>
    <mergeCell ref="B7:D8"/>
    <mergeCell ref="E7:F8"/>
    <mergeCell ref="G7:H8"/>
    <mergeCell ref="I7:J8"/>
    <mergeCell ref="K7:L8"/>
    <mergeCell ref="M7:N8"/>
    <mergeCell ref="O7:P8"/>
    <mergeCell ref="Q7:R8"/>
    <mergeCell ref="S7:T8"/>
    <mergeCell ref="U7:V8"/>
    <mergeCell ref="W7:X8"/>
    <mergeCell ref="Y7:Z8"/>
  </mergeCells>
  <phoneticPr fontId="3"/>
  <pageMargins left="0.7" right="0.7" top="0.75" bottom="0.75" header="0.3" footer="0.3"/>
  <pageSetup paperSize="9" scale="27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91D0-1224-41C3-9459-BB0EB97DC510}">
  <dimension ref="B1:AP42"/>
  <sheetViews>
    <sheetView zoomScale="80" zoomScaleNormal="80" workbookViewId="0">
      <selection activeCell="M13" sqref="M13"/>
    </sheetView>
  </sheetViews>
  <sheetFormatPr defaultRowHeight="18.75" x14ac:dyDescent="0.4"/>
  <cols>
    <col min="6" max="6" width="11.875" bestFit="1" customWidth="1"/>
    <col min="7" max="7" width="7.875" bestFit="1" customWidth="1"/>
    <col min="8" max="8" width="7.5" customWidth="1"/>
    <col min="10" max="10" width="13.625" customWidth="1"/>
    <col min="16" max="16" width="13" customWidth="1"/>
    <col min="20" max="20" width="11.25" customWidth="1"/>
    <col min="24" max="24" width="11.25" customWidth="1"/>
    <col min="28" max="28" width="13.125" customWidth="1"/>
    <col min="32" max="32" width="11.25" customWidth="1"/>
    <col min="38" max="38" width="11.25" customWidth="1"/>
  </cols>
  <sheetData>
    <row r="1" spans="2:42" ht="19.5" thickBot="1" x14ac:dyDescent="0.45"/>
    <row r="2" spans="2:42" x14ac:dyDescent="0.4">
      <c r="B2" s="69" t="s">
        <v>3</v>
      </c>
      <c r="C2" s="69"/>
      <c r="D2" s="70"/>
      <c r="E2" s="52" t="s">
        <v>4</v>
      </c>
      <c r="F2" s="53"/>
      <c r="G2" s="53"/>
      <c r="H2" s="54"/>
      <c r="I2" s="52" t="s">
        <v>5</v>
      </c>
      <c r="J2" s="53"/>
      <c r="K2" s="53"/>
      <c r="L2" s="54"/>
      <c r="M2" s="52" t="s">
        <v>6</v>
      </c>
      <c r="N2" s="54"/>
      <c r="O2" s="56" t="s">
        <v>7</v>
      </c>
      <c r="P2" s="57"/>
      <c r="Q2" s="57"/>
      <c r="R2" s="58"/>
      <c r="S2" s="52" t="s">
        <v>8</v>
      </c>
      <c r="T2" s="53"/>
      <c r="U2" s="53"/>
      <c r="V2" s="54"/>
      <c r="W2" s="52" t="s">
        <v>9</v>
      </c>
      <c r="X2" s="53"/>
      <c r="Y2" s="53"/>
      <c r="Z2" s="54"/>
      <c r="AA2" s="56" t="s">
        <v>10</v>
      </c>
      <c r="AB2" s="57"/>
      <c r="AC2" s="57"/>
      <c r="AD2" s="58"/>
      <c r="AE2" s="52" t="s">
        <v>11</v>
      </c>
      <c r="AF2" s="53"/>
      <c r="AG2" s="53"/>
      <c r="AH2" s="54"/>
      <c r="AI2" s="52" t="s">
        <v>12</v>
      </c>
      <c r="AJ2" s="54"/>
      <c r="AK2" s="52" t="s">
        <v>13</v>
      </c>
      <c r="AL2" s="53"/>
      <c r="AM2" s="53"/>
      <c r="AN2" s="54"/>
      <c r="AO2" s="53" t="s">
        <v>14</v>
      </c>
      <c r="AP2" s="53"/>
    </row>
    <row r="3" spans="2:42" x14ac:dyDescent="0.4">
      <c r="B3" s="71"/>
      <c r="C3" s="71"/>
      <c r="D3" s="72"/>
      <c r="E3" s="51"/>
      <c r="F3" s="55"/>
      <c r="G3" s="55"/>
      <c r="H3" s="49"/>
      <c r="I3" s="51"/>
      <c r="J3" s="55"/>
      <c r="K3" s="55"/>
      <c r="L3" s="49"/>
      <c r="M3" s="51"/>
      <c r="N3" s="49"/>
      <c r="O3" s="59"/>
      <c r="P3" s="60"/>
      <c r="Q3" s="60"/>
      <c r="R3" s="61"/>
      <c r="S3" s="51"/>
      <c r="T3" s="55"/>
      <c r="U3" s="55"/>
      <c r="V3" s="49"/>
      <c r="W3" s="51"/>
      <c r="X3" s="55"/>
      <c r="Y3" s="55"/>
      <c r="Z3" s="49"/>
      <c r="AA3" s="59"/>
      <c r="AB3" s="60"/>
      <c r="AC3" s="60"/>
      <c r="AD3" s="61"/>
      <c r="AE3" s="51"/>
      <c r="AF3" s="55"/>
      <c r="AG3" s="55"/>
      <c r="AH3" s="49"/>
      <c r="AI3" s="51"/>
      <c r="AJ3" s="49"/>
      <c r="AK3" s="51"/>
      <c r="AL3" s="55"/>
      <c r="AM3" s="55"/>
      <c r="AN3" s="49"/>
      <c r="AO3" s="55"/>
      <c r="AP3" s="55"/>
    </row>
    <row r="4" spans="2:42" x14ac:dyDescent="0.4">
      <c r="B4" s="48" t="s">
        <v>28</v>
      </c>
      <c r="C4" s="50" t="s">
        <v>29</v>
      </c>
      <c r="D4" s="48"/>
      <c r="E4" s="45" t="s">
        <v>2</v>
      </c>
      <c r="F4" s="47" t="s">
        <v>25</v>
      </c>
      <c r="G4" s="47" t="s">
        <v>26</v>
      </c>
      <c r="H4" s="47" t="s">
        <v>27</v>
      </c>
      <c r="I4" s="45" t="s">
        <v>2</v>
      </c>
      <c r="J4" s="47" t="s">
        <v>25</v>
      </c>
      <c r="K4" s="47" t="s">
        <v>26</v>
      </c>
      <c r="L4" s="47" t="s">
        <v>27</v>
      </c>
      <c r="M4" s="20"/>
      <c r="N4" s="21"/>
      <c r="O4" s="45" t="s">
        <v>2</v>
      </c>
      <c r="P4" s="47" t="s">
        <v>25</v>
      </c>
      <c r="Q4" s="47" t="s">
        <v>26</v>
      </c>
      <c r="R4" s="47" t="s">
        <v>27</v>
      </c>
      <c r="S4" s="45" t="s">
        <v>2</v>
      </c>
      <c r="T4" s="47" t="s">
        <v>25</v>
      </c>
      <c r="U4" s="47" t="s">
        <v>26</v>
      </c>
      <c r="V4" s="47" t="s">
        <v>27</v>
      </c>
      <c r="W4" s="45" t="s">
        <v>2</v>
      </c>
      <c r="X4" s="47" t="s">
        <v>25</v>
      </c>
      <c r="Y4" s="47" t="s">
        <v>26</v>
      </c>
      <c r="Z4" s="47" t="s">
        <v>27</v>
      </c>
      <c r="AA4" s="45" t="s">
        <v>2</v>
      </c>
      <c r="AB4" s="47" t="s">
        <v>25</v>
      </c>
      <c r="AC4" s="47" t="s">
        <v>26</v>
      </c>
      <c r="AD4" s="47" t="s">
        <v>27</v>
      </c>
      <c r="AE4" s="45" t="s">
        <v>2</v>
      </c>
      <c r="AF4" s="47" t="s">
        <v>25</v>
      </c>
      <c r="AG4" s="47" t="s">
        <v>26</v>
      </c>
      <c r="AH4" s="47" t="s">
        <v>27</v>
      </c>
      <c r="AI4" s="16"/>
      <c r="AJ4" s="16"/>
      <c r="AK4" s="45" t="s">
        <v>2</v>
      </c>
      <c r="AL4" s="47" t="s">
        <v>25</v>
      </c>
      <c r="AM4" s="47" t="s">
        <v>26</v>
      </c>
      <c r="AN4" s="47" t="s">
        <v>27</v>
      </c>
      <c r="AO4" s="16"/>
      <c r="AP4" s="16"/>
    </row>
    <row r="5" spans="2:42" ht="14.25" customHeight="1" x14ac:dyDescent="0.4">
      <c r="B5" s="49"/>
      <c r="C5" s="51"/>
      <c r="D5" s="49"/>
      <c r="E5" s="45"/>
      <c r="F5" s="47"/>
      <c r="G5" s="47"/>
      <c r="H5" s="47"/>
      <c r="I5" s="45"/>
      <c r="J5" s="47"/>
      <c r="K5" s="47"/>
      <c r="L5" s="47"/>
      <c r="M5" s="22"/>
      <c r="N5" s="23"/>
      <c r="O5" s="45"/>
      <c r="P5" s="47"/>
      <c r="Q5" s="47"/>
      <c r="R5" s="47"/>
      <c r="S5" s="45"/>
      <c r="T5" s="47"/>
      <c r="U5" s="47"/>
      <c r="V5" s="47"/>
      <c r="W5" s="45"/>
      <c r="X5" s="47"/>
      <c r="Y5" s="47"/>
      <c r="Z5" s="47"/>
      <c r="AA5" s="45"/>
      <c r="AB5" s="47"/>
      <c r="AC5" s="47"/>
      <c r="AD5" s="47"/>
      <c r="AE5" s="45"/>
      <c r="AF5" s="47"/>
      <c r="AG5" s="47"/>
      <c r="AH5" s="47"/>
      <c r="AI5" s="17"/>
      <c r="AJ5" s="17"/>
      <c r="AK5" s="45"/>
      <c r="AL5" s="47"/>
      <c r="AM5" s="47"/>
      <c r="AN5" s="47"/>
      <c r="AO5" s="17"/>
      <c r="AP5" s="17"/>
    </row>
    <row r="6" spans="2:42" x14ac:dyDescent="0.4">
      <c r="B6" s="66" t="s">
        <v>19</v>
      </c>
      <c r="C6" s="64" t="s">
        <v>20</v>
      </c>
      <c r="D6" s="62" t="s">
        <v>21</v>
      </c>
      <c r="E6" s="18">
        <v>29818</v>
      </c>
      <c r="F6" s="19">
        <f>(E6-5183.9)/64.072</f>
        <v>384.47527781246094</v>
      </c>
      <c r="G6" s="45">
        <f>AVERAGE(F6:F8)</f>
        <v>409.52522162567107</v>
      </c>
      <c r="H6" s="45">
        <f>STDEV(F6:F8)</f>
        <v>27.777085263489436</v>
      </c>
      <c r="I6" s="18">
        <v>339633</v>
      </c>
      <c r="J6" s="19">
        <f>(I6-35744)/437.26</f>
        <v>694.98467730869504</v>
      </c>
      <c r="K6" s="45">
        <f>AVERAGE(J6:J8)</f>
        <v>759.52370062053103</v>
      </c>
      <c r="L6" s="45">
        <f>STDEV(J6:J8)</f>
        <v>63.199080262321985</v>
      </c>
      <c r="M6" s="13"/>
      <c r="N6" s="13"/>
      <c r="O6" s="18">
        <v>4391392</v>
      </c>
      <c r="P6" s="19">
        <f>(O6-570044)/707.84</f>
        <v>5398.6042043399639</v>
      </c>
      <c r="Q6" s="45">
        <f>AVERAGE(P6:P8)</f>
        <v>5516.4264993972274</v>
      </c>
      <c r="R6" s="45">
        <f>STDEV(P6:P8)</f>
        <v>102.21095478432829</v>
      </c>
      <c r="S6" s="19">
        <v>11939</v>
      </c>
      <c r="T6" s="19">
        <f>(S6-1488.3)/133.18</f>
        <v>78.470491064724428</v>
      </c>
      <c r="U6" s="45">
        <f>AVERAGE(T6:T8)</f>
        <v>78.848425689542978</v>
      </c>
      <c r="V6" s="45">
        <f>STDEV(T6:T8)</f>
        <v>0.32783884450788808</v>
      </c>
      <c r="W6" s="18">
        <v>76491</v>
      </c>
      <c r="X6" s="19">
        <f>(W6-30017)/5950.1</f>
        <v>7.8106250315120747</v>
      </c>
      <c r="Y6" s="45">
        <f>AVERAGE(X6:X8)</f>
        <v>8.1902825162602308</v>
      </c>
      <c r="Z6" s="45">
        <f>STDEV(X6:X8)</f>
        <v>0.43863092901344997</v>
      </c>
      <c r="AA6" s="18">
        <v>12539786</v>
      </c>
      <c r="AB6" s="19">
        <f>(AA6-820386)/2026.5</f>
        <v>5783.0742659758207</v>
      </c>
      <c r="AC6" s="45">
        <f>AVERAGE(AB6:AB8)</f>
        <v>6164.0528003947693</v>
      </c>
      <c r="AD6" s="45">
        <f>STDEV(AB6:AB8)</f>
        <v>443.16859050594502</v>
      </c>
      <c r="AE6" s="18">
        <v>197165</v>
      </c>
      <c r="AF6" s="19">
        <f>(AE6-9090.7)/12041</f>
        <v>15.619491736566729</v>
      </c>
      <c r="AG6" s="45">
        <f>AVERAGE(AF6:AF8)</f>
        <v>17.290366248650443</v>
      </c>
      <c r="AH6" s="45">
        <f>STDEV(AF6:AF8)</f>
        <v>1.541937087639587</v>
      </c>
      <c r="AI6" s="13"/>
      <c r="AJ6" s="13"/>
      <c r="AK6" s="18">
        <v>120613</v>
      </c>
      <c r="AL6" s="19">
        <f>(AK6-9691.3)/12041</f>
        <v>9.2120006643966441</v>
      </c>
      <c r="AM6" s="45">
        <f>AVERAGE(AL6:AL8)</f>
        <v>9.677908811560501</v>
      </c>
      <c r="AN6" s="45">
        <f>STDEV(AL6:AL8)</f>
        <v>0.41492637664227827</v>
      </c>
      <c r="AO6" s="13"/>
      <c r="AP6" s="13"/>
    </row>
    <row r="7" spans="2:42" x14ac:dyDescent="0.4">
      <c r="B7" s="67"/>
      <c r="C7" s="64"/>
      <c r="D7" s="62"/>
      <c r="E7" s="18">
        <v>31114</v>
      </c>
      <c r="F7" s="19">
        <f t="shared" ref="F7:F29" si="0">(E7-5183.9)/64.072</f>
        <v>404.70252216256705</v>
      </c>
      <c r="G7" s="45"/>
      <c r="H7" s="45"/>
      <c r="I7" s="18">
        <v>369065</v>
      </c>
      <c r="J7" s="19">
        <f t="shared" ref="J7:J28" si="1">(I7-35744)/437.26</f>
        <v>762.29474454557931</v>
      </c>
      <c r="K7" s="45"/>
      <c r="L7" s="45"/>
      <c r="M7" s="13"/>
      <c r="N7" s="13"/>
      <c r="O7" s="18">
        <v>4512273</v>
      </c>
      <c r="P7" s="19">
        <f t="shared" ref="P7:P29" si="2">(O7-570044)/707.84</f>
        <v>5569.3786731464734</v>
      </c>
      <c r="Q7" s="45"/>
      <c r="R7" s="45"/>
      <c r="S7" s="19">
        <v>12017</v>
      </c>
      <c r="T7" s="19">
        <f t="shared" ref="T7:T29" si="3">(S7-1488.3)/133.18</f>
        <v>79.056164589277671</v>
      </c>
      <c r="U7" s="45"/>
      <c r="V7" s="45"/>
      <c r="W7" s="18">
        <v>78152</v>
      </c>
      <c r="X7" s="19">
        <f t="shared" ref="X7:X29" si="4">(W7-30017)/5950.1</f>
        <v>8.0897800036974168</v>
      </c>
      <c r="Y7" s="45"/>
      <c r="Z7" s="45"/>
      <c r="AA7" s="18">
        <v>13098282</v>
      </c>
      <c r="AB7" s="19">
        <f t="shared" ref="AB7:AB29" si="5">(AA7-820386)/2026.5</f>
        <v>6058.6706143597339</v>
      </c>
      <c r="AC7" s="45"/>
      <c r="AD7" s="45"/>
      <c r="AE7" s="18">
        <v>220930</v>
      </c>
      <c r="AF7" s="19">
        <f t="shared" ref="AF7:AF29" si="6">(AE7-9090.7)/12041</f>
        <v>17.59316501951665</v>
      </c>
      <c r="AG7" s="45"/>
      <c r="AH7" s="45"/>
      <c r="AI7" s="13"/>
      <c r="AJ7" s="13"/>
      <c r="AK7" s="18">
        <v>127863</v>
      </c>
      <c r="AL7" s="19">
        <f t="shared" ref="AL7:AL29" si="7">(AK7-9691.3)/12041</f>
        <v>9.814110123743875</v>
      </c>
      <c r="AM7" s="45"/>
      <c r="AN7" s="45"/>
      <c r="AO7" s="13"/>
      <c r="AP7" s="13"/>
    </row>
    <row r="8" spans="2:42" x14ac:dyDescent="0.4">
      <c r="B8" s="67"/>
      <c r="C8" s="64"/>
      <c r="D8" s="62"/>
      <c r="E8" s="18">
        <v>33337</v>
      </c>
      <c r="F8" s="19">
        <f t="shared" si="0"/>
        <v>439.3978649019852</v>
      </c>
      <c r="G8" s="45"/>
      <c r="H8" s="45"/>
      <c r="I8" s="18">
        <v>394862</v>
      </c>
      <c r="J8" s="19">
        <f t="shared" si="1"/>
        <v>821.29168000731829</v>
      </c>
      <c r="K8" s="45"/>
      <c r="L8" s="45"/>
      <c r="M8" s="13"/>
      <c r="N8" s="13"/>
      <c r="O8" s="18">
        <v>4520709</v>
      </c>
      <c r="P8" s="19">
        <f t="shared" si="2"/>
        <v>5581.2966207052441</v>
      </c>
      <c r="Q8" s="45"/>
      <c r="R8" s="45"/>
      <c r="S8" s="19">
        <v>12012</v>
      </c>
      <c r="T8" s="19">
        <f t="shared" si="3"/>
        <v>79.018621414626821</v>
      </c>
      <c r="U8" s="45"/>
      <c r="V8" s="45"/>
      <c r="W8" s="18">
        <v>81607</v>
      </c>
      <c r="X8" s="19">
        <f t="shared" si="4"/>
        <v>8.6704425135711993</v>
      </c>
      <c r="Y8" s="45"/>
      <c r="Z8" s="45"/>
      <c r="AA8" s="18">
        <v>14297449</v>
      </c>
      <c r="AB8" s="19">
        <f t="shared" si="5"/>
        <v>6650.4135208487542</v>
      </c>
      <c r="AC8" s="45"/>
      <c r="AD8" s="45"/>
      <c r="AE8" s="18">
        <v>233757</v>
      </c>
      <c r="AF8" s="19">
        <f t="shared" si="6"/>
        <v>18.658441989867949</v>
      </c>
      <c r="AG8" s="45"/>
      <c r="AH8" s="45"/>
      <c r="AI8" s="13"/>
      <c r="AJ8" s="13"/>
      <c r="AK8" s="18">
        <v>130193</v>
      </c>
      <c r="AL8" s="19">
        <f t="shared" si="7"/>
        <v>10.007615646540986</v>
      </c>
      <c r="AM8" s="45"/>
      <c r="AN8" s="45"/>
      <c r="AO8" s="13"/>
      <c r="AP8" s="13"/>
    </row>
    <row r="9" spans="2:42" x14ac:dyDescent="0.4">
      <c r="B9" s="67"/>
      <c r="C9" s="64"/>
      <c r="D9" s="62" t="s">
        <v>22</v>
      </c>
      <c r="E9" s="18">
        <v>42870</v>
      </c>
      <c r="F9" s="19">
        <f t="shared" si="0"/>
        <v>588.18360594331375</v>
      </c>
      <c r="G9" s="45">
        <f>AVERAGE(F9:F11)</f>
        <v>598.39087276813586</v>
      </c>
      <c r="H9" s="45">
        <f t="shared" ref="H9" si="8">STDEV(F9:F11)</f>
        <v>26.519753132048685</v>
      </c>
      <c r="I9" s="18">
        <v>223517</v>
      </c>
      <c r="J9" s="19">
        <f t="shared" si="1"/>
        <v>429.43100214975073</v>
      </c>
      <c r="K9" s="45">
        <f t="shared" ref="K9" si="9">AVERAGE(J9:J11)</f>
        <v>464.25848846605385</v>
      </c>
      <c r="L9" s="45">
        <f t="shared" ref="L9" si="10">STDEV(J9:J11)</f>
        <v>30.900839014590243</v>
      </c>
      <c r="M9" s="13"/>
      <c r="N9" s="13"/>
      <c r="O9" s="18">
        <v>3951419</v>
      </c>
      <c r="P9" s="19">
        <f t="shared" si="2"/>
        <v>4777.0329452983724</v>
      </c>
      <c r="Q9" s="45">
        <f t="shared" ref="Q9" si="11">AVERAGE(P9:P11)</f>
        <v>4890.3546940928272</v>
      </c>
      <c r="R9" s="45">
        <f t="shared" ref="R9" si="12">STDEV(P9:P11)</f>
        <v>113.93097967339997</v>
      </c>
      <c r="S9" s="19">
        <v>5774</v>
      </c>
      <c r="T9" s="19">
        <f t="shared" si="3"/>
        <v>32.179756720228262</v>
      </c>
      <c r="U9" s="45">
        <f t="shared" ref="U9" si="13">AVERAGE(T9:T11)</f>
        <v>25.482054362516891</v>
      </c>
      <c r="V9" s="45">
        <f t="shared" ref="V9" si="14">STDEV(T9:T11)</f>
        <v>5.800866367554157</v>
      </c>
      <c r="W9" s="18">
        <v>151216</v>
      </c>
      <c r="X9" s="19">
        <f t="shared" si="4"/>
        <v>20.36923749180686</v>
      </c>
      <c r="Y9" s="45">
        <f t="shared" ref="Y9" si="15">AVERAGE(X9:X11)</f>
        <v>20.850798025803488</v>
      </c>
      <c r="Z9" s="45">
        <f t="shared" ref="Z9" si="16">STDEV(X9:X11)</f>
        <v>0.55690003876107108</v>
      </c>
      <c r="AA9" s="18">
        <v>13491829</v>
      </c>
      <c r="AB9" s="19">
        <f t="shared" si="5"/>
        <v>6252.8709597828765</v>
      </c>
      <c r="AC9" s="45">
        <f t="shared" ref="AC9" si="17">AVERAGE(AB9:AB11)</f>
        <v>6407.9957233325113</v>
      </c>
      <c r="AD9" s="45">
        <f t="shared" ref="AD9" si="18">STDEV(AB9:AB11)</f>
        <v>163.83677286397921</v>
      </c>
      <c r="AE9" s="18">
        <v>485260</v>
      </c>
      <c r="AF9" s="19">
        <f t="shared" si="6"/>
        <v>39.54566065941367</v>
      </c>
      <c r="AG9" s="45">
        <f t="shared" ref="AG9" si="19">AVERAGE(AF9:AF11)</f>
        <v>41.548678127508786</v>
      </c>
      <c r="AH9" s="45">
        <f t="shared" ref="AH9" si="20">STDEV(AF9:AF11)</f>
        <v>2.6751434853170077</v>
      </c>
      <c r="AI9" s="13"/>
      <c r="AJ9" s="13"/>
      <c r="AK9" s="18">
        <v>160600</v>
      </c>
      <c r="AL9" s="19">
        <f t="shared" si="7"/>
        <v>12.53290424383357</v>
      </c>
      <c r="AM9" s="45">
        <f t="shared" ref="AM9" si="21">AVERAGE(AL9:AL11)</f>
        <v>13.239047144478588</v>
      </c>
      <c r="AN9" s="45">
        <f t="shared" ref="AN9" si="22">STDEV(AL9:AL11)</f>
        <v>0.61549447936997514</v>
      </c>
      <c r="AO9" s="13"/>
      <c r="AP9" s="13"/>
    </row>
    <row r="10" spans="2:42" x14ac:dyDescent="0.4">
      <c r="B10" s="67"/>
      <c r="C10" s="64"/>
      <c r="D10" s="62"/>
      <c r="E10" s="18">
        <v>42249</v>
      </c>
      <c r="F10" s="19">
        <f t="shared" si="0"/>
        <v>578.49138469222123</v>
      </c>
      <c r="G10" s="45"/>
      <c r="H10" s="45"/>
      <c r="I10" s="18">
        <v>249298</v>
      </c>
      <c r="J10" s="19">
        <f t="shared" si="1"/>
        <v>488.39134610986599</v>
      </c>
      <c r="K10" s="45"/>
      <c r="L10" s="45"/>
      <c r="M10" s="13"/>
      <c r="N10" s="13"/>
      <c r="O10" s="18">
        <v>4030777</v>
      </c>
      <c r="P10" s="19">
        <f t="shared" si="2"/>
        <v>4889.1458521699815</v>
      </c>
      <c r="Q10" s="45"/>
      <c r="R10" s="45"/>
      <c r="S10" s="19">
        <v>4426</v>
      </c>
      <c r="T10" s="19">
        <f t="shared" si="3"/>
        <v>22.05811683435951</v>
      </c>
      <c r="U10" s="45"/>
      <c r="V10" s="45"/>
      <c r="W10" s="18">
        <v>153318</v>
      </c>
      <c r="X10" s="19">
        <f t="shared" si="4"/>
        <v>20.72250886539722</v>
      </c>
      <c r="Y10" s="45"/>
      <c r="Z10" s="45"/>
      <c r="AA10" s="18">
        <v>13773324</v>
      </c>
      <c r="AB10" s="19">
        <f t="shared" si="5"/>
        <v>6391.7779422649892</v>
      </c>
      <c r="AC10" s="45"/>
      <c r="AD10" s="45"/>
      <c r="AE10" s="18">
        <v>496916</v>
      </c>
      <c r="AF10" s="19">
        <f t="shared" si="6"/>
        <v>40.513686570882818</v>
      </c>
      <c r="AG10" s="45"/>
      <c r="AH10" s="45"/>
      <c r="AI10" s="13"/>
      <c r="AJ10" s="13"/>
      <c r="AK10" s="18">
        <v>172515</v>
      </c>
      <c r="AL10" s="19">
        <f t="shared" si="7"/>
        <v>13.522439996678017</v>
      </c>
      <c r="AM10" s="45"/>
      <c r="AN10" s="45"/>
      <c r="AO10" s="13"/>
      <c r="AP10" s="13"/>
    </row>
    <row r="11" spans="2:42" x14ac:dyDescent="0.4">
      <c r="B11" s="67"/>
      <c r="C11" s="64"/>
      <c r="D11" s="62"/>
      <c r="E11" s="18">
        <v>45453</v>
      </c>
      <c r="F11" s="19">
        <f t="shared" si="0"/>
        <v>628.4976276688725</v>
      </c>
      <c r="G11" s="45"/>
      <c r="H11" s="45"/>
      <c r="I11" s="18">
        <v>243422</v>
      </c>
      <c r="J11" s="19">
        <f t="shared" si="1"/>
        <v>474.9531171385446</v>
      </c>
      <c r="K11" s="45"/>
      <c r="L11" s="45"/>
      <c r="M11" s="13"/>
      <c r="N11" s="13"/>
      <c r="O11" s="18">
        <v>4112702</v>
      </c>
      <c r="P11" s="19">
        <f t="shared" si="2"/>
        <v>5004.885284810126</v>
      </c>
      <c r="Q11" s="45"/>
      <c r="R11" s="45"/>
      <c r="S11" s="19">
        <v>4446</v>
      </c>
      <c r="T11" s="19">
        <f t="shared" si="3"/>
        <v>22.208289532962905</v>
      </c>
      <c r="U11" s="45"/>
      <c r="V11" s="45"/>
      <c r="W11" s="18">
        <v>157710</v>
      </c>
      <c r="X11" s="19">
        <f t="shared" si="4"/>
        <v>21.460647720206381</v>
      </c>
      <c r="Y11" s="45"/>
      <c r="Z11" s="45"/>
      <c r="AA11" s="18">
        <v>14153415</v>
      </c>
      <c r="AB11" s="19">
        <f t="shared" si="5"/>
        <v>6579.3382679496672</v>
      </c>
      <c r="AC11" s="45"/>
      <c r="AD11" s="45"/>
      <c r="AE11" s="18">
        <v>545959</v>
      </c>
      <c r="AF11" s="19">
        <f t="shared" si="6"/>
        <v>44.586687152229885</v>
      </c>
      <c r="AG11" s="45"/>
      <c r="AH11" s="45"/>
      <c r="AI11" s="13"/>
      <c r="AJ11" s="13"/>
      <c r="AK11" s="18">
        <v>174193</v>
      </c>
      <c r="AL11" s="19">
        <f t="shared" si="7"/>
        <v>13.661797192924176</v>
      </c>
      <c r="AM11" s="45"/>
      <c r="AN11" s="45"/>
      <c r="AO11" s="13"/>
      <c r="AP11" s="13"/>
    </row>
    <row r="12" spans="2:42" x14ac:dyDescent="0.4">
      <c r="B12" s="67"/>
      <c r="C12" s="64" t="s">
        <v>23</v>
      </c>
      <c r="D12" s="62" t="s">
        <v>21</v>
      </c>
      <c r="E12" s="18">
        <v>22694</v>
      </c>
      <c r="F12" s="19">
        <f t="shared" si="0"/>
        <v>273.28786365338988</v>
      </c>
      <c r="G12" s="45">
        <f t="shared" ref="G12" si="23">AVERAGE(F12:F14)</f>
        <v>274.70293836101047</v>
      </c>
      <c r="H12" s="45">
        <f t="shared" ref="H12" si="24">STDEV(F12:F14)</f>
        <v>9.0884952689275966</v>
      </c>
      <c r="I12" s="18">
        <v>286558</v>
      </c>
      <c r="J12" s="19">
        <f t="shared" si="1"/>
        <v>573.6038055161689</v>
      </c>
      <c r="K12" s="45">
        <f t="shared" ref="K12" si="25">AVERAGE(J12:J14)</f>
        <v>567.32760066474566</v>
      </c>
      <c r="L12" s="45">
        <f t="shared" ref="L12" si="26">STDEV(J12:J14)</f>
        <v>6.9309889103618376</v>
      </c>
      <c r="M12" s="13"/>
      <c r="N12" s="13"/>
      <c r="O12" s="18">
        <v>4275803</v>
      </c>
      <c r="P12" s="19">
        <f t="shared" si="2"/>
        <v>5235.3060013562381</v>
      </c>
      <c r="Q12" s="45">
        <f t="shared" ref="Q12" si="27">AVERAGE(P12:P14)</f>
        <v>5200.9747965641955</v>
      </c>
      <c r="R12" s="45">
        <f t="shared" ref="R12" si="28">STDEV(P12:P14)</f>
        <v>43.339588799583161</v>
      </c>
      <c r="S12" s="19">
        <v>18362</v>
      </c>
      <c r="T12" s="19">
        <f t="shared" si="3"/>
        <v>126.69845322120439</v>
      </c>
      <c r="U12" s="45">
        <f t="shared" ref="U12" si="29">AVERAGE(T12:T14)</f>
        <v>137.03283776342795</v>
      </c>
      <c r="V12" s="45">
        <f t="shared" ref="V12" si="30">STDEV(T12:T14)</f>
        <v>8.9947063688371429</v>
      </c>
      <c r="W12" s="18">
        <v>82554</v>
      </c>
      <c r="X12" s="19">
        <f t="shared" si="4"/>
        <v>8.8295995025293692</v>
      </c>
      <c r="Y12" s="45">
        <f t="shared" ref="Y12" si="31">AVERAGE(X12:X14)</f>
        <v>7.7572925945222204</v>
      </c>
      <c r="Z12" s="45">
        <f t="shared" ref="Z12" si="32">STDEV(X12:X14)</f>
        <v>0.93155137882209182</v>
      </c>
      <c r="AA12" s="18">
        <v>11441071</v>
      </c>
      <c r="AB12" s="19">
        <f t="shared" si="5"/>
        <v>5240.9005674808786</v>
      </c>
      <c r="AC12" s="45">
        <f t="shared" ref="AC12" si="33">AVERAGE(AB12:AB14)</f>
        <v>5835.9848671765767</v>
      </c>
      <c r="AD12" s="45">
        <f t="shared" ref="AD12" si="34">STDEV(AB12:AB14)</f>
        <v>516.63553476691152</v>
      </c>
      <c r="AE12" s="18">
        <v>263619</v>
      </c>
      <c r="AF12" s="19">
        <f t="shared" si="6"/>
        <v>21.138468565733742</v>
      </c>
      <c r="AG12" s="45">
        <f t="shared" ref="AG12" si="35">AVERAGE(AF12:AF14)</f>
        <v>20.772911995127757</v>
      </c>
      <c r="AH12" s="45">
        <f t="shared" ref="AH12" si="36">STDEV(AF12:AF14)</f>
        <v>0.36178340355365107</v>
      </c>
      <c r="AI12" s="13"/>
      <c r="AJ12" s="13"/>
      <c r="AK12" s="18">
        <v>115139</v>
      </c>
      <c r="AL12" s="19">
        <f t="shared" si="7"/>
        <v>8.757387260194335</v>
      </c>
      <c r="AM12" s="45">
        <f t="shared" ref="AM12" si="37">AVERAGE(AL12:AL14)</f>
        <v>8.6876256124906561</v>
      </c>
      <c r="AN12" s="45">
        <f t="shared" ref="AN12" si="38">STDEV(AL12:AL14)</f>
        <v>6.0752854346476953E-2</v>
      </c>
      <c r="AO12" s="13"/>
      <c r="AP12" s="13"/>
    </row>
    <row r="13" spans="2:42" x14ac:dyDescent="0.4">
      <c r="B13" s="67"/>
      <c r="C13" s="64"/>
      <c r="D13" s="62"/>
      <c r="E13" s="18">
        <v>22253</v>
      </c>
      <c r="F13" s="19">
        <f t="shared" si="0"/>
        <v>266.40498189536765</v>
      </c>
      <c r="G13" s="45"/>
      <c r="H13" s="45"/>
      <c r="I13" s="18">
        <v>280561</v>
      </c>
      <c r="J13" s="19">
        <f t="shared" si="1"/>
        <v>559.88885331381789</v>
      </c>
      <c r="K13" s="45"/>
      <c r="L13" s="45"/>
      <c r="M13" s="13"/>
      <c r="N13" s="13"/>
      <c r="O13" s="18">
        <v>4217031</v>
      </c>
      <c r="P13" s="19">
        <f t="shared" si="2"/>
        <v>5152.2759380650996</v>
      </c>
      <c r="Q13" s="45"/>
      <c r="R13" s="45"/>
      <c r="S13" s="19">
        <v>20546</v>
      </c>
      <c r="T13" s="19">
        <f t="shared" si="3"/>
        <v>143.09731190869499</v>
      </c>
      <c r="U13" s="45"/>
      <c r="V13" s="45"/>
      <c r="W13" s="18">
        <v>72546</v>
      </c>
      <c r="X13" s="19">
        <f t="shared" si="4"/>
        <v>7.1476109645216042</v>
      </c>
      <c r="Y13" s="45"/>
      <c r="Z13" s="45"/>
      <c r="AA13" s="18">
        <v>13176400</v>
      </c>
      <c r="AB13" s="19">
        <f t="shared" si="5"/>
        <v>6097.2188502343943</v>
      </c>
      <c r="AC13" s="45"/>
      <c r="AD13" s="45"/>
      <c r="AE13" s="18">
        <v>259125</v>
      </c>
      <c r="AF13" s="19">
        <f t="shared" si="6"/>
        <v>20.765243750519058</v>
      </c>
      <c r="AG13" s="45"/>
      <c r="AH13" s="45"/>
      <c r="AI13" s="13"/>
      <c r="AJ13" s="13"/>
      <c r="AK13" s="18">
        <v>113802</v>
      </c>
      <c r="AL13" s="19">
        <f t="shared" si="7"/>
        <v>8.646349970932647</v>
      </c>
      <c r="AM13" s="45"/>
      <c r="AN13" s="45"/>
      <c r="AO13" s="13"/>
      <c r="AP13" s="13"/>
    </row>
    <row r="14" spans="2:42" x14ac:dyDescent="0.4">
      <c r="B14" s="67"/>
      <c r="C14" s="64"/>
      <c r="D14" s="62"/>
      <c r="E14" s="18">
        <v>23407</v>
      </c>
      <c r="F14" s="19">
        <f t="shared" si="0"/>
        <v>284.41596953427393</v>
      </c>
      <c r="G14" s="45"/>
      <c r="H14" s="45"/>
      <c r="I14" s="18">
        <v>284322</v>
      </c>
      <c r="J14" s="19">
        <f>(I14-35744)/437.26</f>
        <v>568.49014316425007</v>
      </c>
      <c r="K14" s="45"/>
      <c r="L14" s="45"/>
      <c r="M14" s="13"/>
      <c r="N14" s="13"/>
      <c r="O14" s="18">
        <v>4261672</v>
      </c>
      <c r="P14" s="19">
        <f t="shared" si="2"/>
        <v>5215.3424502712478</v>
      </c>
      <c r="Q14" s="45"/>
      <c r="R14" s="45"/>
      <c r="S14" s="19">
        <v>20307</v>
      </c>
      <c r="T14" s="19">
        <f t="shared" si="3"/>
        <v>141.30274816038445</v>
      </c>
      <c r="U14" s="45"/>
      <c r="V14" s="45"/>
      <c r="W14" s="18">
        <v>73421</v>
      </c>
      <c r="X14" s="19">
        <f t="shared" si="4"/>
        <v>7.2946673165156888</v>
      </c>
      <c r="Y14" s="45"/>
      <c r="Z14" s="45"/>
      <c r="AA14" s="18">
        <v>13323557</v>
      </c>
      <c r="AB14" s="19">
        <f t="shared" si="5"/>
        <v>6169.8351838144581</v>
      </c>
      <c r="AC14" s="45"/>
      <c r="AD14" s="45"/>
      <c r="AE14" s="18">
        <v>254908</v>
      </c>
      <c r="AF14" s="19">
        <f t="shared" si="6"/>
        <v>20.41502366913047</v>
      </c>
      <c r="AG14" s="45"/>
      <c r="AH14" s="45"/>
      <c r="AI14" s="13"/>
      <c r="AJ14" s="13"/>
      <c r="AK14" s="18">
        <v>113956</v>
      </c>
      <c r="AL14" s="19">
        <f t="shared" si="7"/>
        <v>8.6591396063449881</v>
      </c>
      <c r="AM14" s="45"/>
      <c r="AN14" s="45"/>
      <c r="AO14" s="13"/>
      <c r="AP14" s="13"/>
    </row>
    <row r="15" spans="2:42" x14ac:dyDescent="0.4">
      <c r="B15" s="67"/>
      <c r="C15" s="64"/>
      <c r="D15" s="62" t="s">
        <v>22</v>
      </c>
      <c r="E15" s="18">
        <v>42480</v>
      </c>
      <c r="F15" s="19">
        <f t="shared" si="0"/>
        <v>582.09670370832805</v>
      </c>
      <c r="G15" s="45">
        <f t="shared" ref="G15" si="39">AVERAGE(F15:F17)</f>
        <v>598.02149664960245</v>
      </c>
      <c r="H15" s="45">
        <f t="shared" ref="H15" si="40">STDEV(F15:F17)</f>
        <v>14.173587997501565</v>
      </c>
      <c r="I15" s="18">
        <v>387530</v>
      </c>
      <c r="J15" s="19">
        <f t="shared" si="1"/>
        <v>804.52362438823582</v>
      </c>
      <c r="K15" s="45">
        <f t="shared" ref="K15" si="41">AVERAGE(J15:J17)</f>
        <v>810.30355699888696</v>
      </c>
      <c r="L15" s="45">
        <f t="shared" ref="L15" si="42">STDEV(J15:J17)</f>
        <v>5.2972460403864261</v>
      </c>
      <c r="M15" s="13"/>
      <c r="N15" s="13"/>
      <c r="O15" s="18">
        <v>5608889</v>
      </c>
      <c r="P15" s="19">
        <f t="shared" si="2"/>
        <v>7118.6214398734173</v>
      </c>
      <c r="Q15" s="45">
        <f t="shared" ref="Q15" si="43">AVERAGE(P15:P17)</f>
        <v>7056.4609704641343</v>
      </c>
      <c r="R15" s="45">
        <f t="shared" ref="R15" si="44">STDEV(P15:P17)</f>
        <v>66.206587959495025</v>
      </c>
      <c r="S15" s="19">
        <v>15958</v>
      </c>
      <c r="T15" s="19">
        <f t="shared" si="3"/>
        <v>108.64769484907644</v>
      </c>
      <c r="U15" s="45">
        <f t="shared" ref="U15" si="45">AVERAGE(T15:T17)</f>
        <v>109.2433798868699</v>
      </c>
      <c r="V15" s="45">
        <f t="shared" ref="V15" si="46">STDEV(T15:T17)</f>
        <v>3.2696663841332851</v>
      </c>
      <c r="W15" s="18">
        <v>287969</v>
      </c>
      <c r="X15" s="19">
        <f t="shared" si="4"/>
        <v>43.352548696660556</v>
      </c>
      <c r="Y15" s="45">
        <f t="shared" ref="Y15" si="47">AVERAGE(X15:X17)</f>
        <v>42.519229368694077</v>
      </c>
      <c r="Z15" s="45">
        <f t="shared" ref="Z15" si="48">STDEV(X15:X17)</f>
        <v>0.72741232883026752</v>
      </c>
      <c r="AA15" s="18">
        <v>13674233</v>
      </c>
      <c r="AB15" s="19">
        <f t="shared" si="5"/>
        <v>6342.8803355539103</v>
      </c>
      <c r="AC15" s="45">
        <f t="shared" ref="AC15" si="49">AVERAGE(AB15:AB17)</f>
        <v>6268.954683773336</v>
      </c>
      <c r="AD15" s="45">
        <f t="shared" ref="AD15" si="50">STDEV(AB15:AB17)</f>
        <v>64.181051858496318</v>
      </c>
      <c r="AE15" s="18">
        <v>311109</v>
      </c>
      <c r="AF15" s="19">
        <f t="shared" si="6"/>
        <v>25.082493148409601</v>
      </c>
      <c r="AG15" s="45">
        <f t="shared" ref="AG15" si="51">AVERAGE(AF15:AF17)</f>
        <v>25.36779614096282</v>
      </c>
      <c r="AH15" s="45">
        <f t="shared" ref="AH15" si="52">STDEV(AF15:AF17)</f>
        <v>0.39184425917602522</v>
      </c>
      <c r="AI15" s="13"/>
      <c r="AJ15" s="13"/>
      <c r="AK15" s="18">
        <v>81591</v>
      </c>
      <c r="AL15" s="19">
        <f t="shared" si="7"/>
        <v>5.9712399302383519</v>
      </c>
      <c r="AM15" s="45">
        <f t="shared" ref="AM15" si="53">AVERAGE(AL15:AL17)</f>
        <v>6.1056418348420669</v>
      </c>
      <c r="AN15" s="45">
        <f t="shared" ref="AN15" si="54">STDEV(AL15:AL17)</f>
        <v>0.11875289509218417</v>
      </c>
      <c r="AO15" s="13"/>
      <c r="AP15" s="13"/>
    </row>
    <row r="16" spans="2:42" x14ac:dyDescent="0.4">
      <c r="B16" s="67"/>
      <c r="C16" s="64"/>
      <c r="D16" s="62"/>
      <c r="E16" s="18">
        <v>43801</v>
      </c>
      <c r="F16" s="19">
        <f t="shared" si="0"/>
        <v>602.71413409913839</v>
      </c>
      <c r="G16" s="45"/>
      <c r="H16" s="45"/>
      <c r="I16" s="18">
        <v>390563</v>
      </c>
      <c r="J16" s="19">
        <f t="shared" si="1"/>
        <v>811.46000091478754</v>
      </c>
      <c r="K16" s="45"/>
      <c r="L16" s="45"/>
      <c r="M16" s="13"/>
      <c r="N16" s="13"/>
      <c r="O16" s="18">
        <v>5570170</v>
      </c>
      <c r="P16" s="19">
        <f t="shared" si="2"/>
        <v>7063.9212251356239</v>
      </c>
      <c r="Q16" s="45"/>
      <c r="R16" s="45"/>
      <c r="S16" s="19">
        <v>15647</v>
      </c>
      <c r="T16" s="19">
        <f t="shared" si="3"/>
        <v>106.31250938579366</v>
      </c>
      <c r="U16" s="45"/>
      <c r="V16" s="45"/>
      <c r="W16" s="18">
        <v>281074</v>
      </c>
      <c r="X16" s="19">
        <f t="shared" si="4"/>
        <v>42.193744642947173</v>
      </c>
      <c r="Y16" s="45"/>
      <c r="Z16" s="45"/>
      <c r="AA16" s="18">
        <v>13458683</v>
      </c>
      <c r="AB16" s="19">
        <f t="shared" si="5"/>
        <v>6236.5146804835922</v>
      </c>
      <c r="AC16" s="45"/>
      <c r="AD16" s="45"/>
      <c r="AE16" s="18">
        <v>312600</v>
      </c>
      <c r="AF16" s="19">
        <f t="shared" si="6"/>
        <v>25.206320073083631</v>
      </c>
      <c r="AG16" s="45"/>
      <c r="AH16" s="45"/>
      <c r="AI16" s="13"/>
      <c r="AJ16" s="13"/>
      <c r="AK16" s="18">
        <v>84302</v>
      </c>
      <c r="AL16" s="19">
        <f t="shared" si="7"/>
        <v>6.1963873432439165</v>
      </c>
      <c r="AM16" s="45"/>
      <c r="AN16" s="45"/>
      <c r="AO16" s="13"/>
      <c r="AP16" s="13"/>
    </row>
    <row r="17" spans="2:42" x14ac:dyDescent="0.4">
      <c r="B17" s="67"/>
      <c r="C17" s="64"/>
      <c r="D17" s="62"/>
      <c r="E17" s="18">
        <v>44220</v>
      </c>
      <c r="F17" s="19">
        <f t="shared" si="0"/>
        <v>609.25365214134092</v>
      </c>
      <c r="G17" s="45"/>
      <c r="H17" s="45"/>
      <c r="I17" s="18">
        <v>392079</v>
      </c>
      <c r="J17" s="19">
        <f t="shared" si="1"/>
        <v>814.92704569363764</v>
      </c>
      <c r="K17" s="45"/>
      <c r="L17" s="45"/>
      <c r="M17" s="13"/>
      <c r="N17" s="13"/>
      <c r="O17" s="18">
        <v>5515609</v>
      </c>
      <c r="P17" s="19">
        <f t="shared" si="2"/>
        <v>6986.8402463833636</v>
      </c>
      <c r="Q17" s="45"/>
      <c r="R17" s="45"/>
      <c r="S17" s="19">
        <v>16507</v>
      </c>
      <c r="T17" s="19">
        <f t="shared" si="3"/>
        <v>112.7699354257396</v>
      </c>
      <c r="U17" s="45"/>
      <c r="V17" s="45"/>
      <c r="W17" s="18">
        <v>279989</v>
      </c>
      <c r="X17" s="19">
        <f t="shared" si="4"/>
        <v>42.01139476647451</v>
      </c>
      <c r="Y17" s="45"/>
      <c r="Z17" s="45"/>
      <c r="AA17" s="18">
        <v>13440352</v>
      </c>
      <c r="AB17" s="19">
        <f t="shared" si="5"/>
        <v>6227.4690352825064</v>
      </c>
      <c r="AC17" s="45"/>
      <c r="AD17" s="45"/>
      <c r="AE17" s="18">
        <v>319924</v>
      </c>
      <c r="AF17" s="19">
        <f t="shared" si="6"/>
        <v>25.814575201395233</v>
      </c>
      <c r="AG17" s="45"/>
      <c r="AH17" s="45"/>
      <c r="AI17" s="13"/>
      <c r="AJ17" s="13"/>
      <c r="AK17" s="18">
        <v>83735</v>
      </c>
      <c r="AL17" s="19">
        <f t="shared" si="7"/>
        <v>6.1492982310439332</v>
      </c>
      <c r="AM17" s="45"/>
      <c r="AN17" s="45"/>
      <c r="AO17" s="13"/>
      <c r="AP17" s="13"/>
    </row>
    <row r="18" spans="2:42" x14ac:dyDescent="0.4">
      <c r="B18" s="66" t="s">
        <v>24</v>
      </c>
      <c r="C18" s="64" t="s">
        <v>20</v>
      </c>
      <c r="D18" s="62" t="s">
        <v>21</v>
      </c>
      <c r="E18" s="18">
        <v>31784</v>
      </c>
      <c r="F18" s="19">
        <f t="shared" si="0"/>
        <v>415.15950805343982</v>
      </c>
      <c r="G18" s="45">
        <f t="shared" ref="G18" si="55">AVERAGE(F18:F20)</f>
        <v>415.03985100095719</v>
      </c>
      <c r="H18" s="45">
        <f t="shared" ref="H18" si="56">STDEV(F18:F20)</f>
        <v>7.1723680594194059</v>
      </c>
      <c r="I18" s="18">
        <v>369938</v>
      </c>
      <c r="J18" s="19">
        <f t="shared" si="1"/>
        <v>764.29126835292504</v>
      </c>
      <c r="K18" s="45">
        <f t="shared" ref="K18" si="57">AVERAGE(J18:J20)</f>
        <v>746.26537986552637</v>
      </c>
      <c r="L18" s="45">
        <f t="shared" ref="L18" si="58">STDEV(J18:J20)</f>
        <v>17.404669591628451</v>
      </c>
      <c r="M18" s="13"/>
      <c r="N18" s="13"/>
      <c r="O18" s="18">
        <v>4408924</v>
      </c>
      <c r="P18" s="19">
        <f t="shared" si="2"/>
        <v>5423.3725135623863</v>
      </c>
      <c r="Q18" s="45">
        <f t="shared" ref="Q18" si="59">AVERAGE(P18:P20)</f>
        <v>5517.5727094635322</v>
      </c>
      <c r="R18" s="45">
        <f t="shared" ref="R18" si="60">STDEV(P18:P20)</f>
        <v>109.87078245990787</v>
      </c>
      <c r="S18" s="19">
        <v>16167</v>
      </c>
      <c r="T18" s="19">
        <f t="shared" si="3"/>
        <v>110.2169995494819</v>
      </c>
      <c r="U18" s="45">
        <f t="shared" ref="U18" si="61">AVERAGE(T18:T20)</f>
        <v>108.73279271161836</v>
      </c>
      <c r="V18" s="45">
        <f t="shared" ref="V18" si="62">STDEV(T18:T20)</f>
        <v>3.0441040726383393</v>
      </c>
      <c r="W18" s="18">
        <v>68956</v>
      </c>
      <c r="X18" s="19">
        <f t="shared" si="4"/>
        <v>6.5442597603401618</v>
      </c>
      <c r="Y18" s="45">
        <f t="shared" ref="Y18" si="63">AVERAGE(X18:X20)</f>
        <v>6.9430205654806914</v>
      </c>
      <c r="Z18" s="45">
        <f t="shared" ref="Z18" si="64">STDEV(X18:X20)</f>
        <v>0.47023090280159546</v>
      </c>
      <c r="AA18" s="18">
        <v>9006880</v>
      </c>
      <c r="AB18" s="19">
        <f t="shared" si="5"/>
        <v>4039.7207007155193</v>
      </c>
      <c r="AC18" s="45">
        <f t="shared" ref="AC18" si="65">AVERAGE(AB18:AB20)</f>
        <v>4087.1379225265241</v>
      </c>
      <c r="AD18" s="45">
        <f t="shared" ref="AD18" si="66">STDEV(AB18:AB20)</f>
        <v>47.489926871472235</v>
      </c>
      <c r="AE18" s="18">
        <v>376655</v>
      </c>
      <c r="AF18" s="19">
        <f t="shared" si="6"/>
        <v>30.526060958392158</v>
      </c>
      <c r="AG18" s="45">
        <f t="shared" ref="AG18" si="67">AVERAGE(AF18:AF20)</f>
        <v>30.370370677961407</v>
      </c>
      <c r="AH18" s="45">
        <f t="shared" ref="AH18" si="68">STDEV(AF18:AF20)</f>
        <v>0.32185481462399157</v>
      </c>
      <c r="AI18" s="13"/>
      <c r="AJ18" s="13"/>
      <c r="AK18" s="18">
        <v>232103</v>
      </c>
      <c r="AL18" s="19">
        <f t="shared" si="7"/>
        <v>18.471198405448053</v>
      </c>
      <c r="AM18" s="45">
        <f t="shared" ref="AM18" si="69">AVERAGE(AL18:AL20)</f>
        <v>17.905658444758185</v>
      </c>
      <c r="AN18" s="45">
        <f t="shared" ref="AN18" si="70">STDEV(AL18:AL20)</f>
        <v>0.49037814848159883</v>
      </c>
      <c r="AO18" s="13"/>
      <c r="AP18" s="13"/>
    </row>
    <row r="19" spans="2:42" x14ac:dyDescent="0.4">
      <c r="B19" s="67"/>
      <c r="C19" s="64"/>
      <c r="D19" s="62"/>
      <c r="E19" s="18">
        <v>31313</v>
      </c>
      <c r="F19" s="19">
        <f t="shared" si="0"/>
        <v>407.80840304657255</v>
      </c>
      <c r="G19" s="45"/>
      <c r="H19" s="45"/>
      <c r="I19" s="18">
        <v>354750</v>
      </c>
      <c r="J19" s="19">
        <f t="shared" si="1"/>
        <v>729.55678543658235</v>
      </c>
      <c r="K19" s="45"/>
      <c r="L19" s="45"/>
      <c r="M19" s="13"/>
      <c r="N19" s="13"/>
      <c r="O19" s="18">
        <v>4456848</v>
      </c>
      <c r="P19" s="19">
        <f t="shared" si="2"/>
        <v>5491.0770795660037</v>
      </c>
      <c r="Q19" s="45"/>
      <c r="R19" s="45"/>
      <c r="S19" s="19">
        <v>16238</v>
      </c>
      <c r="T19" s="19">
        <f t="shared" si="3"/>
        <v>110.75011262952395</v>
      </c>
      <c r="U19" s="45"/>
      <c r="V19" s="45"/>
      <c r="W19" s="18">
        <v>74414</v>
      </c>
      <c r="X19" s="19">
        <f t="shared" si="4"/>
        <v>7.4615552679786887</v>
      </c>
      <c r="Y19" s="45"/>
      <c r="Z19" s="45"/>
      <c r="AA19" s="18">
        <v>9102677</v>
      </c>
      <c r="AB19" s="19">
        <f t="shared" si="5"/>
        <v>4086.9928448063165</v>
      </c>
      <c r="AC19" s="45"/>
      <c r="AD19" s="45"/>
      <c r="AE19" s="18">
        <v>370324</v>
      </c>
      <c r="AF19" s="19">
        <f t="shared" si="6"/>
        <v>30.000274063615979</v>
      </c>
      <c r="AG19" s="45"/>
      <c r="AH19" s="45"/>
      <c r="AI19" s="13"/>
      <c r="AJ19" s="13"/>
      <c r="AK19" s="18">
        <v>222182</v>
      </c>
      <c r="AL19" s="19">
        <f t="shared" si="7"/>
        <v>17.647263516319242</v>
      </c>
      <c r="AM19" s="45"/>
      <c r="AN19" s="45"/>
      <c r="AO19" s="13"/>
      <c r="AP19" s="13"/>
    </row>
    <row r="20" spans="2:42" x14ac:dyDescent="0.4">
      <c r="B20" s="67"/>
      <c r="C20" s="64"/>
      <c r="D20" s="62"/>
      <c r="E20" s="18">
        <v>32232</v>
      </c>
      <c r="F20" s="19">
        <f t="shared" si="0"/>
        <v>422.15164190285924</v>
      </c>
      <c r="G20" s="45"/>
      <c r="H20" s="45"/>
      <c r="I20" s="18">
        <v>361480</v>
      </c>
      <c r="J20" s="19">
        <f t="shared" si="1"/>
        <v>744.94808580707138</v>
      </c>
      <c r="K20" s="45"/>
      <c r="L20" s="45"/>
      <c r="M20" s="13"/>
      <c r="N20" s="13"/>
      <c r="O20" s="18">
        <v>4561036</v>
      </c>
      <c r="P20" s="19">
        <f t="shared" si="2"/>
        <v>5638.2685352622057</v>
      </c>
      <c r="Q20" s="45"/>
      <c r="R20" s="45"/>
      <c r="S20" s="19">
        <v>15503</v>
      </c>
      <c r="T20" s="19">
        <f t="shared" si="3"/>
        <v>105.23126595584922</v>
      </c>
      <c r="U20" s="45"/>
      <c r="V20" s="45"/>
      <c r="W20" s="18">
        <v>70616</v>
      </c>
      <c r="X20" s="19">
        <f t="shared" si="4"/>
        <v>6.8232466681232244</v>
      </c>
      <c r="Y20" s="45"/>
      <c r="Z20" s="45"/>
      <c r="AA20" s="18">
        <v>9199356</v>
      </c>
      <c r="AB20" s="19">
        <f t="shared" si="5"/>
        <v>4134.7002220577351</v>
      </c>
      <c r="AC20" s="45"/>
      <c r="AD20" s="45"/>
      <c r="AE20" s="18">
        <v>377362</v>
      </c>
      <c r="AF20" s="19">
        <f t="shared" si="6"/>
        <v>30.584777011876088</v>
      </c>
      <c r="AG20" s="45"/>
      <c r="AH20" s="45"/>
      <c r="AI20" s="13"/>
      <c r="AJ20" s="13"/>
      <c r="AK20" s="18">
        <v>221595</v>
      </c>
      <c r="AL20" s="19">
        <f t="shared" si="7"/>
        <v>17.598513412507266</v>
      </c>
      <c r="AM20" s="45"/>
      <c r="AN20" s="45"/>
      <c r="AO20" s="13"/>
      <c r="AP20" s="13"/>
    </row>
    <row r="21" spans="2:42" x14ac:dyDescent="0.4">
      <c r="B21" s="67"/>
      <c r="C21" s="64"/>
      <c r="D21" s="62" t="s">
        <v>22</v>
      </c>
      <c r="E21" s="18">
        <v>94359</v>
      </c>
      <c r="F21" s="19">
        <f t="shared" si="0"/>
        <v>1391.7951679360719</v>
      </c>
      <c r="G21" s="45">
        <f t="shared" ref="G21" si="71">AVERAGE(F21:F23)</f>
        <v>1410.3524160319639</v>
      </c>
      <c r="H21" s="45">
        <f t="shared" ref="H21" si="72">STDEV(F21:F23)</f>
        <v>26.74216140353694</v>
      </c>
      <c r="I21" s="18">
        <v>672645</v>
      </c>
      <c r="J21" s="19">
        <f t="shared" si="1"/>
        <v>1456.5727484791657</v>
      </c>
      <c r="K21" s="45">
        <f t="shared" ref="K21" si="73">AVERAGE(J21:J23)</f>
        <v>1460.2578176218574</v>
      </c>
      <c r="L21" s="45">
        <f t="shared" ref="L21" si="74">STDEV(J21:J23)</f>
        <v>10.395417438513403</v>
      </c>
      <c r="M21" s="13"/>
      <c r="N21" s="13"/>
      <c r="O21" s="18">
        <v>7332094</v>
      </c>
      <c r="P21" s="19">
        <f t="shared" si="2"/>
        <v>9553.0769665461121</v>
      </c>
      <c r="Q21" s="45">
        <f t="shared" ref="Q21" si="75">AVERAGE(P21:P23)</f>
        <v>9551.4381781193497</v>
      </c>
      <c r="R21" s="45">
        <f t="shared" ref="R21" si="76">STDEV(P21:P23)</f>
        <v>38.97109293264274</v>
      </c>
      <c r="S21" s="19">
        <v>19735</v>
      </c>
      <c r="T21" s="19">
        <f t="shared" si="3"/>
        <v>137.00780898032738</v>
      </c>
      <c r="U21" s="45">
        <f t="shared" ref="U21" si="77">AVERAGE(T21:T23)</f>
        <v>142.03358862692096</v>
      </c>
      <c r="V21" s="45">
        <f t="shared" ref="V21" si="78">STDEV(T21:T23)</f>
        <v>4.3555864723096409</v>
      </c>
      <c r="W21" s="18">
        <v>213742</v>
      </c>
      <c r="X21" s="19">
        <f t="shared" si="4"/>
        <v>30.877632308700694</v>
      </c>
      <c r="Y21" s="45">
        <f t="shared" ref="Y21" si="79">AVERAGE(X21:X23)</f>
        <v>30.637748385181197</v>
      </c>
      <c r="Z21" s="45">
        <f t="shared" ref="Z21" si="80">STDEV(X21:X23)</f>
        <v>0.20950030523284668</v>
      </c>
      <c r="AA21" s="18">
        <v>20238164</v>
      </c>
      <c r="AB21" s="19">
        <f t="shared" si="5"/>
        <v>9581.9284480631632</v>
      </c>
      <c r="AC21" s="45">
        <f t="shared" ref="AC21" si="81">AVERAGE(AB21:AB23)</f>
        <v>9520.2797927461143</v>
      </c>
      <c r="AD21" s="45">
        <f t="shared" ref="AD21" si="82">STDEV(AB21:AB23)</f>
        <v>137.02285696309133</v>
      </c>
      <c r="AE21" s="18">
        <v>394894</v>
      </c>
      <c r="AF21" s="19">
        <f t="shared" si="6"/>
        <v>32.040802258948588</v>
      </c>
      <c r="AG21" s="45">
        <f t="shared" ref="AG21" si="83">AVERAGE(AF21:AF23)</f>
        <v>32.821246851036733</v>
      </c>
      <c r="AH21" s="45">
        <f t="shared" ref="AH21" si="84">STDEV(AF21:AF23)</f>
        <v>0.67652756393077307</v>
      </c>
      <c r="AI21" s="13"/>
      <c r="AJ21" s="13"/>
      <c r="AK21" s="18">
        <v>146460</v>
      </c>
      <c r="AL21" s="19">
        <f t="shared" si="7"/>
        <v>11.358583174154971</v>
      </c>
      <c r="AM21" s="45">
        <f t="shared" ref="AM21" si="85">AVERAGE(AL21:AL23)</f>
        <v>11.037651911524515</v>
      </c>
      <c r="AN21" s="45">
        <f t="shared" ref="AN21" si="86">STDEV(AL21:AL23)</f>
        <v>0.27813311155697112</v>
      </c>
      <c r="AO21" s="13"/>
      <c r="AP21" s="13"/>
    </row>
    <row r="22" spans="2:42" x14ac:dyDescent="0.4">
      <c r="B22" s="67"/>
      <c r="C22" s="64"/>
      <c r="D22" s="62"/>
      <c r="E22" s="18">
        <v>97512</v>
      </c>
      <c r="F22" s="19">
        <f t="shared" si="0"/>
        <v>1441.0054313896867</v>
      </c>
      <c r="G22" s="45"/>
      <c r="H22" s="45"/>
      <c r="I22" s="18">
        <v>670736</v>
      </c>
      <c r="J22" s="19">
        <f t="shared" si="1"/>
        <v>1452.2069249416822</v>
      </c>
      <c r="K22" s="45"/>
      <c r="L22" s="45"/>
      <c r="M22" s="13"/>
      <c r="N22" s="13"/>
      <c r="O22" s="18">
        <v>7357921</v>
      </c>
      <c r="P22" s="19">
        <f t="shared" si="2"/>
        <v>9589.5640257685354</v>
      </c>
      <c r="Q22" s="45"/>
      <c r="R22" s="45"/>
      <c r="S22" s="19">
        <v>20761</v>
      </c>
      <c r="T22" s="19">
        <f t="shared" si="3"/>
        <v>144.71166841868148</v>
      </c>
      <c r="U22" s="45"/>
      <c r="V22" s="45"/>
      <c r="W22" s="18">
        <v>211440</v>
      </c>
      <c r="X22" s="19">
        <f t="shared" si="4"/>
        <v>30.490748054654542</v>
      </c>
      <c r="Y22" s="45"/>
      <c r="Z22" s="45"/>
      <c r="AA22" s="18">
        <v>19795036</v>
      </c>
      <c r="AB22" s="19">
        <f t="shared" si="5"/>
        <v>9363.2617813964971</v>
      </c>
      <c r="AC22" s="45"/>
      <c r="AD22" s="45"/>
      <c r="AE22" s="18">
        <v>408635</v>
      </c>
      <c r="AF22" s="19">
        <f t="shared" si="6"/>
        <v>33.181986545967945</v>
      </c>
      <c r="AG22" s="45"/>
      <c r="AH22" s="45"/>
      <c r="AI22" s="13"/>
      <c r="AJ22" s="13"/>
      <c r="AK22" s="18">
        <v>140790</v>
      </c>
      <c r="AL22" s="19">
        <f t="shared" si="7"/>
        <v>10.887692052155138</v>
      </c>
      <c r="AM22" s="45"/>
      <c r="AN22" s="45"/>
      <c r="AO22" s="13"/>
      <c r="AP22" s="13"/>
    </row>
    <row r="23" spans="2:42" x14ac:dyDescent="0.4">
      <c r="B23" s="67"/>
      <c r="C23" s="64"/>
      <c r="D23" s="62"/>
      <c r="E23" s="18">
        <v>94773</v>
      </c>
      <c r="F23" s="19">
        <f t="shared" si="0"/>
        <v>1398.2566487701336</v>
      </c>
      <c r="G23" s="45"/>
      <c r="H23" s="45"/>
      <c r="I23" s="18">
        <v>679388</v>
      </c>
      <c r="J23" s="19">
        <f t="shared" si="1"/>
        <v>1471.9937794447239</v>
      </c>
      <c r="K23" s="45"/>
      <c r="L23" s="45"/>
      <c r="M23" s="13"/>
      <c r="N23" s="13"/>
      <c r="O23" s="18">
        <v>7302787</v>
      </c>
      <c r="P23" s="19">
        <f t="shared" si="2"/>
        <v>9511.6735420433997</v>
      </c>
      <c r="Q23" s="45"/>
      <c r="R23" s="45"/>
      <c r="S23" s="19">
        <v>20717</v>
      </c>
      <c r="T23" s="19">
        <f t="shared" si="3"/>
        <v>144.38128848175401</v>
      </c>
      <c r="U23" s="45"/>
      <c r="V23" s="45"/>
      <c r="W23" s="18">
        <v>211762</v>
      </c>
      <c r="X23" s="19">
        <f t="shared" si="4"/>
        <v>30.544864792188363</v>
      </c>
      <c r="Y23" s="45"/>
      <c r="Z23" s="45"/>
      <c r="AA23" s="18">
        <v>20306499</v>
      </c>
      <c r="AB23" s="19">
        <f t="shared" si="5"/>
        <v>9615.6491487786825</v>
      </c>
      <c r="AC23" s="45"/>
      <c r="AD23" s="45"/>
      <c r="AE23" s="18">
        <v>409345</v>
      </c>
      <c r="AF23" s="19">
        <f t="shared" si="6"/>
        <v>33.240951748193673</v>
      </c>
      <c r="AG23" s="45"/>
      <c r="AH23" s="45"/>
      <c r="AI23" s="13"/>
      <c r="AJ23" s="13"/>
      <c r="AK23" s="18">
        <v>140537</v>
      </c>
      <c r="AL23" s="19">
        <f t="shared" si="7"/>
        <v>10.866680508263434</v>
      </c>
      <c r="AM23" s="45"/>
      <c r="AN23" s="45"/>
      <c r="AO23" s="13"/>
      <c r="AP23" s="13"/>
    </row>
    <row r="24" spans="2:42" x14ac:dyDescent="0.4">
      <c r="B24" s="67"/>
      <c r="C24" s="64" t="s">
        <v>23</v>
      </c>
      <c r="D24" s="62" t="s">
        <v>21</v>
      </c>
      <c r="E24" s="18">
        <v>47086</v>
      </c>
      <c r="F24" s="19">
        <f t="shared" si="0"/>
        <v>653.98457984767128</v>
      </c>
      <c r="G24" s="45">
        <f t="shared" ref="G24" si="87">AVERAGE(F24:F26)</f>
        <v>643.67326341199475</v>
      </c>
      <c r="H24" s="45">
        <f t="shared" ref="H24" si="88">STDEV(F24:F26)</f>
        <v>14.255877964543362</v>
      </c>
      <c r="I24" s="18">
        <v>418991</v>
      </c>
      <c r="J24" s="19">
        <f t="shared" si="1"/>
        <v>876.4739514247816</v>
      </c>
      <c r="K24" s="45">
        <f t="shared" ref="K24" si="89">AVERAGE(J24:J26)</f>
        <v>881.03492963759163</v>
      </c>
      <c r="L24" s="45">
        <f t="shared" ref="L24" si="90">STDEV(J24:J26)</f>
        <v>5.8798428757795822</v>
      </c>
      <c r="M24" s="13"/>
      <c r="N24" s="13"/>
      <c r="O24" s="18">
        <v>5346909</v>
      </c>
      <c r="P24" s="19">
        <f t="shared" si="2"/>
        <v>6748.5095501808319</v>
      </c>
      <c r="Q24" s="45">
        <f t="shared" ref="Q24" si="91">AVERAGE(P24:P26)</f>
        <v>6673.7021549125975</v>
      </c>
      <c r="R24" s="45">
        <f t="shared" ref="R24" si="92">STDEV(P24:P26)</f>
        <v>68.361615187516108</v>
      </c>
      <c r="S24" s="19">
        <v>23700</v>
      </c>
      <c r="T24" s="19">
        <f t="shared" si="3"/>
        <v>166.77954647845021</v>
      </c>
      <c r="U24" s="45">
        <f t="shared" ref="U24" si="93">AVERAGE(T24:T26)</f>
        <v>163.82114431596335</v>
      </c>
      <c r="V24" s="45">
        <f t="shared" ref="V24" si="94">STDEV(T24:T26)</f>
        <v>2.9215827382963178</v>
      </c>
      <c r="W24" s="18">
        <v>70341</v>
      </c>
      <c r="X24" s="19">
        <f t="shared" si="4"/>
        <v>6.7770289574965119</v>
      </c>
      <c r="Y24" s="45">
        <f t="shared" ref="Y24" si="95">AVERAGE(X24:X26)</f>
        <v>7.3157313882679835</v>
      </c>
      <c r="Z24" s="45">
        <f t="shared" ref="Z24" si="96">STDEV(X24:X26)</f>
        <v>0.47083551500339094</v>
      </c>
      <c r="AA24" s="18">
        <v>13368367</v>
      </c>
      <c r="AB24" s="19">
        <f t="shared" si="5"/>
        <v>6191.9471996052307</v>
      </c>
      <c r="AC24" s="45">
        <f t="shared" ref="AC24" si="97">AVERAGE(AB24:AB26)</f>
        <v>6332.5311292047045</v>
      </c>
      <c r="AD24" s="45">
        <f t="shared" ref="AD24" si="98">STDEV(AB24:AB26)</f>
        <v>121.87706126314556</v>
      </c>
      <c r="AE24" s="18">
        <v>403431</v>
      </c>
      <c r="AF24" s="19">
        <f t="shared" si="6"/>
        <v>32.749796528527533</v>
      </c>
      <c r="AG24" s="45">
        <f t="shared" ref="AG24" si="99">AVERAGE(AF24:AF26)</f>
        <v>32.777313622899534</v>
      </c>
      <c r="AH24" s="45">
        <f t="shared" ref="AH24" si="100">STDEV(AF24:AF26)</f>
        <v>3.9017425991866035E-2</v>
      </c>
      <c r="AI24" s="13"/>
      <c r="AJ24" s="13"/>
      <c r="AK24" s="18">
        <v>200774</v>
      </c>
      <c r="AL24" s="19">
        <f t="shared" si="7"/>
        <v>15.869338094842622</v>
      </c>
      <c r="AM24" s="45">
        <f t="shared" ref="AM24" si="101">AVERAGE(AL24:AL26)</f>
        <v>15.794593472302966</v>
      </c>
      <c r="AN24" s="45">
        <f t="shared" ref="AN24" si="102">STDEV(AL24:AL26)</f>
        <v>0.23155541162760074</v>
      </c>
      <c r="AO24" s="13"/>
      <c r="AP24" s="13"/>
    </row>
    <row r="25" spans="2:42" x14ac:dyDescent="0.4">
      <c r="B25" s="67"/>
      <c r="C25" s="64"/>
      <c r="D25" s="62"/>
      <c r="E25" s="18">
        <v>46807</v>
      </c>
      <c r="F25" s="19">
        <f t="shared" si="0"/>
        <v>649.63010363341232</v>
      </c>
      <c r="G25" s="45"/>
      <c r="H25" s="45"/>
      <c r="I25" s="18">
        <v>423887</v>
      </c>
      <c r="J25" s="19">
        <f t="shared" si="1"/>
        <v>887.67095092164845</v>
      </c>
      <c r="K25" s="45"/>
      <c r="L25" s="45"/>
      <c r="M25" s="13"/>
      <c r="N25" s="13"/>
      <c r="O25" s="18">
        <v>5252035</v>
      </c>
      <c r="P25" s="19">
        <f t="shared" si="2"/>
        <v>6614.4764353526216</v>
      </c>
      <c r="Q25" s="45"/>
      <c r="R25" s="45"/>
      <c r="S25" s="19">
        <v>22922</v>
      </c>
      <c r="T25" s="19">
        <f t="shared" si="3"/>
        <v>160.93782850277819</v>
      </c>
      <c r="U25" s="45"/>
      <c r="V25" s="45"/>
      <c r="W25" s="18">
        <v>74771</v>
      </c>
      <c r="X25" s="19">
        <f t="shared" si="4"/>
        <v>7.5215542595922749</v>
      </c>
      <c r="Y25" s="45"/>
      <c r="Z25" s="45"/>
      <c r="AA25" s="18">
        <v>13807015</v>
      </c>
      <c r="AB25" s="19">
        <f t="shared" si="5"/>
        <v>6408.4031581544532</v>
      </c>
      <c r="AC25" s="45"/>
      <c r="AD25" s="45"/>
      <c r="AE25" s="18">
        <v>404300</v>
      </c>
      <c r="AF25" s="19">
        <f t="shared" si="6"/>
        <v>32.8219666140686</v>
      </c>
      <c r="AG25" s="45"/>
      <c r="AH25" s="45"/>
      <c r="AI25" s="13"/>
      <c r="AJ25" s="13"/>
      <c r="AK25" s="18">
        <v>202101</v>
      </c>
      <c r="AL25" s="19">
        <f t="shared" si="7"/>
        <v>15.979544888298316</v>
      </c>
      <c r="AM25" s="45"/>
      <c r="AN25" s="45"/>
      <c r="AO25" s="13"/>
      <c r="AP25" s="13"/>
    </row>
    <row r="26" spans="2:42" x14ac:dyDescent="0.4">
      <c r="B26" s="67"/>
      <c r="C26" s="64"/>
      <c r="D26" s="62"/>
      <c r="E26" s="18">
        <v>45383</v>
      </c>
      <c r="F26" s="19">
        <f t="shared" si="0"/>
        <v>627.40510675490066</v>
      </c>
      <c r="G26" s="45"/>
      <c r="H26" s="45"/>
      <c r="I26" s="18">
        <v>420078</v>
      </c>
      <c r="J26" s="19">
        <f t="shared" si="1"/>
        <v>878.95988656634495</v>
      </c>
      <c r="K26" s="45"/>
      <c r="L26" s="45"/>
      <c r="M26" s="13"/>
      <c r="N26" s="13"/>
      <c r="O26" s="18">
        <v>5282928</v>
      </c>
      <c r="P26" s="19">
        <f t="shared" si="2"/>
        <v>6658.12047920434</v>
      </c>
      <c r="Q26" s="45"/>
      <c r="R26" s="45"/>
      <c r="S26" s="19">
        <v>23296</v>
      </c>
      <c r="T26" s="19">
        <f t="shared" si="3"/>
        <v>163.74605796666165</v>
      </c>
      <c r="U26" s="45"/>
      <c r="V26" s="45"/>
      <c r="W26" s="18">
        <v>75527</v>
      </c>
      <c r="X26" s="19">
        <f t="shared" si="4"/>
        <v>7.6486109477151638</v>
      </c>
      <c r="Y26" s="45"/>
      <c r="Z26" s="45"/>
      <c r="AA26" s="18">
        <v>13784399</v>
      </c>
      <c r="AB26" s="19">
        <f t="shared" si="5"/>
        <v>6397.2430298544286</v>
      </c>
      <c r="AC26" s="45"/>
      <c r="AD26" s="45"/>
      <c r="AE26" s="18">
        <v>403556</v>
      </c>
      <c r="AF26" s="19">
        <f t="shared" si="6"/>
        <v>32.760177726102484</v>
      </c>
      <c r="AG26" s="45"/>
      <c r="AH26" s="45"/>
      <c r="AI26" s="13"/>
      <c r="AJ26" s="13"/>
      <c r="AK26" s="18">
        <v>196747</v>
      </c>
      <c r="AL26" s="19">
        <f t="shared" si="7"/>
        <v>15.534897433767961</v>
      </c>
      <c r="AM26" s="45"/>
      <c r="AN26" s="45"/>
      <c r="AO26" s="13"/>
      <c r="AP26" s="13"/>
    </row>
    <row r="27" spans="2:42" x14ac:dyDescent="0.4">
      <c r="B27" s="67"/>
      <c r="C27" s="64"/>
      <c r="D27" s="62" t="s">
        <v>22</v>
      </c>
      <c r="E27" s="18">
        <v>65498</v>
      </c>
      <c r="F27" s="19">
        <f t="shared" si="0"/>
        <v>941.34879510550627</v>
      </c>
      <c r="G27" s="45">
        <f t="shared" ref="G27" si="103">AVERAGE(F27:F29)</f>
        <v>947.09233362467228</v>
      </c>
      <c r="H27" s="45">
        <f t="shared" ref="H27" si="104">STDEV(F27:F29)</f>
        <v>21.284819829636717</v>
      </c>
      <c r="I27" s="18">
        <v>490425</v>
      </c>
      <c r="J27" s="19">
        <f t="shared" si="1"/>
        <v>1039.841284361707</v>
      </c>
      <c r="K27" s="45">
        <f t="shared" ref="K27" si="105">AVERAGE(J27:J29)</f>
        <v>1041.1532421595084</v>
      </c>
      <c r="L27" s="45">
        <f t="shared" ref="L27" si="106">STDEV(J27:J29)</f>
        <v>6.7299553497412177</v>
      </c>
      <c r="M27" s="13"/>
      <c r="N27" s="13"/>
      <c r="O27" s="18">
        <v>5529242</v>
      </c>
      <c r="P27" s="19">
        <f t="shared" si="2"/>
        <v>7006.100248643761</v>
      </c>
      <c r="Q27" s="45">
        <f t="shared" ref="Q27" si="107">AVERAGE(P27:P29)</f>
        <v>6991.40625</v>
      </c>
      <c r="R27" s="45">
        <f t="shared" ref="R27" si="108">STDEV(P27:P29)</f>
        <v>12.740652823994777</v>
      </c>
      <c r="S27" s="19">
        <v>15757</v>
      </c>
      <c r="T27" s="19">
        <f t="shared" si="3"/>
        <v>107.13845922811232</v>
      </c>
      <c r="U27" s="45">
        <f t="shared" ref="U27" si="109">AVERAGE(T27:T29)</f>
        <v>111.53101066226161</v>
      </c>
      <c r="V27" s="45">
        <f t="shared" ref="V27" si="110">STDEV(T27:T29)</f>
        <v>5.0954871295613842</v>
      </c>
      <c r="W27" s="18">
        <v>187191</v>
      </c>
      <c r="X27" s="19">
        <f t="shared" si="4"/>
        <v>26.415354363792204</v>
      </c>
      <c r="Y27" s="45">
        <f t="shared" ref="Y27" si="111">AVERAGE(X27:X29)</f>
        <v>26.897699198332802</v>
      </c>
      <c r="Z27" s="45">
        <f t="shared" ref="Z27" si="112">STDEV(X27:X29)</f>
        <v>0.63491207869719424</v>
      </c>
      <c r="AA27" s="18">
        <v>15414523</v>
      </c>
      <c r="AB27" s="19">
        <f t="shared" si="5"/>
        <v>7201.6466814705154</v>
      </c>
      <c r="AC27" s="45">
        <f t="shared" ref="AC27" si="113">AVERAGE(AB27:AB29)</f>
        <v>7224.502014968336</v>
      </c>
      <c r="AD27" s="45">
        <f t="shared" ref="AD27" si="114">STDEV(AB27:AB29)</f>
        <v>234.93962929626068</v>
      </c>
      <c r="AE27" s="18">
        <v>348024</v>
      </c>
      <c r="AF27" s="19">
        <f t="shared" si="6"/>
        <v>28.148268416244498</v>
      </c>
      <c r="AG27" s="45">
        <f t="shared" ref="AG27" si="115">AVERAGE(AF27:AF29)</f>
        <v>28.117401655454973</v>
      </c>
      <c r="AH27" s="45">
        <f t="shared" ref="AH27" si="116">STDEV(AF27:AF29)</f>
        <v>0.19966315022051867</v>
      </c>
      <c r="AI27" s="13"/>
      <c r="AJ27" s="13"/>
      <c r="AK27" s="18">
        <v>106641</v>
      </c>
      <c r="AL27" s="19">
        <f t="shared" si="7"/>
        <v>8.0516319242587819</v>
      </c>
      <c r="AM27" s="45">
        <f t="shared" ref="AM27" si="117">AVERAGE(AL27:AL29)</f>
        <v>8.1513744705589222</v>
      </c>
      <c r="AN27" s="45">
        <f t="shared" ref="AN27" si="118">STDEV(AL27:AL29)</f>
        <v>0.16019747451198052</v>
      </c>
      <c r="AO27" s="13"/>
      <c r="AP27" s="13"/>
    </row>
    <row r="28" spans="2:42" x14ac:dyDescent="0.4">
      <c r="B28" s="67"/>
      <c r="C28" s="64"/>
      <c r="D28" s="62"/>
      <c r="E28" s="18">
        <v>67376</v>
      </c>
      <c r="F28" s="19">
        <f t="shared" si="0"/>
        <v>970.65957048320638</v>
      </c>
      <c r="G28" s="45"/>
      <c r="H28" s="45"/>
      <c r="I28" s="18">
        <v>494186</v>
      </c>
      <c r="J28" s="19">
        <f t="shared" si="1"/>
        <v>1048.4425742121393</v>
      </c>
      <c r="K28" s="45"/>
      <c r="L28" s="45"/>
      <c r="M28" s="13"/>
      <c r="N28" s="13"/>
      <c r="O28" s="18">
        <v>5513199</v>
      </c>
      <c r="P28" s="19">
        <f t="shared" si="2"/>
        <v>6983.4355221518981</v>
      </c>
      <c r="Q28" s="45"/>
      <c r="R28" s="45"/>
      <c r="S28" s="19">
        <v>17086</v>
      </c>
      <c r="T28" s="19">
        <f t="shared" si="3"/>
        <v>117.11743505030785</v>
      </c>
      <c r="U28" s="45"/>
      <c r="V28" s="45"/>
      <c r="W28" s="18">
        <v>188651</v>
      </c>
      <c r="X28" s="19">
        <f t="shared" si="4"/>
        <v>26.660728391119477</v>
      </c>
      <c r="Y28" s="45"/>
      <c r="Z28" s="45"/>
      <c r="AA28" s="18">
        <v>15009585</v>
      </c>
      <c r="AB28" s="19">
        <f t="shared" si="5"/>
        <v>7001.8253145817916</v>
      </c>
      <c r="AC28" s="45"/>
      <c r="AD28" s="45"/>
      <c r="AE28" s="18">
        <v>349849</v>
      </c>
      <c r="AF28" s="19">
        <f t="shared" si="6"/>
        <v>28.299833900838799</v>
      </c>
      <c r="AG28" s="45"/>
      <c r="AH28" s="45"/>
      <c r="AI28" s="13"/>
      <c r="AJ28" s="13"/>
      <c r="AK28" s="18">
        <v>106818</v>
      </c>
      <c r="AL28" s="19">
        <f t="shared" si="7"/>
        <v>8.0663317000249144</v>
      </c>
      <c r="AM28" s="45"/>
      <c r="AN28" s="45"/>
      <c r="AO28" s="13"/>
      <c r="AP28" s="13"/>
    </row>
    <row r="29" spans="2:42" ht="19.5" thickBot="1" x14ac:dyDescent="0.45">
      <c r="B29" s="68"/>
      <c r="C29" s="65"/>
      <c r="D29" s="63"/>
      <c r="E29" s="24">
        <v>64724</v>
      </c>
      <c r="F29" s="25">
        <f t="shared" si="0"/>
        <v>929.26863528530396</v>
      </c>
      <c r="G29" s="46"/>
      <c r="H29" s="46"/>
      <c r="I29" s="24">
        <v>488385</v>
      </c>
      <c r="J29" s="25">
        <f>(I29-35744)/437.26</f>
        <v>1035.1758679046791</v>
      </c>
      <c r="K29" s="46"/>
      <c r="L29" s="46"/>
      <c r="M29" s="14"/>
      <c r="N29" s="14"/>
      <c r="O29" s="24">
        <v>5514082</v>
      </c>
      <c r="P29" s="25">
        <f t="shared" si="2"/>
        <v>6984.68297920434</v>
      </c>
      <c r="Q29" s="46"/>
      <c r="R29" s="46"/>
      <c r="S29" s="25">
        <v>16183</v>
      </c>
      <c r="T29" s="25">
        <f t="shared" si="3"/>
        <v>110.33713770836462</v>
      </c>
      <c r="U29" s="46"/>
      <c r="V29" s="46"/>
      <c r="W29" s="24">
        <v>194341</v>
      </c>
      <c r="X29" s="25">
        <f t="shared" si="4"/>
        <v>27.617014840086721</v>
      </c>
      <c r="Y29" s="46"/>
      <c r="Z29" s="46"/>
      <c r="AA29" s="24">
        <v>15958410</v>
      </c>
      <c r="AB29" s="25">
        <f t="shared" si="5"/>
        <v>7470.0340488527017</v>
      </c>
      <c r="AC29" s="46"/>
      <c r="AD29" s="46"/>
      <c r="AE29" s="24">
        <v>345084</v>
      </c>
      <c r="AF29" s="25">
        <f t="shared" si="6"/>
        <v>27.904102649281619</v>
      </c>
      <c r="AG29" s="46"/>
      <c r="AH29" s="46"/>
      <c r="AI29" s="14"/>
      <c r="AJ29" s="14"/>
      <c r="AK29" s="24">
        <v>110067</v>
      </c>
      <c r="AL29" s="25">
        <f t="shared" si="7"/>
        <v>8.3361597873930737</v>
      </c>
      <c r="AM29" s="46"/>
      <c r="AN29" s="46"/>
      <c r="AO29" s="14"/>
      <c r="AP29" s="14"/>
    </row>
    <row r="42" spans="23:23" x14ac:dyDescent="0.4">
      <c r="W42" s="15"/>
    </row>
  </sheetData>
  <mergeCells count="188">
    <mergeCell ref="Q6:Q8"/>
    <mergeCell ref="R6:R8"/>
    <mergeCell ref="Q9:Q11"/>
    <mergeCell ref="D9:D11"/>
    <mergeCell ref="AI2:AJ3"/>
    <mergeCell ref="AO2:AP3"/>
    <mergeCell ref="B2:D3"/>
    <mergeCell ref="M2:N3"/>
    <mergeCell ref="E2:H3"/>
    <mergeCell ref="I4:I5"/>
    <mergeCell ref="S2:V3"/>
    <mergeCell ref="W2:Z3"/>
    <mergeCell ref="Q4:Q5"/>
    <mergeCell ref="R4:R5"/>
    <mergeCell ref="O2:R3"/>
    <mergeCell ref="S4:S5"/>
    <mergeCell ref="T4:T5"/>
    <mergeCell ref="U4:U5"/>
    <mergeCell ref="J4:J5"/>
    <mergeCell ref="K4:K5"/>
    <mergeCell ref="L4:L5"/>
    <mergeCell ref="I2:L3"/>
    <mergeCell ref="O4:O5"/>
    <mergeCell ref="D27:D29"/>
    <mergeCell ref="C24:C29"/>
    <mergeCell ref="D24:D26"/>
    <mergeCell ref="D21:D23"/>
    <mergeCell ref="B18:B29"/>
    <mergeCell ref="C18:C23"/>
    <mergeCell ref="D18:D20"/>
    <mergeCell ref="B6:B17"/>
    <mergeCell ref="D15:D17"/>
    <mergeCell ref="C12:C17"/>
    <mergeCell ref="D12:D14"/>
    <mergeCell ref="C6:C11"/>
    <mergeCell ref="D6:D8"/>
    <mergeCell ref="P4:P5"/>
    <mergeCell ref="AM4:AM5"/>
    <mergeCell ref="AN4:AN5"/>
    <mergeCell ref="AK2:AN3"/>
    <mergeCell ref="G6:G8"/>
    <mergeCell ref="G9:G11"/>
    <mergeCell ref="G12:G14"/>
    <mergeCell ref="K6:K8"/>
    <mergeCell ref="AF4:AF5"/>
    <mergeCell ref="AG4:AG5"/>
    <mergeCell ref="AH4:AH5"/>
    <mergeCell ref="AE2:AH3"/>
    <mergeCell ref="AK4:AK5"/>
    <mergeCell ref="AL4:AL5"/>
    <mergeCell ref="AA4:AA5"/>
    <mergeCell ref="AB4:AB5"/>
    <mergeCell ref="AC4:AC5"/>
    <mergeCell ref="AD4:AD5"/>
    <mergeCell ref="AA2:AD3"/>
    <mergeCell ref="AE4:AE5"/>
    <mergeCell ref="V4:V5"/>
    <mergeCell ref="W4:W5"/>
    <mergeCell ref="X4:X5"/>
    <mergeCell ref="Y4:Y5"/>
    <mergeCell ref="Z4:Z5"/>
    <mergeCell ref="H21:H23"/>
    <mergeCell ref="H24:H26"/>
    <mergeCell ref="H27:H29"/>
    <mergeCell ref="B4:B5"/>
    <mergeCell ref="C4:D5"/>
    <mergeCell ref="L6:L8"/>
    <mergeCell ref="L9:L11"/>
    <mergeCell ref="L12:L14"/>
    <mergeCell ref="L15:L17"/>
    <mergeCell ref="L27:L29"/>
    <mergeCell ref="G15:G17"/>
    <mergeCell ref="G18:G20"/>
    <mergeCell ref="G21:G23"/>
    <mergeCell ref="G24:G26"/>
    <mergeCell ref="G27:G29"/>
    <mergeCell ref="H6:H8"/>
    <mergeCell ref="H9:H11"/>
    <mergeCell ref="H12:H14"/>
    <mergeCell ref="H15:H17"/>
    <mergeCell ref="H18:H20"/>
    <mergeCell ref="E4:E5"/>
    <mergeCell ref="F4:F5"/>
    <mergeCell ref="G4:G5"/>
    <mergeCell ref="H4:H5"/>
    <mergeCell ref="K12:K14"/>
    <mergeCell ref="K15:K17"/>
    <mergeCell ref="K18:K20"/>
    <mergeCell ref="K21:K23"/>
    <mergeCell ref="K24:K26"/>
    <mergeCell ref="K27:K29"/>
    <mergeCell ref="L18:L20"/>
    <mergeCell ref="L21:L23"/>
    <mergeCell ref="L24:L26"/>
    <mergeCell ref="K9:K11"/>
    <mergeCell ref="Q21:Q23"/>
    <mergeCell ref="R21:R23"/>
    <mergeCell ref="Q24:Q26"/>
    <mergeCell ref="R24:R26"/>
    <mergeCell ref="Q27:Q29"/>
    <mergeCell ref="R27:R29"/>
    <mergeCell ref="R9:R11"/>
    <mergeCell ref="Q12:Q14"/>
    <mergeCell ref="R12:R14"/>
    <mergeCell ref="Q15:Q17"/>
    <mergeCell ref="R15:R17"/>
    <mergeCell ref="Q18:Q20"/>
    <mergeCell ref="R18:R20"/>
    <mergeCell ref="U24:U26"/>
    <mergeCell ref="V24:V26"/>
    <mergeCell ref="U27:U29"/>
    <mergeCell ref="V27:V29"/>
    <mergeCell ref="Y6:Y8"/>
    <mergeCell ref="Z6:Z8"/>
    <mergeCell ref="Y9:Y11"/>
    <mergeCell ref="Z9:Z11"/>
    <mergeCell ref="Y12:Y14"/>
    <mergeCell ref="Z12:Z14"/>
    <mergeCell ref="U15:U17"/>
    <mergeCell ref="V15:V17"/>
    <mergeCell ref="U18:U20"/>
    <mergeCell ref="V18:V20"/>
    <mergeCell ref="U21:U23"/>
    <mergeCell ref="V21:V23"/>
    <mergeCell ref="U6:U8"/>
    <mergeCell ref="V6:V8"/>
    <mergeCell ref="U9:U11"/>
    <mergeCell ref="V9:V11"/>
    <mergeCell ref="U12:U14"/>
    <mergeCell ref="V12:V14"/>
    <mergeCell ref="Y24:Y26"/>
    <mergeCell ref="Z24:Z26"/>
    <mergeCell ref="Y27:Y29"/>
    <mergeCell ref="Z27:Z29"/>
    <mergeCell ref="AC6:AC8"/>
    <mergeCell ref="AD6:AD8"/>
    <mergeCell ref="AC9:AC11"/>
    <mergeCell ref="AD9:AD11"/>
    <mergeCell ref="AC12:AC14"/>
    <mergeCell ref="AD12:AD14"/>
    <mergeCell ref="Y15:Y17"/>
    <mergeCell ref="Z15:Z17"/>
    <mergeCell ref="Y18:Y20"/>
    <mergeCell ref="Z18:Z20"/>
    <mergeCell ref="Y21:Y23"/>
    <mergeCell ref="Z21:Z23"/>
    <mergeCell ref="AC24:AC26"/>
    <mergeCell ref="AD24:AD26"/>
    <mergeCell ref="AC27:AC29"/>
    <mergeCell ref="AD27:AD29"/>
    <mergeCell ref="AC21:AC23"/>
    <mergeCell ref="AD21:AD23"/>
    <mergeCell ref="AM18:AM20"/>
    <mergeCell ref="AN18:AN20"/>
    <mergeCell ref="AG6:AG8"/>
    <mergeCell ref="AH6:AH8"/>
    <mergeCell ref="AG9:AG11"/>
    <mergeCell ref="AH9:AH11"/>
    <mergeCell ref="AG12:AG14"/>
    <mergeCell ref="AH12:AH14"/>
    <mergeCell ref="AC15:AC17"/>
    <mergeCell ref="AD15:AD17"/>
    <mergeCell ref="AC18:AC20"/>
    <mergeCell ref="AD18:AD20"/>
    <mergeCell ref="AM21:AM23"/>
    <mergeCell ref="AN21:AN23"/>
    <mergeCell ref="AG24:AG26"/>
    <mergeCell ref="AH24:AH26"/>
    <mergeCell ref="AG27:AG29"/>
    <mergeCell ref="AH27:AH29"/>
    <mergeCell ref="AM6:AM8"/>
    <mergeCell ref="AN6:AN8"/>
    <mergeCell ref="AM9:AM11"/>
    <mergeCell ref="AN9:AN11"/>
    <mergeCell ref="AM12:AM14"/>
    <mergeCell ref="AN12:AN14"/>
    <mergeCell ref="AG15:AG17"/>
    <mergeCell ref="AH15:AH17"/>
    <mergeCell ref="AG18:AG20"/>
    <mergeCell ref="AH18:AH20"/>
    <mergeCell ref="AG21:AG23"/>
    <mergeCell ref="AH21:AH23"/>
    <mergeCell ref="AM24:AM26"/>
    <mergeCell ref="AN24:AN26"/>
    <mergeCell ref="AM27:AM29"/>
    <mergeCell ref="AN27:AN29"/>
    <mergeCell ref="AM15:AM17"/>
    <mergeCell ref="AN15:AN17"/>
  </mergeCells>
  <phoneticPr fontId="3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calibration curve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shiori</dc:creator>
  <cp:lastModifiedBy>哲志 山本</cp:lastModifiedBy>
  <dcterms:created xsi:type="dcterms:W3CDTF">2022-07-07T05:50:24Z</dcterms:created>
  <dcterms:modified xsi:type="dcterms:W3CDTF">2026-01-14T08:45:32Z</dcterms:modified>
</cp:coreProperties>
</file>