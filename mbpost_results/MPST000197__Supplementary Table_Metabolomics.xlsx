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4c855662801823/Desktop/"/>
    </mc:Choice>
  </mc:AlternateContent>
  <xr:revisionPtr revIDLastSave="2" documentId="8_{B00AE5AE-C53E-4855-B0B7-4FBE09F25F0D}" xr6:coauthVersionLast="47" xr6:coauthVersionMax="47" xr10:uidLastSave="{05ECC338-EADB-4004-AC08-4B6338B9FAA2}"/>
  <bookViews>
    <workbookView xWindow="-108" yWindow="-108" windowWidth="23256" windowHeight="13896" xr2:uid="{93DE70FF-7D35-4DB0-80E3-CED5D804E078}"/>
  </bookViews>
  <sheets>
    <sheet name="GC-MS" sheetId="1" r:id="rId1"/>
    <sheet name="IC-MS" sheetId="2" r:id="rId2"/>
  </sheets>
  <definedNames>
    <definedName name="_xlnm._FilterDatabase" localSheetId="0" hidden="1">'GC-MS'!$A$3:$AI$3</definedName>
    <definedName name="_xlnm._FilterDatabase" localSheetId="1" hidden="1">'IC-MS'!$A$3:$AI$3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3" i="2" l="1"/>
  <c r="AD33" i="2" s="1"/>
  <c r="AA33" i="2"/>
  <c r="Z33" i="2"/>
  <c r="Y33" i="2"/>
  <c r="AC32" i="2"/>
  <c r="AD32" i="2" s="1"/>
  <c r="AA32" i="2"/>
  <c r="Z32" i="2"/>
  <c r="Y32" i="2"/>
  <c r="AC31" i="2"/>
  <c r="AA31" i="2"/>
  <c r="Z31" i="2"/>
  <c r="Y31" i="2"/>
  <c r="AC30" i="2"/>
  <c r="AD30" i="2" s="1"/>
  <c r="AA30" i="2"/>
  <c r="Z30" i="2"/>
  <c r="Y30" i="2"/>
  <c r="AC29" i="2"/>
  <c r="AD29" i="2" s="1"/>
  <c r="AA29" i="2"/>
  <c r="Z29" i="2"/>
  <c r="Y29" i="2"/>
  <c r="AC28" i="2"/>
  <c r="AA28" i="2"/>
  <c r="Z28" i="2"/>
  <c r="Y28" i="2"/>
  <c r="AC27" i="2"/>
  <c r="AA27" i="2"/>
  <c r="Z27" i="2"/>
  <c r="Y27" i="2"/>
  <c r="AC26" i="2"/>
  <c r="AD26" i="2" s="1"/>
  <c r="AA26" i="2"/>
  <c r="Z26" i="2"/>
  <c r="Y26" i="2"/>
  <c r="AC25" i="2"/>
  <c r="AA25" i="2"/>
  <c r="Z25" i="2"/>
  <c r="Y25" i="2"/>
  <c r="AC24" i="2"/>
  <c r="AD24" i="2" s="1"/>
  <c r="AA24" i="2"/>
  <c r="Z24" i="2"/>
  <c r="Y24" i="2"/>
  <c r="AC23" i="2"/>
  <c r="AA23" i="2"/>
  <c r="Z23" i="2"/>
  <c r="Y23" i="2"/>
  <c r="AC22" i="2"/>
  <c r="AD22" i="2" s="1"/>
  <c r="AA22" i="2"/>
  <c r="Z22" i="2"/>
  <c r="Y22" i="2"/>
  <c r="AC21" i="2"/>
  <c r="AD21" i="2" s="1"/>
  <c r="AA21" i="2"/>
  <c r="Z21" i="2"/>
  <c r="Y21" i="2"/>
  <c r="AC20" i="2"/>
  <c r="AA20" i="2"/>
  <c r="Z20" i="2"/>
  <c r="Y20" i="2"/>
  <c r="AC19" i="2"/>
  <c r="AA19" i="2"/>
  <c r="Z19" i="2"/>
  <c r="Y19" i="2"/>
  <c r="AC18" i="2"/>
  <c r="AD18" i="2" s="1"/>
  <c r="AA18" i="2"/>
  <c r="Z18" i="2"/>
  <c r="Y18" i="2"/>
  <c r="AC17" i="2"/>
  <c r="AD17" i="2" s="1"/>
  <c r="AA17" i="2"/>
  <c r="Z17" i="2"/>
  <c r="Y17" i="2"/>
  <c r="AC16" i="2"/>
  <c r="AD16" i="2" s="1"/>
  <c r="AA16" i="2"/>
  <c r="Z16" i="2"/>
  <c r="Y16" i="2"/>
  <c r="AC15" i="2"/>
  <c r="AA15" i="2"/>
  <c r="Z15" i="2"/>
  <c r="Y15" i="2"/>
  <c r="AC14" i="2"/>
  <c r="AD14" i="2" s="1"/>
  <c r="AA14" i="2"/>
  <c r="Z14" i="2"/>
  <c r="Y14" i="2"/>
  <c r="AC13" i="2"/>
  <c r="AD13" i="2" s="1"/>
  <c r="AA13" i="2"/>
  <c r="Z13" i="2"/>
  <c r="Y13" i="2"/>
  <c r="AC12" i="2"/>
  <c r="AA12" i="2"/>
  <c r="Z12" i="2"/>
  <c r="Y12" i="2"/>
  <c r="AC11" i="2"/>
  <c r="AA11" i="2"/>
  <c r="Z11" i="2"/>
  <c r="Y11" i="2"/>
  <c r="AC10" i="2"/>
  <c r="AA10" i="2"/>
  <c r="Z10" i="2"/>
  <c r="Y10" i="2"/>
  <c r="AC9" i="2"/>
  <c r="AD9" i="2" s="1"/>
  <c r="AA9" i="2"/>
  <c r="Z9" i="2"/>
  <c r="Y9" i="2"/>
  <c r="AC8" i="2"/>
  <c r="AA8" i="2"/>
  <c r="Z8" i="2"/>
  <c r="Y8" i="2"/>
  <c r="AC7" i="2"/>
  <c r="AD7" i="2" s="1"/>
  <c r="AA7" i="2"/>
  <c r="Z7" i="2"/>
  <c r="Y7" i="2"/>
  <c r="AC6" i="2"/>
  <c r="AD6" i="2" s="1"/>
  <c r="AA6" i="2"/>
  <c r="Z6" i="2"/>
  <c r="Y6" i="2"/>
  <c r="AC5" i="2"/>
  <c r="AD5" i="2" s="1"/>
  <c r="AA5" i="2"/>
  <c r="Z5" i="2"/>
  <c r="Y5" i="2"/>
  <c r="AC4" i="2"/>
  <c r="AA4" i="2"/>
  <c r="Z4" i="2"/>
  <c r="Y4" i="2"/>
  <c r="AC43" i="1"/>
  <c r="AD43" i="1" s="1"/>
  <c r="AA43" i="1"/>
  <c r="Z43" i="1"/>
  <c r="Y43" i="1"/>
  <c r="AC9" i="1"/>
  <c r="AD9" i="1" s="1"/>
  <c r="AA9" i="1"/>
  <c r="Z9" i="1"/>
  <c r="Y9" i="1"/>
  <c r="AC42" i="1"/>
  <c r="AD42" i="1" s="1"/>
  <c r="AA42" i="1"/>
  <c r="Z42" i="1"/>
  <c r="Y42" i="1"/>
  <c r="AC41" i="1"/>
  <c r="AD41" i="1" s="1"/>
  <c r="AA41" i="1"/>
  <c r="Z41" i="1"/>
  <c r="Y41" i="1"/>
  <c r="AC40" i="1"/>
  <c r="AD40" i="1" s="1"/>
  <c r="AA40" i="1"/>
  <c r="Z40" i="1"/>
  <c r="Y40" i="1"/>
  <c r="AC39" i="1"/>
  <c r="AD39" i="1" s="1"/>
  <c r="AA39" i="1"/>
  <c r="Z39" i="1"/>
  <c r="Y39" i="1"/>
  <c r="AC38" i="1"/>
  <c r="AD38" i="1" s="1"/>
  <c r="AA38" i="1"/>
  <c r="AB38" i="1" s="1"/>
  <c r="Z38" i="1"/>
  <c r="Y38" i="1"/>
  <c r="AC37" i="1"/>
  <c r="AD37" i="1" s="1"/>
  <c r="AA37" i="1"/>
  <c r="Z37" i="1"/>
  <c r="Y37" i="1"/>
  <c r="AC36" i="1"/>
  <c r="AD36" i="1" s="1"/>
  <c r="AA36" i="1"/>
  <c r="AB36" i="1" s="1"/>
  <c r="Z36" i="1"/>
  <c r="Y36" i="1"/>
  <c r="AC8" i="1"/>
  <c r="AD8" i="1" s="1"/>
  <c r="AA8" i="1"/>
  <c r="Z8" i="1"/>
  <c r="Y8" i="1"/>
  <c r="AC35" i="1"/>
  <c r="AD35" i="1" s="1"/>
  <c r="AA35" i="1"/>
  <c r="Z35" i="1"/>
  <c r="Y35" i="1"/>
  <c r="AC34" i="1"/>
  <c r="AD34" i="1" s="1"/>
  <c r="AA34" i="1"/>
  <c r="Z34" i="1"/>
  <c r="Y34" i="1"/>
  <c r="AC33" i="1"/>
  <c r="AD33" i="1" s="1"/>
  <c r="AA33" i="1"/>
  <c r="AB33" i="1" s="1"/>
  <c r="Z33" i="1"/>
  <c r="Y33" i="1"/>
  <c r="AC7" i="1"/>
  <c r="AD7" i="1" s="1"/>
  <c r="AA7" i="1"/>
  <c r="Z7" i="1"/>
  <c r="Y7" i="1"/>
  <c r="AC32" i="1"/>
  <c r="AD32" i="1" s="1"/>
  <c r="AA32" i="1"/>
  <c r="AB32" i="1" s="1"/>
  <c r="Z32" i="1"/>
  <c r="Y32" i="1"/>
  <c r="AC31" i="1"/>
  <c r="AD31" i="1" s="1"/>
  <c r="AA31" i="1"/>
  <c r="Z31" i="1"/>
  <c r="Y31" i="1"/>
  <c r="AC30" i="1"/>
  <c r="AD30" i="1" s="1"/>
  <c r="AA30" i="1"/>
  <c r="Z30" i="1"/>
  <c r="Y30" i="1"/>
  <c r="AC29" i="1"/>
  <c r="AD29" i="1" s="1"/>
  <c r="AA29" i="1"/>
  <c r="Z29" i="1"/>
  <c r="Y29" i="1"/>
  <c r="AC28" i="1"/>
  <c r="AD28" i="1" s="1"/>
  <c r="AA28" i="1"/>
  <c r="AB28" i="1" s="1"/>
  <c r="Z28" i="1"/>
  <c r="Y28" i="1"/>
  <c r="AC27" i="1"/>
  <c r="AD27" i="1" s="1"/>
  <c r="AA27" i="1"/>
  <c r="Z27" i="1"/>
  <c r="Y27" i="1"/>
  <c r="AC6" i="1"/>
  <c r="AD6" i="1" s="1"/>
  <c r="AA6" i="1"/>
  <c r="AB6" i="1" s="1"/>
  <c r="Z6" i="1"/>
  <c r="Y6" i="1"/>
  <c r="AC26" i="1"/>
  <c r="AD26" i="1" s="1"/>
  <c r="AA26" i="1"/>
  <c r="Z26" i="1"/>
  <c r="Y26" i="1"/>
  <c r="AC25" i="1"/>
  <c r="AD25" i="1" s="1"/>
  <c r="AA25" i="1"/>
  <c r="AB25" i="1" s="1"/>
  <c r="Z25" i="1"/>
  <c r="Y25" i="1"/>
  <c r="AC24" i="1"/>
  <c r="AD24" i="1" s="1"/>
  <c r="AA24" i="1"/>
  <c r="Z24" i="1"/>
  <c r="Y24" i="1"/>
  <c r="AC23" i="1"/>
  <c r="AD23" i="1" s="1"/>
  <c r="AA23" i="1"/>
  <c r="AB23" i="1" s="1"/>
  <c r="Z23" i="1"/>
  <c r="Y23" i="1"/>
  <c r="AC22" i="1"/>
  <c r="AD22" i="1" s="1"/>
  <c r="AA22" i="1"/>
  <c r="Z22" i="1"/>
  <c r="Y22" i="1"/>
  <c r="AC21" i="1"/>
  <c r="AD21" i="1" s="1"/>
  <c r="AA21" i="1"/>
  <c r="AB21" i="1" s="1"/>
  <c r="Z21" i="1"/>
  <c r="Y21" i="1"/>
  <c r="AC20" i="1"/>
  <c r="AD20" i="1" s="1"/>
  <c r="AA20" i="1"/>
  <c r="Z20" i="1"/>
  <c r="Y20" i="1"/>
  <c r="AC19" i="1"/>
  <c r="AD19" i="1" s="1"/>
  <c r="AA19" i="1"/>
  <c r="AB19" i="1" s="1"/>
  <c r="Z19" i="1"/>
  <c r="Y19" i="1"/>
  <c r="AC18" i="1"/>
  <c r="AD18" i="1" s="1"/>
  <c r="AA18" i="1"/>
  <c r="Z18" i="1"/>
  <c r="Y18" i="1"/>
  <c r="AC5" i="1"/>
  <c r="AD5" i="1" s="1"/>
  <c r="AA5" i="1"/>
  <c r="AB5" i="1" s="1"/>
  <c r="Z5" i="1"/>
  <c r="Y5" i="1"/>
  <c r="AC17" i="1"/>
  <c r="AD17" i="1" s="1"/>
  <c r="AA17" i="1"/>
  <c r="Z17" i="1"/>
  <c r="Y17" i="1"/>
  <c r="AC16" i="1"/>
  <c r="AD16" i="1" s="1"/>
  <c r="AA16" i="1"/>
  <c r="AB16" i="1" s="1"/>
  <c r="Z16" i="1"/>
  <c r="Y16" i="1"/>
  <c r="AC15" i="1"/>
  <c r="AD15" i="1" s="1"/>
  <c r="AA15" i="1"/>
  <c r="Z15" i="1"/>
  <c r="Y15" i="1"/>
  <c r="AC4" i="1"/>
  <c r="AD4" i="1" s="1"/>
  <c r="AA4" i="1"/>
  <c r="AB4" i="1" s="1"/>
  <c r="Z4" i="1"/>
  <c r="Y4" i="1"/>
  <c r="AC14" i="1"/>
  <c r="AD14" i="1" s="1"/>
  <c r="AA14" i="1"/>
  <c r="Z14" i="1"/>
  <c r="Y14" i="1"/>
  <c r="AC13" i="1"/>
  <c r="AD13" i="1" s="1"/>
  <c r="AA13" i="1"/>
  <c r="Z13" i="1"/>
  <c r="Y13" i="1"/>
  <c r="AC66" i="1"/>
  <c r="AD66" i="1" s="1"/>
  <c r="AA66" i="1"/>
  <c r="Z66" i="1"/>
  <c r="Y66" i="1"/>
  <c r="AC65" i="1"/>
  <c r="AD65" i="1" s="1"/>
  <c r="AA65" i="1"/>
  <c r="Z65" i="1"/>
  <c r="Y65" i="1"/>
  <c r="AC64" i="1"/>
  <c r="AD64" i="1" s="1"/>
  <c r="AA64" i="1"/>
  <c r="Z64" i="1"/>
  <c r="Y64" i="1"/>
  <c r="AC63" i="1"/>
  <c r="AD63" i="1" s="1"/>
  <c r="AA63" i="1"/>
  <c r="Z63" i="1"/>
  <c r="Y63" i="1"/>
  <c r="AC62" i="1"/>
  <c r="AD62" i="1" s="1"/>
  <c r="AA62" i="1"/>
  <c r="Z62" i="1"/>
  <c r="Y62" i="1"/>
  <c r="AC61" i="1"/>
  <c r="AD61" i="1" s="1"/>
  <c r="AA61" i="1"/>
  <c r="Z61" i="1"/>
  <c r="Y61" i="1"/>
  <c r="AC60" i="1"/>
  <c r="AD60" i="1" s="1"/>
  <c r="AA60" i="1"/>
  <c r="Z60" i="1"/>
  <c r="Y60" i="1"/>
  <c r="AC59" i="1"/>
  <c r="AD59" i="1" s="1"/>
  <c r="AA59" i="1"/>
  <c r="Z59" i="1"/>
  <c r="Y59" i="1"/>
  <c r="AC58" i="1"/>
  <c r="AD58" i="1" s="1"/>
  <c r="AA58" i="1"/>
  <c r="Z58" i="1"/>
  <c r="Y58" i="1"/>
  <c r="AC57" i="1"/>
  <c r="AD57" i="1" s="1"/>
  <c r="AA57" i="1"/>
  <c r="Z57" i="1"/>
  <c r="Y57" i="1"/>
  <c r="AC56" i="1"/>
  <c r="AD56" i="1" s="1"/>
  <c r="AA56" i="1"/>
  <c r="Z56" i="1"/>
  <c r="Y56" i="1"/>
  <c r="AC12" i="1"/>
  <c r="AD12" i="1" s="1"/>
  <c r="AA12" i="1"/>
  <c r="Z12" i="1"/>
  <c r="Y12" i="1"/>
  <c r="AC55" i="1"/>
  <c r="AD55" i="1" s="1"/>
  <c r="AA55" i="1"/>
  <c r="Z55" i="1"/>
  <c r="Y55" i="1"/>
  <c r="AC54" i="1"/>
  <c r="AD54" i="1" s="1"/>
  <c r="AA54" i="1"/>
  <c r="Z54" i="1"/>
  <c r="Y54" i="1"/>
  <c r="AC53" i="1"/>
  <c r="AD53" i="1" s="1"/>
  <c r="AA53" i="1"/>
  <c r="Z53" i="1"/>
  <c r="Y53" i="1"/>
  <c r="AC52" i="1"/>
  <c r="AD52" i="1" s="1"/>
  <c r="AA52" i="1"/>
  <c r="Z52" i="1"/>
  <c r="Y52" i="1"/>
  <c r="AC51" i="1"/>
  <c r="AD51" i="1" s="1"/>
  <c r="AA51" i="1"/>
  <c r="Z51" i="1"/>
  <c r="Y51" i="1"/>
  <c r="AC11" i="1"/>
  <c r="AD11" i="1" s="1"/>
  <c r="AA11" i="1"/>
  <c r="Z11" i="1"/>
  <c r="Y11" i="1"/>
  <c r="AC50" i="1"/>
  <c r="AD50" i="1" s="1"/>
  <c r="AA50" i="1"/>
  <c r="Z50" i="1"/>
  <c r="Y50" i="1"/>
  <c r="AC49" i="1"/>
  <c r="AD49" i="1" s="1"/>
  <c r="AA49" i="1"/>
  <c r="Z49" i="1"/>
  <c r="Y49" i="1"/>
  <c r="AC48" i="1"/>
  <c r="AD48" i="1" s="1"/>
  <c r="AA48" i="1"/>
  <c r="Z48" i="1"/>
  <c r="Y48" i="1"/>
  <c r="AC47" i="1"/>
  <c r="AD47" i="1" s="1"/>
  <c r="AA47" i="1"/>
  <c r="Z47" i="1"/>
  <c r="Y47" i="1"/>
  <c r="AC46" i="1"/>
  <c r="AD46" i="1" s="1"/>
  <c r="AA46" i="1"/>
  <c r="Z46" i="1"/>
  <c r="Y46" i="1"/>
  <c r="AC45" i="1"/>
  <c r="AD45" i="1" s="1"/>
  <c r="AA45" i="1"/>
  <c r="Z45" i="1"/>
  <c r="Y45" i="1"/>
  <c r="AC44" i="1"/>
  <c r="AD44" i="1" s="1"/>
  <c r="AA44" i="1"/>
  <c r="Z44" i="1"/>
  <c r="Y44" i="1"/>
  <c r="AC10" i="1"/>
  <c r="AD10" i="1" s="1"/>
  <c r="AA10" i="1"/>
  <c r="Z10" i="1"/>
  <c r="Y10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AB42" i="1" l="1"/>
  <c r="AB40" i="1"/>
  <c r="AB43" i="1"/>
  <c r="AB28" i="2"/>
  <c r="AB5" i="2"/>
  <c r="AB7" i="2"/>
  <c r="AB44" i="1"/>
  <c r="AB60" i="1"/>
  <c r="AB20" i="1"/>
  <c r="AB27" i="1"/>
  <c r="AB35" i="1"/>
  <c r="AB15" i="2"/>
  <c r="AB10" i="1"/>
  <c r="AB45" i="1"/>
  <c r="AB47" i="1"/>
  <c r="AB49" i="1"/>
  <c r="AB52" i="1"/>
  <c r="AB54" i="1"/>
  <c r="AB12" i="1"/>
  <c r="AB57" i="1"/>
  <c r="AB59" i="1"/>
  <c r="AB61" i="1"/>
  <c r="AB63" i="1"/>
  <c r="AB65" i="1"/>
  <c r="AB13" i="1"/>
  <c r="AB30" i="1"/>
  <c r="AB10" i="2"/>
  <c r="AB27" i="2"/>
  <c r="AB14" i="2"/>
  <c r="AE19" i="2"/>
  <c r="AE25" i="2"/>
  <c r="AB6" i="2"/>
  <c r="AD25" i="2"/>
  <c r="AB31" i="2"/>
  <c r="AB33" i="2"/>
  <c r="AE23" i="2"/>
  <c r="AE4" i="2"/>
  <c r="AE27" i="2"/>
  <c r="AE31" i="2"/>
  <c r="AE10" i="2"/>
  <c r="AE12" i="2"/>
  <c r="AB22" i="2"/>
  <c r="AE20" i="2"/>
  <c r="AB26" i="2"/>
  <c r="AE8" i="2"/>
  <c r="AB13" i="2"/>
  <c r="AB32" i="2"/>
  <c r="AE28" i="2"/>
  <c r="AE11" i="2"/>
  <c r="AE15" i="2"/>
  <c r="AE17" i="2"/>
  <c r="AB23" i="2"/>
  <c r="AE16" i="2"/>
  <c r="AD8" i="2"/>
  <c r="AB16" i="2"/>
  <c r="AE9" i="2"/>
  <c r="AE33" i="2"/>
  <c r="AE18" i="2"/>
  <c r="AE26" i="2"/>
  <c r="AE32" i="2"/>
  <c r="AE24" i="2"/>
  <c r="AB11" i="2"/>
  <c r="AB19" i="2"/>
  <c r="AE5" i="2"/>
  <c r="AE13" i="2"/>
  <c r="AE21" i="2"/>
  <c r="AE29" i="2"/>
  <c r="AE6" i="2"/>
  <c r="AE14" i="2"/>
  <c r="AE22" i="2"/>
  <c r="AE30" i="2"/>
  <c r="AB8" i="2"/>
  <c r="AE7" i="2"/>
  <c r="AB51" i="1"/>
  <c r="AB17" i="2"/>
  <c r="AB9" i="2"/>
  <c r="AB24" i="2"/>
  <c r="AB18" i="2"/>
  <c r="AB20" i="2"/>
  <c r="AB25" i="2"/>
  <c r="AB30" i="2"/>
  <c r="AB4" i="2"/>
  <c r="AB12" i="2"/>
  <c r="AD20" i="2"/>
  <c r="AB21" i="2"/>
  <c r="AD28" i="2"/>
  <c r="AD12" i="2"/>
  <c r="AB29" i="2"/>
  <c r="AD4" i="2"/>
  <c r="AD11" i="2"/>
  <c r="AD19" i="2"/>
  <c r="AD27" i="2"/>
  <c r="AD15" i="2"/>
  <c r="AD23" i="2"/>
  <c r="AD31" i="2"/>
  <c r="AD10" i="2"/>
  <c r="AB46" i="1"/>
  <c r="AB48" i="1"/>
  <c r="AB50" i="1"/>
  <c r="AB53" i="1"/>
  <c r="AB55" i="1"/>
  <c r="AB56" i="1"/>
  <c r="AB58" i="1"/>
  <c r="AB62" i="1"/>
  <c r="AB64" i="1"/>
  <c r="AB66" i="1"/>
  <c r="AB14" i="1"/>
  <c r="AB15" i="1"/>
  <c r="AB17" i="1"/>
  <c r="AB18" i="1"/>
  <c r="AB22" i="1"/>
  <c r="AB24" i="1"/>
  <c r="AB26" i="1"/>
  <c r="AB29" i="1"/>
  <c r="AB31" i="1"/>
  <c r="AB7" i="1"/>
  <c r="AB34" i="1"/>
  <c r="AB8" i="1"/>
  <c r="AB37" i="1"/>
  <c r="AB39" i="1"/>
  <c r="AB41" i="1"/>
  <c r="AB9" i="1"/>
  <c r="AB11" i="1"/>
  <c r="Z67" i="1"/>
  <c r="AA67" i="1"/>
  <c r="AC67" i="1"/>
  <c r="Z68" i="1"/>
  <c r="AA68" i="1"/>
  <c r="AC68" i="1"/>
  <c r="Z69" i="1"/>
  <c r="AA69" i="1"/>
  <c r="AC69" i="1"/>
  <c r="Z73" i="1"/>
  <c r="AA73" i="1"/>
  <c r="AC73" i="1"/>
  <c r="Z74" i="1"/>
  <c r="AA74" i="1"/>
  <c r="AC74" i="1"/>
  <c r="Z75" i="1"/>
  <c r="AA75" i="1"/>
  <c r="AC75" i="1"/>
  <c r="Z76" i="1"/>
  <c r="AA76" i="1"/>
  <c r="AC76" i="1"/>
  <c r="Z77" i="1"/>
  <c r="AA77" i="1"/>
  <c r="AC77" i="1"/>
  <c r="Z78" i="1"/>
  <c r="AA78" i="1"/>
  <c r="AC78" i="1"/>
  <c r="Z70" i="1"/>
  <c r="AA70" i="1"/>
  <c r="AC70" i="1"/>
  <c r="Z79" i="1"/>
  <c r="AA79" i="1"/>
  <c r="AC79" i="1"/>
  <c r="Z80" i="1"/>
  <c r="AA80" i="1"/>
  <c r="AC80" i="1"/>
  <c r="Z71" i="1"/>
  <c r="AA71" i="1"/>
  <c r="AC71" i="1"/>
  <c r="Z72" i="1"/>
  <c r="AA72" i="1"/>
  <c r="AC72" i="1"/>
  <c r="AB73" i="1" l="1"/>
  <c r="AB71" i="1"/>
  <c r="AF13" i="2"/>
  <c r="AF16" i="2"/>
  <c r="AE77" i="1"/>
  <c r="AE45" i="1"/>
  <c r="AE66" i="1"/>
  <c r="AE40" i="1"/>
  <c r="AF5" i="2"/>
  <c r="AF12" i="2"/>
  <c r="AF21" i="2"/>
  <c r="AF10" i="2"/>
  <c r="AF22" i="2"/>
  <c r="AF20" i="2"/>
  <c r="AF15" i="2"/>
  <c r="AF14" i="2"/>
  <c r="AF24" i="2"/>
  <c r="AF6" i="2"/>
  <c r="AF32" i="2"/>
  <c r="AF17" i="2"/>
  <c r="AF7" i="2"/>
  <c r="AF23" i="2"/>
  <c r="AF31" i="2"/>
  <c r="AF26" i="2"/>
  <c r="AF11" i="2"/>
  <c r="AF18" i="2"/>
  <c r="AF19" i="2"/>
  <c r="AF4" i="2"/>
  <c r="AF8" i="2"/>
  <c r="AF28" i="2"/>
  <c r="AF33" i="2"/>
  <c r="AF29" i="2"/>
  <c r="AF9" i="2"/>
  <c r="AF27" i="2"/>
  <c r="AF30" i="2"/>
  <c r="AF25" i="2"/>
  <c r="AE60" i="1"/>
  <c r="AE32" i="1"/>
  <c r="AE9" i="1"/>
  <c r="AE71" i="1"/>
  <c r="AB77" i="1"/>
  <c r="AE74" i="1"/>
  <c r="AE63" i="1"/>
  <c r="AE62" i="1"/>
  <c r="AE53" i="1"/>
  <c r="AE52" i="1"/>
  <c r="AE51" i="1"/>
  <c r="AE58" i="1"/>
  <c r="AE65" i="1"/>
  <c r="AE64" i="1"/>
  <c r="AE59" i="1"/>
  <c r="AE76" i="1"/>
  <c r="AE47" i="1"/>
  <c r="AE46" i="1"/>
  <c r="AE37" i="1"/>
  <c r="AE36" i="1"/>
  <c r="AE35" i="1"/>
  <c r="AE42" i="1"/>
  <c r="AE49" i="1"/>
  <c r="AE48" i="1"/>
  <c r="AE68" i="1"/>
  <c r="AE55" i="1"/>
  <c r="AE44" i="1"/>
  <c r="AE56" i="1"/>
  <c r="AE80" i="1"/>
  <c r="AE73" i="1"/>
  <c r="AE39" i="1"/>
  <c r="AE38" i="1"/>
  <c r="AE29" i="1"/>
  <c r="AE28" i="1"/>
  <c r="AE27" i="1"/>
  <c r="AE34" i="1"/>
  <c r="AE41" i="1"/>
  <c r="AE61" i="1"/>
  <c r="AE43" i="1"/>
  <c r="AE78" i="1"/>
  <c r="AE67" i="1"/>
  <c r="AE31" i="1"/>
  <c r="AE30" i="1"/>
  <c r="AE21" i="1"/>
  <c r="AE20" i="1"/>
  <c r="AE19" i="1"/>
  <c r="AE26" i="1"/>
  <c r="AE33" i="1"/>
  <c r="AE24" i="1"/>
  <c r="AE7" i="1"/>
  <c r="AE54" i="1"/>
  <c r="AE50" i="1"/>
  <c r="AE57" i="1"/>
  <c r="AE75" i="1"/>
  <c r="AE23" i="1"/>
  <c r="AE22" i="1"/>
  <c r="AE13" i="1"/>
  <c r="AE12" i="1"/>
  <c r="AE11" i="1"/>
  <c r="AE18" i="1"/>
  <c r="AE25" i="1"/>
  <c r="AE16" i="1"/>
  <c r="AE70" i="1"/>
  <c r="AE72" i="1"/>
  <c r="AE79" i="1"/>
  <c r="AE69" i="1"/>
  <c r="AE15" i="1"/>
  <c r="AE14" i="1"/>
  <c r="AE6" i="1"/>
  <c r="AE5" i="1"/>
  <c r="AE4" i="1"/>
  <c r="AE10" i="1"/>
  <c r="AE17" i="1"/>
  <c r="AE8" i="1"/>
  <c r="AD78" i="1"/>
  <c r="AD72" i="1"/>
  <c r="AD73" i="1"/>
  <c r="AD75" i="1"/>
  <c r="AD79" i="1"/>
  <c r="AD69" i="1"/>
  <c r="AD71" i="1"/>
  <c r="AD80" i="1"/>
  <c r="AD67" i="1"/>
  <c r="AD77" i="1"/>
  <c r="AD74" i="1"/>
  <c r="AD70" i="1"/>
  <c r="AD68" i="1"/>
  <c r="AB70" i="1"/>
  <c r="AD76" i="1"/>
  <c r="AB68" i="1"/>
  <c r="AB79" i="1"/>
  <c r="AB69" i="1"/>
  <c r="AB74" i="1"/>
  <c r="AB72" i="1"/>
  <c r="AB76" i="1"/>
  <c r="AB80" i="1"/>
  <c r="AB78" i="1"/>
  <c r="AB67" i="1"/>
  <c r="AB75" i="1"/>
  <c r="AF77" i="1" l="1"/>
  <c r="AF14" i="1"/>
  <c r="AF3" i="2"/>
  <c r="AF18" i="1"/>
  <c r="AF50" i="1"/>
  <c r="AF21" i="1"/>
  <c r="AF34" i="1"/>
  <c r="AF56" i="1"/>
  <c r="AF35" i="1"/>
  <c r="AF65" i="1"/>
  <c r="AF15" i="1"/>
  <c r="AF11" i="1"/>
  <c r="AF54" i="1"/>
  <c r="AF30" i="1"/>
  <c r="AF27" i="1"/>
  <c r="AF44" i="1"/>
  <c r="AF36" i="1"/>
  <c r="AF58" i="1"/>
  <c r="AF71" i="1"/>
  <c r="AF28" i="1"/>
  <c r="AF79" i="1"/>
  <c r="AF13" i="1"/>
  <c r="AF24" i="1"/>
  <c r="AF67" i="1"/>
  <c r="AF29" i="1"/>
  <c r="AF68" i="1"/>
  <c r="AF46" i="1"/>
  <c r="AF52" i="1"/>
  <c r="AF32" i="1"/>
  <c r="AF8" i="1"/>
  <c r="AF31" i="1"/>
  <c r="AF78" i="1"/>
  <c r="AF9" i="1"/>
  <c r="AF17" i="1"/>
  <c r="AF10" i="1"/>
  <c r="AF72" i="1"/>
  <c r="AF22" i="1"/>
  <c r="AF33" i="1"/>
  <c r="AF38" i="1"/>
  <c r="AF47" i="1"/>
  <c r="AF53" i="1"/>
  <c r="AF60" i="1"/>
  <c r="AF69" i="1"/>
  <c r="AF37" i="1"/>
  <c r="AF75" i="1"/>
  <c r="AF4" i="1"/>
  <c r="AF70" i="1"/>
  <c r="AF23" i="1"/>
  <c r="AF26" i="1"/>
  <c r="AF43" i="1"/>
  <c r="AF39" i="1"/>
  <c r="AF48" i="1"/>
  <c r="AF76" i="1"/>
  <c r="AF62" i="1"/>
  <c r="AF40" i="1"/>
  <c r="AF7" i="1"/>
  <c r="AF55" i="1"/>
  <c r="AF5" i="1"/>
  <c r="AF16" i="1"/>
  <c r="AF19" i="1"/>
  <c r="AF61" i="1"/>
  <c r="AF73" i="1"/>
  <c r="AF49" i="1"/>
  <c r="AF59" i="1"/>
  <c r="AF63" i="1"/>
  <c r="AF66" i="1"/>
  <c r="AF12" i="1"/>
  <c r="AF51" i="1"/>
  <c r="AF6" i="1"/>
  <c r="AF25" i="1"/>
  <c r="AF57" i="1"/>
  <c r="AF20" i="1"/>
  <c r="AF41" i="1"/>
  <c r="AF80" i="1"/>
  <c r="AF42" i="1"/>
  <c r="AF64" i="1"/>
  <c r="AF74" i="1"/>
  <c r="AF45" i="1"/>
  <c r="AF3" i="1" l="1"/>
  <c r="AG23" i="2"/>
  <c r="AG15" i="2"/>
  <c r="AG7" i="2"/>
  <c r="AG14" i="2"/>
  <c r="AG6" i="2"/>
  <c r="AG29" i="2"/>
  <c r="AG21" i="2"/>
  <c r="AG13" i="2"/>
  <c r="AG5" i="2"/>
  <c r="AG24" i="2"/>
  <c r="AG16" i="2"/>
  <c r="AG32" i="2"/>
  <c r="AG8" i="2"/>
  <c r="AG22" i="2"/>
  <c r="AG31" i="2"/>
  <c r="AG27" i="2"/>
  <c r="AG33" i="2"/>
  <c r="AH33" i="2" s="1"/>
  <c r="AG20" i="2"/>
  <c r="AG25" i="2"/>
  <c r="AG30" i="2"/>
  <c r="AG4" i="2"/>
  <c r="AG26" i="2"/>
  <c r="AG17" i="2"/>
  <c r="AG9" i="2"/>
  <c r="AG19" i="2"/>
  <c r="AG12" i="2"/>
  <c r="AG11" i="2"/>
  <c r="AG10" i="2"/>
  <c r="AG28" i="2"/>
  <c r="AG18" i="2"/>
  <c r="AH22" i="2" l="1"/>
  <c r="AH8" i="2" s="1"/>
  <c r="AH26" i="2" s="1"/>
  <c r="AH12" i="2" s="1"/>
  <c r="AH25" i="2" s="1"/>
  <c r="AH29" i="2" s="1"/>
  <c r="AH20" i="2" s="1"/>
  <c r="AH17" i="2" s="1"/>
  <c r="AH24" i="2" s="1"/>
  <c r="AH27" i="2" s="1"/>
  <c r="AH5" i="2" s="1"/>
  <c r="AH11" i="2" s="1"/>
  <c r="AH10" i="2" s="1"/>
  <c r="AH31" i="2" s="1"/>
  <c r="AH9" i="2" s="1"/>
  <c r="AH14" i="2" s="1"/>
  <c r="AH21" i="2" s="1"/>
  <c r="AH32" i="2" s="1"/>
  <c r="AH15" i="2" s="1"/>
  <c r="AH19" i="2" s="1"/>
  <c r="AH6" i="2" s="1"/>
  <c r="AG43" i="1"/>
  <c r="AG78" i="1"/>
  <c r="AG64" i="1"/>
  <c r="AG13" i="1"/>
  <c r="AG77" i="1"/>
  <c r="AG42" i="1"/>
  <c r="AG15" i="1"/>
  <c r="AG79" i="1"/>
  <c r="AG44" i="1"/>
  <c r="AG21" i="1"/>
  <c r="AG22" i="1"/>
  <c r="AG50" i="1"/>
  <c r="AH50" i="1" s="1"/>
  <c r="AG17" i="1"/>
  <c r="AG52" i="1"/>
  <c r="AG24" i="1"/>
  <c r="AG41" i="1"/>
  <c r="AG37" i="1"/>
  <c r="AG46" i="1"/>
  <c r="AG39" i="1"/>
  <c r="AG30" i="1"/>
  <c r="AG68" i="1"/>
  <c r="AG19" i="1"/>
  <c r="AG40" i="1"/>
  <c r="AG53" i="1"/>
  <c r="AG9" i="1"/>
  <c r="AG20" i="1"/>
  <c r="AG34" i="1"/>
  <c r="AG71" i="1"/>
  <c r="AG54" i="1"/>
  <c r="AG51" i="1"/>
  <c r="AG8" i="1"/>
  <c r="AG72" i="1"/>
  <c r="AG23" i="1"/>
  <c r="AG67" i="1"/>
  <c r="AG59" i="1"/>
  <c r="AG16" i="1"/>
  <c r="AG80" i="1"/>
  <c r="AG29" i="1"/>
  <c r="AG38" i="1"/>
  <c r="AG58" i="1"/>
  <c r="AG31" i="1"/>
  <c r="AG65" i="1"/>
  <c r="AG60" i="1"/>
  <c r="AG4" i="1"/>
  <c r="AG66" i="1"/>
  <c r="AG35" i="1"/>
  <c r="AG11" i="1"/>
  <c r="AG75" i="1"/>
  <c r="AG32" i="1"/>
  <c r="AG73" i="1"/>
  <c r="AG45" i="1"/>
  <c r="AG10" i="1"/>
  <c r="AG74" i="1"/>
  <c r="AG47" i="1"/>
  <c r="AG12" i="1"/>
  <c r="AG76" i="1"/>
  <c r="AG49" i="1"/>
  <c r="AG6" i="1"/>
  <c r="AG18" i="1"/>
  <c r="AG55" i="1"/>
  <c r="AG25" i="1"/>
  <c r="AG27" i="1"/>
  <c r="AG14" i="1"/>
  <c r="AG48" i="1"/>
  <c r="AG62" i="1"/>
  <c r="AG61" i="1"/>
  <c r="AG26" i="1"/>
  <c r="AG33" i="1"/>
  <c r="AG63" i="1"/>
  <c r="AG28" i="1"/>
  <c r="AG57" i="1"/>
  <c r="AG70" i="1"/>
  <c r="AG56" i="1"/>
  <c r="AG5" i="1"/>
  <c r="AG69" i="1"/>
  <c r="AG7" i="1"/>
  <c r="AG36" i="1"/>
  <c r="AH28" i="2" l="1"/>
  <c r="AH30" i="2" s="1"/>
  <c r="AH7" i="2" s="1"/>
  <c r="AH18" i="2" s="1"/>
  <c r="AH23" i="2" s="1"/>
  <c r="AH13" i="2" s="1"/>
  <c r="AH16" i="2" s="1"/>
  <c r="AH4" i="2" s="1"/>
  <c r="AI6" i="2"/>
  <c r="AH29" i="1"/>
  <c r="AH4" i="1" s="1"/>
  <c r="AH8" i="1" s="1"/>
  <c r="AH78" i="1" s="1"/>
  <c r="AH40" i="1" s="1"/>
  <c r="AH68" i="1" s="1"/>
  <c r="AH56" i="1" s="1"/>
  <c r="AH33" i="1" s="1"/>
  <c r="AH19" i="1" s="1"/>
  <c r="AH48" i="1" s="1"/>
  <c r="AH73" i="1" s="1"/>
  <c r="AH64" i="1" s="1"/>
  <c r="AH76" i="1" s="1"/>
  <c r="AH24" i="1" s="1"/>
  <c r="AH41" i="1" s="1"/>
  <c r="AH18" i="1" s="1"/>
  <c r="AH7" i="1" s="1"/>
  <c r="AH77" i="1" s="1"/>
  <c r="AH14" i="1" s="1"/>
  <c r="AH55" i="1" s="1"/>
  <c r="AH36" i="1" s="1"/>
  <c r="AH32" i="1" s="1"/>
  <c r="AH63" i="1" s="1"/>
  <c r="AH57" i="1" s="1"/>
  <c r="AH28" i="1" s="1"/>
  <c r="AH25" i="1" s="1"/>
  <c r="AH13" i="1" s="1"/>
  <c r="AH39" i="1" s="1"/>
  <c r="AH71" i="1" s="1"/>
  <c r="AH15" i="1" s="1"/>
  <c r="AH72" i="1" s="1"/>
  <c r="AH51" i="1" s="1"/>
  <c r="AH31" i="1" s="1"/>
  <c r="AH59" i="1" s="1"/>
  <c r="AH52" i="1" s="1"/>
  <c r="AH58" i="1" s="1"/>
  <c r="AH22" i="1" s="1"/>
  <c r="AH45" i="1" s="1"/>
  <c r="AH34" i="1" s="1"/>
  <c r="AH20" i="1" s="1"/>
  <c r="AH11" i="1" s="1"/>
  <c r="AH23" i="1" s="1"/>
  <c r="AH27" i="1" s="1"/>
  <c r="AH21" i="1" s="1"/>
  <c r="AH80" i="1" s="1"/>
  <c r="AH69" i="1" s="1"/>
  <c r="AH75" i="1" s="1"/>
  <c r="AH44" i="1" s="1"/>
  <c r="AH47" i="1" s="1"/>
  <c r="AH70" i="1" s="1"/>
  <c r="AH66" i="1" s="1"/>
  <c r="AH6" i="1" s="1"/>
  <c r="AH49" i="1" s="1"/>
  <c r="AH10" i="1" s="1"/>
  <c r="AH12" i="1" s="1"/>
  <c r="AH54" i="1" s="1"/>
  <c r="AH79" i="1" s="1"/>
  <c r="AH17" i="1" s="1"/>
  <c r="AH53" i="1" s="1"/>
  <c r="AH30" i="1" s="1"/>
  <c r="AH61" i="1" s="1"/>
  <c r="AH60" i="1" s="1"/>
  <c r="AH74" i="1" s="1"/>
  <c r="AH67" i="1" s="1"/>
  <c r="AH38" i="1" s="1"/>
  <c r="AH5" i="1" s="1"/>
  <c r="AH37" i="1" s="1"/>
  <c r="AH46" i="1" s="1"/>
  <c r="AH35" i="1" s="1"/>
  <c r="AH16" i="1" s="1"/>
  <c r="AH65" i="1" s="1"/>
  <c r="AH43" i="1" s="1"/>
  <c r="AH62" i="1" s="1"/>
  <c r="AH42" i="1" s="1"/>
  <c r="AH26" i="1" s="1"/>
  <c r="AH9" i="1" s="1"/>
  <c r="AI33" i="2"/>
  <c r="AI50" i="1" l="1"/>
  <c r="AI22" i="2"/>
  <c r="AI8" i="2" l="1"/>
  <c r="AI29" i="1"/>
  <c r="AI4" i="1" l="1"/>
  <c r="AI26" i="2" l="1"/>
  <c r="AI12" i="2" l="1"/>
  <c r="AI8" i="1"/>
  <c r="AI78" i="1" l="1"/>
  <c r="AI40" i="1" l="1"/>
  <c r="AI68" i="1" l="1"/>
  <c r="AI56" i="1" l="1"/>
  <c r="AI33" i="1" l="1"/>
  <c r="AI25" i="2" l="1"/>
  <c r="AI19" i="1"/>
  <c r="AI48" i="1" l="1"/>
  <c r="AI73" i="1" l="1"/>
  <c r="AI29" i="2" l="1"/>
  <c r="AI64" i="1"/>
  <c r="AI76" i="1" l="1"/>
  <c r="AI24" i="1" l="1"/>
  <c r="AI41" i="1" l="1"/>
  <c r="AI18" i="1" l="1"/>
  <c r="AI7" i="1" l="1"/>
  <c r="AI77" i="1" l="1"/>
  <c r="AI14" i="1" l="1"/>
  <c r="AI55" i="1" l="1"/>
  <c r="AI36" i="1" l="1"/>
  <c r="AI32" i="1" l="1"/>
  <c r="AI63" i="1" l="1"/>
  <c r="AI20" i="2" l="1"/>
  <c r="AI17" i="2" l="1"/>
  <c r="AI57" i="1"/>
  <c r="AI28" i="1" l="1"/>
  <c r="AI24" i="2" l="1"/>
  <c r="AI25" i="1"/>
  <c r="AI13" i="1" l="1"/>
  <c r="AI39" i="1" l="1"/>
  <c r="AI27" i="2" l="1"/>
  <c r="AI5" i="2" l="1"/>
  <c r="AI71" i="1"/>
  <c r="AI15" i="1" l="1"/>
  <c r="AI72" i="1" l="1"/>
  <c r="AI11" i="2" l="1"/>
  <c r="AI51" i="1"/>
  <c r="AI10" i="2" l="1"/>
  <c r="AI31" i="2" l="1"/>
  <c r="AI31" i="1"/>
  <c r="AI59" i="1" l="1"/>
  <c r="AI52" i="1" l="1"/>
  <c r="AI58" i="1" l="1"/>
  <c r="AI22" i="1" l="1"/>
  <c r="AI45" i="1" l="1"/>
  <c r="AI34" i="1" l="1"/>
  <c r="AI20" i="1" l="1"/>
  <c r="AI9" i="2" l="1"/>
  <c r="AI11" i="1"/>
  <c r="AI14" i="2" l="1"/>
  <c r="AI23" i="1"/>
  <c r="AI21" i="2" l="1"/>
  <c r="AI32" i="2" l="1"/>
  <c r="AI27" i="1"/>
  <c r="AI21" i="1" l="1"/>
  <c r="AI15" i="2" l="1"/>
  <c r="AI19" i="2" l="1"/>
  <c r="AI80" i="1"/>
  <c r="AI69" i="1" l="1"/>
  <c r="AI75" i="1" l="1"/>
  <c r="AI44" i="1" l="1"/>
  <c r="AI47" i="1" l="1"/>
  <c r="AI28" i="2" l="1"/>
  <c r="AI70" i="1"/>
  <c r="AI66" i="1" l="1"/>
  <c r="AI6" i="1" l="1"/>
  <c r="AI49" i="1" l="1"/>
  <c r="AI10" i="1" l="1"/>
  <c r="AI30" i="2" l="1"/>
  <c r="AI12" i="1"/>
  <c r="AI54" i="1" l="1"/>
  <c r="AI7" i="2" l="1"/>
  <c r="AI18" i="2" l="1"/>
  <c r="AI79" i="1"/>
  <c r="AI23" i="2" l="1"/>
  <c r="AI17" i="1"/>
  <c r="AI53" i="1" l="1"/>
  <c r="AI30" i="1" l="1"/>
  <c r="AI13" i="2" l="1"/>
  <c r="AI61" i="1"/>
  <c r="AI60" i="1" l="1"/>
  <c r="AI16" i="2" l="1"/>
  <c r="AI74" i="1"/>
  <c r="AI67" i="1" l="1"/>
  <c r="AI38" i="1" l="1"/>
  <c r="AI5" i="1" l="1"/>
  <c r="AI37" i="1" l="1"/>
  <c r="AI46" i="1" l="1"/>
  <c r="AI35" i="1" l="1"/>
  <c r="AI16" i="1" l="1"/>
  <c r="AI65" i="1" l="1"/>
  <c r="AI4" i="2" l="1"/>
  <c r="AI43" i="1"/>
  <c r="AI62" i="1" l="1"/>
  <c r="AI42" i="1" l="1"/>
  <c r="AI26" i="1" l="1"/>
  <c r="AI9" i="1"/>
</calcChain>
</file>

<file path=xl/sharedStrings.xml><?xml version="1.0" encoding="utf-8"?>
<sst xmlns="http://schemas.openxmlformats.org/spreadsheetml/2006/main" count="752" uniqueCount="402">
  <si>
    <t>Control</t>
  </si>
  <si>
    <t>HFpEF</t>
  </si>
  <si>
    <t>index</t>
  </si>
  <si>
    <t>Taurine</t>
  </si>
  <si>
    <t>Welch-T</t>
    <phoneticPr fontId="1"/>
  </si>
  <si>
    <t>Control</t>
    <phoneticPr fontId="1"/>
  </si>
  <si>
    <t>HFpEF</t>
    <phoneticPr fontId="1"/>
  </si>
  <si>
    <t>QC</t>
    <phoneticPr fontId="1"/>
  </si>
  <si>
    <t>RSD</t>
    <phoneticPr fontId="1"/>
  </si>
  <si>
    <t>QC1</t>
    <phoneticPr fontId="1"/>
  </si>
  <si>
    <t>QC2</t>
  </si>
  <si>
    <t>QC3</t>
  </si>
  <si>
    <t>GC</t>
    <phoneticPr fontId="1"/>
  </si>
  <si>
    <t>Pyruvic acid</t>
  </si>
  <si>
    <t>Lactic acid</t>
  </si>
  <si>
    <t>Alanine</t>
  </si>
  <si>
    <t>Oxalic acid</t>
  </si>
  <si>
    <t>3-Hydroxybutyric acid</t>
  </si>
  <si>
    <t>2-Hydroxyisovaleric acid</t>
  </si>
  <si>
    <t>2-Aminobutyric acid</t>
  </si>
  <si>
    <t>Malonic acid</t>
  </si>
  <si>
    <t>Valine</t>
  </si>
  <si>
    <t>Urea</t>
  </si>
  <si>
    <t>Benzoic acid</t>
  </si>
  <si>
    <t>Phosphoric acid</t>
  </si>
  <si>
    <t>Leucine</t>
  </si>
  <si>
    <t>Isoleucine</t>
  </si>
  <si>
    <t>Maleic acid</t>
  </si>
  <si>
    <t>Proline</t>
  </si>
  <si>
    <t>Glycine</t>
  </si>
  <si>
    <t>Succinic acid</t>
  </si>
  <si>
    <t>Picolinic acid</t>
  </si>
  <si>
    <t>Fumaric acid</t>
  </si>
  <si>
    <t>Serine</t>
  </si>
  <si>
    <t>Threonine</t>
  </si>
  <si>
    <t>Glutaric acid</t>
  </si>
  <si>
    <t>3-Aminopropanoic acid</t>
  </si>
  <si>
    <t>Malic acid</t>
  </si>
  <si>
    <t>Nicotinamide</t>
  </si>
  <si>
    <t>Erythritol</t>
  </si>
  <si>
    <t>Aspartic acid</t>
  </si>
  <si>
    <t>Methionine</t>
  </si>
  <si>
    <t>Pyroglutamic acid</t>
  </si>
  <si>
    <t>Creatinine</t>
  </si>
  <si>
    <t>2-Hydroxyglutaric acid</t>
  </si>
  <si>
    <t>2-Ketoglutaric acid</t>
  </si>
  <si>
    <t>Phosphoenolpyruvic acid</t>
  </si>
  <si>
    <t>Hypotaurine</t>
  </si>
  <si>
    <t>Glutamic acid</t>
  </si>
  <si>
    <t>Phenylalanine</t>
  </si>
  <si>
    <t>Asparagine</t>
  </si>
  <si>
    <t>Ribose</t>
  </si>
  <si>
    <t>2-Aminoadipic acid</t>
  </si>
  <si>
    <t>Arabitol</t>
  </si>
  <si>
    <t>Ribitol</t>
  </si>
  <si>
    <t>Aconitic acid</t>
  </si>
  <si>
    <t>Glycerol 3-phosphate</t>
  </si>
  <si>
    <t>Glutamine</t>
  </si>
  <si>
    <t>3-Phosphoglyceric acid</t>
  </si>
  <si>
    <t>Isocitric acid</t>
  </si>
  <si>
    <t>Citric acid</t>
  </si>
  <si>
    <t>Hypoxanthine</t>
  </si>
  <si>
    <t>Ornithine</t>
  </si>
  <si>
    <t>Arginine</t>
  </si>
  <si>
    <t>Fructose</t>
  </si>
  <si>
    <t>Mannose</t>
  </si>
  <si>
    <t>Glucose</t>
  </si>
  <si>
    <t>Histidine</t>
  </si>
  <si>
    <t>Lysine</t>
  </si>
  <si>
    <t>Mannitol</t>
  </si>
  <si>
    <t>Sorbitol</t>
  </si>
  <si>
    <t>Galactitol</t>
  </si>
  <si>
    <t>Tyrosine</t>
  </si>
  <si>
    <t>Ascorbic acid</t>
  </si>
  <si>
    <t>Xanthine</t>
  </si>
  <si>
    <t>Uric acid</t>
  </si>
  <si>
    <t>Ribose 5-phosphate</t>
  </si>
  <si>
    <t>Inositol</t>
  </si>
  <si>
    <t>Tryptophan</t>
  </si>
  <si>
    <t>Fructose 6-phosphate</t>
  </si>
  <si>
    <t>Glucose 6-phosphate</t>
  </si>
  <si>
    <t>Uridine</t>
  </si>
  <si>
    <t>Sedoheptulose 7-phosphate</t>
  </si>
  <si>
    <t>Inosine</t>
  </si>
  <si>
    <t>Adenosine</t>
  </si>
  <si>
    <t>Cytidine</t>
  </si>
  <si>
    <t>Guanosine</t>
  </si>
  <si>
    <t>Uridine 5'-monophosphate</t>
  </si>
  <si>
    <t>Adenosine 5'-monophosphate</t>
  </si>
  <si>
    <t>IC</t>
    <phoneticPr fontId="1"/>
  </si>
  <si>
    <t>Gluconic acid</t>
  </si>
  <si>
    <t>Glucose 1P</t>
  </si>
  <si>
    <t>CMP</t>
  </si>
  <si>
    <t>Glucose 6P</t>
  </si>
  <si>
    <t>Fructose 6P</t>
  </si>
  <si>
    <t>Mannose 6P</t>
  </si>
  <si>
    <t>S7P</t>
  </si>
  <si>
    <t>AMP</t>
  </si>
  <si>
    <t>cAMP</t>
  </si>
  <si>
    <t>6-Phoshogluconic acid</t>
  </si>
  <si>
    <t>3-Phoshoglyceric acid</t>
  </si>
  <si>
    <t>TMP</t>
  </si>
  <si>
    <t>NADH</t>
  </si>
  <si>
    <t>phospho enol pyruvate</t>
  </si>
  <si>
    <t>UMP</t>
  </si>
  <si>
    <t>Fructose 1,6-bisP</t>
  </si>
  <si>
    <t>ADP</t>
  </si>
  <si>
    <t>2,3-BPG</t>
  </si>
  <si>
    <t>PRPP</t>
  </si>
  <si>
    <t>XMP</t>
  </si>
  <si>
    <t>IMP</t>
  </si>
  <si>
    <t>GMP</t>
  </si>
  <si>
    <t>ATP</t>
  </si>
  <si>
    <t>GDP</t>
  </si>
  <si>
    <t>GTP</t>
  </si>
  <si>
    <t>System</t>
    <phoneticPr fontId="1"/>
  </si>
  <si>
    <r>
      <rPr>
        <b/>
        <sz val="11"/>
        <color theme="1"/>
        <rFont val="ＭＳ Ｐゴシック"/>
        <family val="2"/>
        <charset val="128"/>
      </rPr>
      <t>アミノ酸</t>
    </r>
  </si>
  <si>
    <r>
      <rPr>
        <b/>
        <sz val="11"/>
        <color theme="1"/>
        <rFont val="ＭＳ Ｐゴシック"/>
        <family val="2"/>
        <charset val="128"/>
      </rPr>
      <t>代謝物</t>
    </r>
  </si>
  <si>
    <r>
      <rPr>
        <b/>
        <sz val="11"/>
        <color theme="1"/>
        <rFont val="ＭＳ Ｐゴシック"/>
        <family val="2"/>
        <charset val="128"/>
      </rPr>
      <t>代謝物</t>
    </r>
    <phoneticPr fontId="1"/>
  </si>
  <si>
    <t>Annotation</t>
    <phoneticPr fontId="2"/>
  </si>
  <si>
    <t>Class</t>
    <phoneticPr fontId="1"/>
  </si>
  <si>
    <t>P-value</t>
    <phoneticPr fontId="1"/>
  </si>
  <si>
    <t>Significance</t>
    <phoneticPr fontId="1"/>
  </si>
  <si>
    <t>Mean</t>
    <phoneticPr fontId="1"/>
  </si>
  <si>
    <t>検定数</t>
    <rPh sb="0" eb="2">
      <t>ケンテイ</t>
    </rPh>
    <rPh sb="2" eb="3">
      <t>カズ</t>
    </rPh>
    <phoneticPr fontId="8"/>
  </si>
  <si>
    <r>
      <t>Q</t>
    </r>
    <r>
      <rPr>
        <b/>
        <sz val="11"/>
        <color theme="1"/>
        <rFont val="ＭＳ ゴシック"/>
        <family val="3"/>
        <charset val="128"/>
      </rPr>
      <t>値</t>
    </r>
    <rPh sb="1" eb="2">
      <t>アタイ</t>
    </rPh>
    <phoneticPr fontId="8"/>
  </si>
  <si>
    <t>Fold change</t>
    <phoneticPr fontId="1"/>
  </si>
  <si>
    <t>Significance</t>
    <phoneticPr fontId="8"/>
  </si>
  <si>
    <t>Welch-T Significance</t>
    <phoneticPr fontId="1"/>
  </si>
  <si>
    <t>FDR</t>
    <phoneticPr fontId="1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</si>
  <si>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&lt;0.001 : ***</t>
    </r>
    <phoneticPr fontId="1"/>
  </si>
  <si>
    <t>FDR Significance</t>
    <phoneticPr fontId="1"/>
  </si>
  <si>
    <r>
      <rPr>
        <b/>
        <i/>
        <sz val="11"/>
        <color theme="1"/>
        <rFont val="Calibri"/>
        <family val="2"/>
      </rPr>
      <t>Q</t>
    </r>
    <r>
      <rPr>
        <b/>
        <sz val="11"/>
        <color theme="1"/>
        <rFont val="Calibri"/>
        <family val="2"/>
      </rPr>
      <t>&lt;0.05 : **</t>
    </r>
    <phoneticPr fontId="1"/>
  </si>
  <si>
    <r>
      <rPr>
        <b/>
        <i/>
        <sz val="11"/>
        <color theme="1"/>
        <rFont val="Calibri"/>
        <family val="2"/>
      </rPr>
      <t>Q</t>
    </r>
    <r>
      <rPr>
        <b/>
        <sz val="11"/>
        <color theme="1"/>
        <rFont val="Calibri"/>
        <family val="2"/>
      </rPr>
      <t>&lt;0.10 : *</t>
    </r>
    <phoneticPr fontId="1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</si>
  <si>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&lt;0.010 : **</t>
    </r>
    <phoneticPr fontId="1"/>
  </si>
  <si>
    <r>
      <rPr>
        <b/>
        <i/>
        <sz val="11"/>
        <color theme="1"/>
        <rFont val="Calibri"/>
        <family val="2"/>
      </rPr>
      <t>P</t>
    </r>
    <r>
      <rPr>
        <b/>
        <sz val="11"/>
        <color theme="1"/>
        <rFont val="Calibri"/>
        <family val="2"/>
      </rPr>
      <t>&lt;0.050 : *</t>
    </r>
    <phoneticPr fontId="1"/>
  </si>
  <si>
    <t>Detection criteria:</t>
    <phoneticPr fontId="1"/>
  </si>
  <si>
    <t>RSD in QC samples&lt;25%</t>
    <phoneticPr fontId="1"/>
  </si>
  <si>
    <t>Q-value</t>
    <phoneticPr fontId="8"/>
  </si>
  <si>
    <t>190.00&gt;147.00</t>
  </si>
  <si>
    <t>116.00&gt;91.00</t>
  </si>
  <si>
    <t>----</t>
  </si>
  <si>
    <t>204.00&gt;147.00</t>
  </si>
  <si>
    <t>218.00&gt;100.00</t>
  </si>
  <si>
    <t>204.00&gt;131.00</t>
  </si>
  <si>
    <t>276.00&gt;248.00</t>
  </si>
  <si>
    <t>276.00&gt;147.00</t>
  </si>
  <si>
    <t>248.00&gt;147.00</t>
  </si>
  <si>
    <t>290.00&gt;147.00</t>
  </si>
  <si>
    <t>290.00&gt;248.00</t>
  </si>
  <si>
    <t>232.00&gt;100.00</t>
  </si>
  <si>
    <t>232.00&gt;188.00</t>
  </si>
  <si>
    <t>232.00&gt;163.00</t>
  </si>
  <si>
    <t>246.00&gt;156.00</t>
  </si>
  <si>
    <t>230.00&gt;147.00</t>
  </si>
  <si>
    <t>231.00&gt;188.00</t>
  </si>
  <si>
    <t>231.00&gt;132.00</t>
  </si>
  <si>
    <t>231.00&gt;141.00</t>
  </si>
  <si>
    <t>245.00&gt;156.00</t>
  </si>
  <si>
    <t>347.00&gt;147.00</t>
  </si>
  <si>
    <t>156.00&gt;91.00</t>
  </si>
  <si>
    <t>256.00&gt;157.00</t>
  </si>
  <si>
    <t>256.00&gt;142.00</t>
  </si>
  <si>
    <t>157.00&gt;141.00</t>
  </si>
  <si>
    <t>174.00&gt;89.00</t>
  </si>
  <si>
    <t>174.00&gt;99.00</t>
  </si>
  <si>
    <t>174.00&gt;115.00</t>
  </si>
  <si>
    <t>191.00&gt;147.00</t>
  </si>
  <si>
    <t>219.00&gt;147.00</t>
  </si>
  <si>
    <t>219.00&gt;191.00</t>
  </si>
  <si>
    <t>190.00&gt;175.00</t>
  </si>
  <si>
    <t>233.00&gt;147.00</t>
  </si>
  <si>
    <t>233.00&gt;191.00</t>
  </si>
  <si>
    <t>145.00&gt;73.00</t>
  </si>
  <si>
    <t>247.00&gt;147.00</t>
  </si>
  <si>
    <t>233.00&gt;143.00</t>
  </si>
  <si>
    <t>233.00&gt;217.00</t>
  </si>
  <si>
    <t>218.00&gt;147.00</t>
  </si>
  <si>
    <t>144.00&gt;91.00</t>
  </si>
  <si>
    <t>204.00&gt;189.00</t>
  </si>
  <si>
    <t>189.00&gt;173.00</t>
  </si>
  <si>
    <t>179.00&gt;105.00</t>
  </si>
  <si>
    <t>179.00&gt;135.00</t>
  </si>
  <si>
    <t>194.00&gt;179.00</t>
  </si>
  <si>
    <t>299.00&gt;225.00</t>
  </si>
  <si>
    <t>314.00&gt;147.00</t>
  </si>
  <si>
    <t>158.00&gt;102.00</t>
  </si>
  <si>
    <t>232.00&gt;147.00</t>
  </si>
  <si>
    <t>158.00&gt;116.00</t>
  </si>
  <si>
    <t>245.00&gt;147.00</t>
  </si>
  <si>
    <t>170.00&gt;98.00</t>
  </si>
  <si>
    <t>133.00&gt;115.00</t>
  </si>
  <si>
    <t>216.00&gt;147.00</t>
  </si>
  <si>
    <t>142.00&gt;91.00</t>
  </si>
  <si>
    <t>216.00&gt;149.00</t>
  </si>
  <si>
    <t>172.00&gt;113.00</t>
  </si>
  <si>
    <t>172.00&gt;128.00</t>
  </si>
  <si>
    <t>180.00&gt;136.00</t>
  </si>
  <si>
    <t>180.00&gt;106.00</t>
  </si>
  <si>
    <t>136.00&gt;106.00</t>
  </si>
  <si>
    <t>245.00&gt;171.00</t>
  </si>
  <si>
    <t>245.00&gt;217.00</t>
  </si>
  <si>
    <t>278.00&gt;188.00</t>
  </si>
  <si>
    <t>278.00&gt;147.00</t>
  </si>
  <si>
    <t>306.00&gt;147.00</t>
  </si>
  <si>
    <t>291.00&gt;101.00</t>
  </si>
  <si>
    <t>218.00&gt;128.00</t>
  </si>
  <si>
    <t>219.00&gt;101.00</t>
  </si>
  <si>
    <t>261.00&gt;147.00</t>
  </si>
  <si>
    <t>261.00&gt;233.00</t>
  </si>
  <si>
    <t>233.00&gt;189.00</t>
  </si>
  <si>
    <t>335.00&gt;147.00</t>
  </si>
  <si>
    <t>179.00&gt;75.00</t>
  </si>
  <si>
    <t>179.00&gt;136.00</t>
  </si>
  <si>
    <t>193.00&gt;175.00</t>
  </si>
  <si>
    <t>217.00&gt;129.00</t>
  </si>
  <si>
    <t>307.00&gt;217.00</t>
  </si>
  <si>
    <t>307.00&gt;103.00</t>
  </si>
  <si>
    <t>250.00&gt;202.00</t>
  </si>
  <si>
    <t>293.00&gt;114.00</t>
  </si>
  <si>
    <t>250.00&gt;147.00</t>
  </si>
  <si>
    <t>258.00&gt;230.00</t>
  </si>
  <si>
    <t>156.00&gt;140.00</t>
  </si>
  <si>
    <t>329.00&gt;115.00</t>
  </si>
  <si>
    <t>329.00&gt;143.00</t>
  </si>
  <si>
    <t>247.00&gt;129.00</t>
  </si>
  <si>
    <t>203.00&gt;147.00</t>
  </si>
  <si>
    <t>349.00&gt;147.00</t>
  </si>
  <si>
    <t>198.00&gt;170.00</t>
  </si>
  <si>
    <t>198.00&gt;154.00</t>
  </si>
  <si>
    <t>288.00&gt;198.00</t>
  </si>
  <si>
    <t>369.00&gt;147.00</t>
  </si>
  <si>
    <t>299.00&gt;73.00</t>
  </si>
  <si>
    <t>369.00&gt;299.00</t>
  </si>
  <si>
    <t>188.00&gt;100.00</t>
  </si>
  <si>
    <t>310.00&gt;147.00</t>
  </si>
  <si>
    <t>310.00&gt;248.00</t>
  </si>
  <si>
    <t>266.00&gt;147.00</t>
  </si>
  <si>
    <t>277.00&gt;189.00</t>
  </si>
  <si>
    <t>326.00&gt;225.00</t>
  </si>
  <si>
    <t>225.00&gt;147.00</t>
  </si>
  <si>
    <t>260.00&gt;217.00</t>
  </si>
  <si>
    <t>260.00&gt;73.00</t>
  </si>
  <si>
    <t>272.00&gt;73.00</t>
  </si>
  <si>
    <t>319.00&gt;129.00</t>
  </si>
  <si>
    <t>375.00&gt;147.00</t>
  </si>
  <si>
    <t>285.00&gt;147.00</t>
  </si>
  <si>
    <t>445.00&gt;299.00</t>
  </si>
  <si>
    <t>357.00&gt;225.00</t>
  </si>
  <si>
    <t>357.00&gt;341.00</t>
  </si>
  <si>
    <t>459.00&gt;299.00</t>
  </si>
  <si>
    <t>459.00&gt;147.00</t>
  </si>
  <si>
    <t>387.00&gt;299.00</t>
  </si>
  <si>
    <t>245.00&gt;191.00</t>
  </si>
  <si>
    <t>319.00&gt;147.00</t>
  </si>
  <si>
    <t>245.00&gt;113.00</t>
  </si>
  <si>
    <t>363.00&gt;183.00</t>
  </si>
  <si>
    <t>465.00&gt;257.00</t>
  </si>
  <si>
    <t>280.00&gt;265.00</t>
  </si>
  <si>
    <t>265.00&gt;73.00</t>
  </si>
  <si>
    <t>280.00&gt;73.00</t>
  </si>
  <si>
    <t>420.00&gt;147.00</t>
  </si>
  <si>
    <t>174.00&gt;100.00</t>
  </si>
  <si>
    <t>200.00&gt;112.00</t>
  </si>
  <si>
    <t>364.00&gt;130.00</t>
  </si>
  <si>
    <t>205.00&gt;147.00</t>
  </si>
  <si>
    <t>205.00&gt;117.00</t>
  </si>
  <si>
    <t>319.00&gt;157.00</t>
  </si>
  <si>
    <t>319.00&gt;229.00</t>
  </si>
  <si>
    <t>254.00&gt;155.00</t>
  </si>
  <si>
    <t>254.00&gt;238.00</t>
  </si>
  <si>
    <t>356.00&gt;147.00</t>
  </si>
  <si>
    <t>317.00&gt;156.00</t>
  </si>
  <si>
    <t>317.00&gt;128.00</t>
  </si>
  <si>
    <t>434.00&gt;156.00</t>
  </si>
  <si>
    <t>331.00&gt;169.00</t>
  </si>
  <si>
    <t>280.00&gt;192.00</t>
  </si>
  <si>
    <t>354.00&gt;147.00</t>
  </si>
  <si>
    <t>332.00&gt;147.00</t>
  </si>
  <si>
    <t>332.00&gt;215.00</t>
  </si>
  <si>
    <t>332.00&gt;303.00</t>
  </si>
  <si>
    <t>353.00&gt;147.00</t>
  </si>
  <si>
    <t>368.00&gt;353.00</t>
  </si>
  <si>
    <t>368.00&gt;294.00</t>
  </si>
  <si>
    <t>456.00&gt;441.00</t>
  </si>
  <si>
    <t>456.00&gt;367.00</t>
  </si>
  <si>
    <t>441.00&gt;367.00</t>
  </si>
  <si>
    <t>459.00&gt;315.00</t>
  </si>
  <si>
    <t>459.00&gt;217.00</t>
  </si>
  <si>
    <t>318.00&gt;147.00</t>
  </si>
  <si>
    <t>305.00&gt;217.00</t>
  </si>
  <si>
    <t>432.00&gt;191.00</t>
  </si>
  <si>
    <t>291.00&gt;86.00</t>
  </si>
  <si>
    <t>291.00&gt;129.00</t>
  </si>
  <si>
    <t>315.00&gt;299.00</t>
  </si>
  <si>
    <t>315.00&gt;147.00</t>
  </si>
  <si>
    <t>471.00&gt;387.00</t>
  </si>
  <si>
    <t>258.00&gt;147.00</t>
  </si>
  <si>
    <t>258.00&gt;243.00</t>
  </si>
  <si>
    <t>517.00&gt;169.00</t>
  </si>
  <si>
    <t>541.00&gt;103.00</t>
  </si>
  <si>
    <t>281.00&gt;166.00</t>
  </si>
  <si>
    <t>541.00&gt;193.00</t>
  </si>
  <si>
    <t>230.00&gt;156.00</t>
  </si>
  <si>
    <t>230.00&gt;73.00</t>
  </si>
  <si>
    <t>223.00&gt;166.00</t>
  </si>
  <si>
    <t>223.00&gt;208.00</t>
  </si>
  <si>
    <t>516.00&gt;168.00</t>
  </si>
  <si>
    <t>324.00&gt;280.00</t>
  </si>
  <si>
    <t>324.00&gt;147.00</t>
  </si>
  <si>
    <t>324.00&gt;264.00</t>
  </si>
  <si>
    <t>352.00&gt;185.00</t>
  </si>
  <si>
    <t>352.00&gt;169.00</t>
  </si>
  <si>
    <t>352.00&gt;153.00</t>
  </si>
  <si>
    <t>382.00&gt;140.00</t>
  </si>
  <si>
    <t>382.00&gt;315.00</t>
  </si>
  <si>
    <t>195.00&gt;129.05</t>
  </si>
  <si>
    <t>195.00&gt;75.00</t>
  </si>
  <si>
    <t>195.00&gt;99.00</t>
  </si>
  <si>
    <t>259.00&gt;96.95</t>
  </si>
  <si>
    <t>259.00&gt;241.00</t>
  </si>
  <si>
    <t>259.00&gt;78.90</t>
  </si>
  <si>
    <t>117.00&gt;73.00</t>
  </si>
  <si>
    <t>117.00&gt;99.00</t>
  </si>
  <si>
    <t>117.00&gt;54.95</t>
  </si>
  <si>
    <t>322.00&gt;78.95</t>
  </si>
  <si>
    <t>322.00&gt;97.00</t>
  </si>
  <si>
    <t>322.00&gt;211.00</t>
  </si>
  <si>
    <t>133.00&gt;71.00</t>
  </si>
  <si>
    <t>133.00&gt;73.00</t>
  </si>
  <si>
    <t>259.00&gt;199.00</t>
  </si>
  <si>
    <t>259.00&gt;169.00</t>
  </si>
  <si>
    <t>115.00&gt;71.00</t>
  </si>
  <si>
    <t>115.00&gt;27.00</t>
  </si>
  <si>
    <t>115.00&gt;17.00</t>
  </si>
  <si>
    <t>289.00&gt;96.95</t>
  </si>
  <si>
    <t>289.00&gt;78.90</t>
  </si>
  <si>
    <t>289.00&gt;198.95</t>
  </si>
  <si>
    <t>346.00&gt;97.00</t>
  </si>
  <si>
    <t>346.00&gt;134.10</t>
  </si>
  <si>
    <t>346.00&gt;78.95</t>
  </si>
  <si>
    <t>328.00&gt;134.05</t>
  </si>
  <si>
    <t>328.00&gt;78.95</t>
  </si>
  <si>
    <t>328.00&gt;107.05</t>
  </si>
  <si>
    <t>275.00&gt;96.95</t>
  </si>
  <si>
    <t>275.00&gt;78.90</t>
  </si>
  <si>
    <t>275.00&gt;257.05</t>
  </si>
  <si>
    <t>185.00&gt;96.95</t>
  </si>
  <si>
    <t>185.00&gt;78.95</t>
  </si>
  <si>
    <t>185.00&gt;167.05</t>
  </si>
  <si>
    <t>191.00&gt;111.05</t>
  </si>
  <si>
    <t>191.00&gt;87.00</t>
  </si>
  <si>
    <t>191.00&gt;85.00</t>
  </si>
  <si>
    <t>321.00&gt;195.00</t>
  </si>
  <si>
    <t>321.00&gt;78.95</t>
  </si>
  <si>
    <t>321.00&gt;125.00</t>
  </si>
  <si>
    <t>664.00&gt;79.00</t>
  </si>
  <si>
    <t>664.00&gt;408.10</t>
  </si>
  <si>
    <t>664.00&gt;159.05</t>
  </si>
  <si>
    <t>191.00&gt;111.00</t>
  </si>
  <si>
    <t>191.00&gt;173.10</t>
  </si>
  <si>
    <t>191.00&gt;73.05</t>
  </si>
  <si>
    <t>167.00&gt;78.90</t>
  </si>
  <si>
    <t>167.00&gt;62.95</t>
  </si>
  <si>
    <t>323.00&gt;78.95</t>
  </si>
  <si>
    <t>323.00&gt;97.00</t>
  </si>
  <si>
    <t>323.00&gt;211.00</t>
  </si>
  <si>
    <t>339.00&gt;97.00</t>
  </si>
  <si>
    <t>339.00&gt;78.95</t>
  </si>
  <si>
    <t>339.00&gt;241.00</t>
  </si>
  <si>
    <t>426.00&gt;159.00</t>
  </si>
  <si>
    <t>426.00&gt;134.10</t>
  </si>
  <si>
    <t>426.00&gt;328.05</t>
  </si>
  <si>
    <t>264.85&gt;166.95</t>
  </si>
  <si>
    <t>264.85&gt;78.90</t>
  </si>
  <si>
    <t>264.85&gt;176.90</t>
  </si>
  <si>
    <t>388.90&gt;176.95</t>
  </si>
  <si>
    <t>388.90&gt;291.00</t>
  </si>
  <si>
    <t>388.90&gt;159.00</t>
  </si>
  <si>
    <t>362.95&gt;211.00</t>
  </si>
  <si>
    <t>362.95&gt;151.05</t>
  </si>
  <si>
    <t>362.95&gt;97.00</t>
  </si>
  <si>
    <t>346.90&gt;78.95</t>
  </si>
  <si>
    <t>346.90&gt;135.05</t>
  </si>
  <si>
    <t>346.90&gt;97.00</t>
  </si>
  <si>
    <t>362.00&gt;78.95</t>
  </si>
  <si>
    <t>362.00&gt;211.00</t>
  </si>
  <si>
    <t>362.00&gt;150.10</t>
  </si>
  <si>
    <t>506.00&gt;159.00</t>
  </si>
  <si>
    <t>506.00&gt;408.00</t>
  </si>
  <si>
    <t>506.00&gt;78.95</t>
  </si>
  <si>
    <t>441.95&gt;149.95</t>
  </si>
  <si>
    <t>441.95&gt;159.00</t>
  </si>
  <si>
    <t>441.95&gt;344.00</t>
  </si>
  <si>
    <t>521.90&gt;78.85</t>
  </si>
  <si>
    <t>521.90&gt;159.00</t>
  </si>
  <si>
    <r>
      <rPr>
        <b/>
        <i/>
        <sz val="11"/>
        <color theme="1"/>
        <rFont val="Calibri"/>
        <family val="2"/>
      </rPr>
      <t>m/z</t>
    </r>
    <r>
      <rPr>
        <b/>
        <sz val="11"/>
        <color theme="1"/>
        <rFont val="Calibri"/>
        <family val="2"/>
      </rPr>
      <t>_Qualitative</t>
    </r>
    <phoneticPr fontId="1"/>
  </si>
  <si>
    <t>RT</t>
    <phoneticPr fontId="1"/>
  </si>
  <si>
    <r>
      <rPr>
        <b/>
        <sz val="11"/>
        <color theme="1"/>
        <rFont val="ＭＳ Ｐゴシック"/>
        <family val="3"/>
        <charset val="128"/>
      </rPr>
      <t>平滑化前</t>
    </r>
  </si>
  <si>
    <r>
      <rPr>
        <b/>
        <i/>
        <sz val="11"/>
        <color theme="1"/>
        <rFont val="Calibri"/>
        <family val="2"/>
      </rPr>
      <t>m/z</t>
    </r>
    <r>
      <rPr>
        <b/>
        <sz val="11"/>
        <color theme="1"/>
        <rFont val="Calibri"/>
        <family val="2"/>
      </rPr>
      <t>_Quantitative</t>
    </r>
    <phoneticPr fontId="1"/>
  </si>
  <si>
    <r>
      <rPr>
        <b/>
        <sz val="11"/>
        <color theme="1"/>
        <rFont val="ＭＳ Ｐゴシック"/>
        <family val="2"/>
        <charset val="128"/>
      </rPr>
      <t>アミノ酸</t>
    </r>
    <phoneticPr fontId="1"/>
  </si>
  <si>
    <t>height &gt; 1000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</si>
</sst>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84" formatCode="0.0000"/>
  </numFmts>
  <fonts count="1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1"/>
      <color theme="0"/>
      <name val="ＭＳ Ｐゴシック"/>
      <family val="3"/>
      <charset val="128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"/>
      <color theme="0"/>
      <name val="Calibri"/>
      <family val="2"/>
    </font>
    <font>
      <b/>
      <sz val="11"/>
      <color theme="1"/>
      <name val="ＭＳ Ｐゴシック"/>
      <family val="2"/>
      <charset val="128"/>
    </font>
    <font>
      <b/>
      <sz val="11"/>
      <name val="Calibri"/>
      <family val="2"/>
    </font>
    <font>
      <sz val="18"/>
      <color theme="3"/>
      <name val="游ゴシック Light"/>
      <family val="2"/>
      <charset val="128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2" fontId="4" fillId="0" borderId="1" xfId="0" applyNumberFormat="1" applyFont="1" applyBorder="1">
      <alignment vertical="center"/>
    </xf>
    <xf numFmtId="0" fontId="7" fillId="4" borderId="1" xfId="0" applyFont="1" applyFill="1" applyBorder="1">
      <alignment vertic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 wrapText="1"/>
    </xf>
    <xf numFmtId="184" fontId="4" fillId="0" borderId="1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33CCFF"/>
      <color rgb="FFFF99FF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E2D7-5867-4C51-A944-D315829BC7DF}">
  <dimension ref="A1:BA86"/>
  <sheetViews>
    <sheetView tabSelected="1" zoomScale="75" zoomScaleNormal="75" workbookViewId="0">
      <pane xSplit="4" ySplit="3" topLeftCell="N4" activePane="bottomRight" state="frozen"/>
      <selection pane="topRight" activeCell="H1" sqref="H1"/>
      <selection pane="bottomLeft" activeCell="A4" sqref="A4"/>
      <selection pane="bottomRight"/>
    </sheetView>
  </sheetViews>
  <sheetFormatPr defaultColWidth="8.88671875" defaultRowHeight="14.4" outlineLevelCol="1" x14ac:dyDescent="0.2"/>
  <cols>
    <col min="1" max="1" width="9.44140625" style="12" customWidth="1"/>
    <col min="2" max="2" width="7.6640625" style="6" hidden="1" customWidth="1"/>
    <col min="3" max="3" width="29.109375" style="7" customWidth="1"/>
    <col min="4" max="4" width="15.33203125" style="7" hidden="1" customWidth="1"/>
    <col min="5" max="5" width="8.77734375" style="7" customWidth="1"/>
    <col min="6" max="12" width="8.88671875" style="6"/>
    <col min="13" max="13" width="1.6640625" style="6" customWidth="1"/>
    <col min="14" max="20" width="8.88671875" style="6"/>
    <col min="21" max="21" width="1.6640625" style="6" customWidth="1"/>
    <col min="22" max="25" width="8.88671875" style="6"/>
    <col min="26" max="27" width="8.88671875" style="6" customWidth="1"/>
    <col min="28" max="28" width="13.44140625" style="6" customWidth="1"/>
    <col min="29" max="29" width="10" style="22" customWidth="1"/>
    <col min="30" max="30" width="13.33203125" style="6" customWidth="1"/>
    <col min="31" max="33" width="9.6640625" style="6" hidden="1" customWidth="1" outlineLevel="1"/>
    <col min="34" max="34" width="10.109375" style="22" customWidth="1" collapsed="1"/>
    <col min="35" max="35" width="13.33203125" style="6" customWidth="1"/>
    <col min="36" max="50" width="1.6640625" style="6" customWidth="1"/>
    <col min="51" max="51" width="19.5546875" style="22" bestFit="1" customWidth="1"/>
    <col min="52" max="53" width="16.88671875" style="22" bestFit="1" customWidth="1"/>
    <col min="54" max="16384" width="8.88671875" style="6"/>
  </cols>
  <sheetData>
    <row r="1" spans="1:53" s="5" customFormat="1" x14ac:dyDescent="0.2">
      <c r="A1" s="11"/>
      <c r="B1" s="8"/>
      <c r="C1" s="8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9"/>
      <c r="P1" s="9"/>
      <c r="Q1" s="9"/>
      <c r="R1" s="9"/>
      <c r="S1" s="9"/>
      <c r="T1" s="9"/>
      <c r="U1" s="4"/>
      <c r="V1" s="4"/>
      <c r="W1" s="4"/>
      <c r="X1" s="4"/>
      <c r="Y1" s="4"/>
      <c r="Z1" s="14"/>
      <c r="AA1" s="14"/>
      <c r="AB1" s="14"/>
      <c r="AC1" s="21"/>
      <c r="AD1" s="10">
        <v>3</v>
      </c>
      <c r="AE1" s="10"/>
      <c r="AF1" s="10"/>
      <c r="AG1" s="10"/>
      <c r="AH1" s="21"/>
      <c r="AI1" s="10"/>
      <c r="AJ1" s="25" t="s">
        <v>5</v>
      </c>
      <c r="AK1" s="25"/>
      <c r="AL1" s="25"/>
      <c r="AM1" s="25"/>
      <c r="AN1" s="25"/>
      <c r="AO1" s="25"/>
      <c r="AP1" s="25"/>
      <c r="AQ1" s="4"/>
      <c r="AR1" s="25" t="s">
        <v>6</v>
      </c>
      <c r="AS1" s="25"/>
      <c r="AT1" s="25"/>
      <c r="AU1" s="25"/>
      <c r="AV1" s="25"/>
      <c r="AW1" s="25"/>
      <c r="AX1" s="25"/>
      <c r="AY1" s="22"/>
      <c r="AZ1" s="22"/>
      <c r="BA1" s="22"/>
    </row>
    <row r="2" spans="1:53" s="5" customFormat="1" x14ac:dyDescent="0.2">
      <c r="A2" s="11"/>
      <c r="B2" s="8"/>
      <c r="C2" s="8"/>
      <c r="D2" s="1"/>
      <c r="E2" s="1"/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/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/>
      <c r="V2" s="4" t="s">
        <v>7</v>
      </c>
      <c r="W2" s="4" t="s">
        <v>7</v>
      </c>
      <c r="X2" s="4" t="s">
        <v>7</v>
      </c>
      <c r="Y2" s="4" t="s">
        <v>7</v>
      </c>
      <c r="Z2" s="25" t="s">
        <v>123</v>
      </c>
      <c r="AA2" s="25"/>
      <c r="AB2" s="4"/>
      <c r="AC2" s="25" t="s">
        <v>4</v>
      </c>
      <c r="AD2" s="25"/>
      <c r="AE2" s="4"/>
      <c r="AF2" s="4"/>
      <c r="AG2" s="4" t="s">
        <v>398</v>
      </c>
      <c r="AH2" s="26" t="s">
        <v>129</v>
      </c>
      <c r="AI2" s="27"/>
      <c r="AJ2" s="4">
        <v>1</v>
      </c>
      <c r="AK2" s="4">
        <v>2</v>
      </c>
      <c r="AL2" s="4">
        <v>3</v>
      </c>
      <c r="AM2" s="4">
        <v>4</v>
      </c>
      <c r="AN2" s="4">
        <v>5</v>
      </c>
      <c r="AO2" s="4">
        <v>6</v>
      </c>
      <c r="AP2" s="4">
        <v>7</v>
      </c>
      <c r="AQ2" s="4"/>
      <c r="AR2" s="4">
        <v>8</v>
      </c>
      <c r="AS2" s="4">
        <v>9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22"/>
      <c r="AZ2" s="22"/>
      <c r="BA2" s="22"/>
    </row>
    <row r="3" spans="1:53" s="5" customFormat="1" x14ac:dyDescent="0.2">
      <c r="A3" s="18" t="s">
        <v>115</v>
      </c>
      <c r="B3" s="19" t="s">
        <v>2</v>
      </c>
      <c r="C3" s="20" t="s">
        <v>119</v>
      </c>
      <c r="D3" s="20" t="s">
        <v>120</v>
      </c>
      <c r="E3" s="20" t="s">
        <v>397</v>
      </c>
      <c r="F3" s="19">
        <v>1</v>
      </c>
      <c r="G3" s="19">
        <v>2</v>
      </c>
      <c r="H3" s="19">
        <v>3</v>
      </c>
      <c r="I3" s="19">
        <v>4</v>
      </c>
      <c r="J3" s="19">
        <v>5</v>
      </c>
      <c r="K3" s="19">
        <v>6</v>
      </c>
      <c r="L3" s="19">
        <v>7</v>
      </c>
      <c r="M3" s="19"/>
      <c r="N3" s="19">
        <v>8</v>
      </c>
      <c r="O3" s="19">
        <v>9</v>
      </c>
      <c r="P3" s="19">
        <v>10</v>
      </c>
      <c r="Q3" s="19">
        <v>11</v>
      </c>
      <c r="R3" s="19">
        <v>12</v>
      </c>
      <c r="S3" s="19">
        <v>13</v>
      </c>
      <c r="T3" s="19">
        <v>14</v>
      </c>
      <c r="U3" s="19"/>
      <c r="V3" s="19" t="s">
        <v>9</v>
      </c>
      <c r="W3" s="19" t="s">
        <v>10</v>
      </c>
      <c r="X3" s="19" t="s">
        <v>11</v>
      </c>
      <c r="Y3" s="19" t="s">
        <v>8</v>
      </c>
      <c r="Z3" s="19" t="s">
        <v>0</v>
      </c>
      <c r="AA3" s="19" t="s">
        <v>1</v>
      </c>
      <c r="AB3" s="19" t="s">
        <v>126</v>
      </c>
      <c r="AC3" s="19" t="s">
        <v>121</v>
      </c>
      <c r="AD3" s="19" t="s">
        <v>122</v>
      </c>
      <c r="AE3" s="19" t="s">
        <v>124</v>
      </c>
      <c r="AF3" s="19">
        <f>COUNT(AF4:AF80)</f>
        <v>77</v>
      </c>
      <c r="AG3" s="19" t="s">
        <v>125</v>
      </c>
      <c r="AH3" s="19" t="s">
        <v>138</v>
      </c>
      <c r="AI3" s="19" t="s">
        <v>127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0</v>
      </c>
      <c r="AU3" s="4">
        <v>1</v>
      </c>
      <c r="AV3" s="4">
        <v>2</v>
      </c>
      <c r="AW3" s="4">
        <v>3</v>
      </c>
      <c r="AX3" s="4">
        <v>4</v>
      </c>
      <c r="AY3" s="22" t="s">
        <v>399</v>
      </c>
      <c r="AZ3" s="22" t="s">
        <v>396</v>
      </c>
      <c r="BA3" s="22" t="s">
        <v>396</v>
      </c>
    </row>
    <row r="4" spans="1:53" ht="27" customHeight="1" x14ac:dyDescent="0.2">
      <c r="A4" s="16" t="s">
        <v>12</v>
      </c>
      <c r="B4" s="2">
        <v>5</v>
      </c>
      <c r="C4" s="1" t="s">
        <v>15</v>
      </c>
      <c r="D4" s="1" t="s">
        <v>400</v>
      </c>
      <c r="E4" s="28">
        <v>7.1879999999999997</v>
      </c>
      <c r="F4" s="2">
        <v>2.0113080000000001</v>
      </c>
      <c r="G4" s="2">
        <v>2.016092</v>
      </c>
      <c r="H4" s="2">
        <v>2.2272460000000001</v>
      </c>
      <c r="I4" s="2">
        <v>2.291156</v>
      </c>
      <c r="J4" s="2">
        <v>2.2041379999999999</v>
      </c>
      <c r="K4" s="2">
        <v>2.2313000000000001</v>
      </c>
      <c r="L4" s="2">
        <v>2.5089630000000001</v>
      </c>
      <c r="M4" s="2"/>
      <c r="N4" s="2">
        <v>2.243722</v>
      </c>
      <c r="O4" s="2">
        <v>2.1119080000000001</v>
      </c>
      <c r="P4" s="2">
        <v>2.325129</v>
      </c>
      <c r="Q4" s="2">
        <v>2.2462390000000001</v>
      </c>
      <c r="R4" s="2">
        <v>2.0466959999999998</v>
      </c>
      <c r="S4" s="2">
        <v>2.2836150000000002</v>
      </c>
      <c r="T4" s="2">
        <v>2.2887559999999998</v>
      </c>
      <c r="U4" s="2"/>
      <c r="V4" s="2">
        <v>2.229174</v>
      </c>
      <c r="W4" s="2">
        <v>2.2534510000000001</v>
      </c>
      <c r="X4" s="2">
        <v>2.2918090000000002</v>
      </c>
      <c r="Y4" s="3">
        <f t="shared" ref="Y4:Y46" si="0">IFERROR(STDEV(V4:X4)/AVERAGE(V4:X4),0)</f>
        <v>1.3985018317335968E-2</v>
      </c>
      <c r="Z4" s="2">
        <f t="shared" ref="Z4:Z35" si="1">AVERAGE(F4:L4)</f>
        <v>2.2128861428571427</v>
      </c>
      <c r="AA4" s="2">
        <f t="shared" ref="AA4:AA35" si="2">AVERAGE(N4:T4)</f>
        <v>2.220866428571429</v>
      </c>
      <c r="AB4" s="15">
        <f>AA4/Z4</f>
        <v>1.003606279401245</v>
      </c>
      <c r="AC4" s="29">
        <f t="shared" ref="AC4:AC35" si="3">TTEST(F4:L4,N4:T4,2,3)</f>
        <v>0.91745513895377495</v>
      </c>
      <c r="AD4" s="4" t="str">
        <f t="shared" ref="AD4:AD46" si="4">IF(AC4&lt;0.001,"***",IF(AC4&lt;0.01,"**",IF(AC4&lt;0.05,"*","-")))</f>
        <v>-</v>
      </c>
      <c r="AE4" s="2">
        <f t="shared" ref="AE4:AE35" si="5">_xlfn.RANK.EQ(AC4,$AC$4:$AC$80,1)</f>
        <v>75</v>
      </c>
      <c r="AF4" s="2">
        <f t="shared" ref="AF4:AF35" si="6">COUNTIF($AE$4:$AE$80,AE4)+AE4-1</f>
        <v>75</v>
      </c>
      <c r="AG4" s="2">
        <f>MIN(AC4*$AF$3/AF4,1)</f>
        <v>0.94192060932587551</v>
      </c>
      <c r="AH4" s="29">
        <f t="shared" ref="AH4:AH35" si="7">MIN(AG4,IFERROR(VLOOKUP(AF4+1,$AF$4:$AH$80,3,FALSE),1))</f>
        <v>0.94192060932587551</v>
      </c>
      <c r="AI4" s="4" t="str">
        <f>IF(AH4&lt;0.05,"**",IF(AH4&lt;0.1,"*",""))</f>
        <v/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2" t="s">
        <v>139</v>
      </c>
      <c r="AZ4" s="22" t="s">
        <v>140</v>
      </c>
      <c r="BA4" s="22" t="s">
        <v>141</v>
      </c>
    </row>
    <row r="5" spans="1:53" ht="27" customHeight="1" x14ac:dyDescent="0.2">
      <c r="A5" s="16" t="s">
        <v>12</v>
      </c>
      <c r="B5" s="2">
        <v>13</v>
      </c>
      <c r="C5" s="1" t="s">
        <v>19</v>
      </c>
      <c r="D5" s="1" t="s">
        <v>116</v>
      </c>
      <c r="E5" s="28">
        <v>8.0830000000000002</v>
      </c>
      <c r="F5" s="2">
        <v>2.6649999999999998E-3</v>
      </c>
      <c r="G5" s="2">
        <v>2.3630000000000001E-3</v>
      </c>
      <c r="H5" s="2">
        <v>3.0149999999999999E-3</v>
      </c>
      <c r="I5" s="2">
        <v>2.248E-3</v>
      </c>
      <c r="J5" s="2">
        <v>3.1359999999999999E-3</v>
      </c>
      <c r="K5" s="2">
        <v>2.4520000000000002E-3</v>
      </c>
      <c r="L5" s="2">
        <v>2.9970000000000001E-3</v>
      </c>
      <c r="M5" s="2"/>
      <c r="N5" s="2">
        <v>1.774E-3</v>
      </c>
      <c r="O5" s="2">
        <v>1.9559999999999998E-3</v>
      </c>
      <c r="P5" s="2">
        <v>2.0400000000000001E-3</v>
      </c>
      <c r="Q5" s="2">
        <v>2.2460000000000002E-3</v>
      </c>
      <c r="R5" s="2">
        <v>1.8370000000000001E-3</v>
      </c>
      <c r="S5" s="2">
        <v>1.3630000000000001E-3</v>
      </c>
      <c r="T5" s="2">
        <v>1.8190000000000001E-3</v>
      </c>
      <c r="U5" s="2"/>
      <c r="V5" s="2">
        <v>2.1559999999999999E-3</v>
      </c>
      <c r="W5" s="2">
        <v>2.4299999999999999E-3</v>
      </c>
      <c r="X5" s="2">
        <v>2.6459999999999999E-3</v>
      </c>
      <c r="Y5" s="3">
        <f t="shared" si="0"/>
        <v>0.10186868463311424</v>
      </c>
      <c r="Z5" s="2">
        <f t="shared" si="1"/>
        <v>2.6965714285714288E-3</v>
      </c>
      <c r="AA5" s="2">
        <f t="shared" si="2"/>
        <v>1.8621428571428571E-3</v>
      </c>
      <c r="AB5" s="15">
        <f t="shared" ref="AB5:AB68" si="8">AA5/Z5</f>
        <v>0.69055944055944052</v>
      </c>
      <c r="AC5" s="29">
        <f t="shared" si="3"/>
        <v>4.2349143046804594E-4</v>
      </c>
      <c r="AD5" s="4" t="str">
        <f t="shared" si="4"/>
        <v>***</v>
      </c>
      <c r="AE5" s="2">
        <f t="shared" si="5"/>
        <v>11</v>
      </c>
      <c r="AF5" s="2">
        <f t="shared" si="6"/>
        <v>11</v>
      </c>
      <c r="AG5" s="2">
        <f t="shared" ref="AG5:AG68" si="9">MIN(AC5*$AF$3/AF5,1)</f>
        <v>2.9644400132763215E-3</v>
      </c>
      <c r="AH5" s="29">
        <f t="shared" si="7"/>
        <v>2.9644400132763215E-3</v>
      </c>
      <c r="AI5" s="4" t="str">
        <f t="shared" ref="AI5:AI68" si="10">IF(AH5&lt;0.05,"**",IF(AH5&lt;0.1,"*",""))</f>
        <v>**</v>
      </c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2" t="s">
        <v>142</v>
      </c>
      <c r="AZ5" s="22" t="s">
        <v>143</v>
      </c>
      <c r="BA5" s="22" t="s">
        <v>144</v>
      </c>
    </row>
    <row r="6" spans="1:53" ht="27" customHeight="1" x14ac:dyDescent="0.2">
      <c r="A6" s="16" t="s">
        <v>12</v>
      </c>
      <c r="B6" s="2">
        <v>31</v>
      </c>
      <c r="C6" s="1" t="s">
        <v>29</v>
      </c>
      <c r="D6" s="1" t="s">
        <v>116</v>
      </c>
      <c r="E6" s="28">
        <v>9.8070000000000004</v>
      </c>
      <c r="F6" s="2">
        <v>0.89679699999999996</v>
      </c>
      <c r="G6" s="2">
        <v>0.76041700000000001</v>
      </c>
      <c r="H6" s="2">
        <v>0.84001199999999998</v>
      </c>
      <c r="I6" s="2">
        <v>0.78722599999999998</v>
      </c>
      <c r="J6" s="2">
        <v>0.742174</v>
      </c>
      <c r="K6" s="2">
        <v>0.80739099999999997</v>
      </c>
      <c r="L6" s="2">
        <v>0.87959699999999996</v>
      </c>
      <c r="M6" s="2"/>
      <c r="N6" s="2">
        <v>0.94251300000000005</v>
      </c>
      <c r="O6" s="2">
        <v>0.90920000000000001</v>
      </c>
      <c r="P6" s="2">
        <v>1.099348</v>
      </c>
      <c r="Q6" s="2">
        <v>1.0809340000000001</v>
      </c>
      <c r="R6" s="2">
        <v>0.71436599999999995</v>
      </c>
      <c r="S6" s="2">
        <v>0.86275299999999999</v>
      </c>
      <c r="T6" s="2">
        <v>0.99670499999999995</v>
      </c>
      <c r="U6" s="2"/>
      <c r="V6" s="2">
        <v>0.89018299999999995</v>
      </c>
      <c r="W6" s="2">
        <v>0.88506499999999999</v>
      </c>
      <c r="X6" s="2">
        <v>0.90410800000000002</v>
      </c>
      <c r="Y6" s="3">
        <f t="shared" si="0"/>
        <v>1.1034455518712072E-2</v>
      </c>
      <c r="Z6" s="2">
        <f t="shared" si="1"/>
        <v>0.81623057142857136</v>
      </c>
      <c r="AA6" s="2">
        <f t="shared" si="2"/>
        <v>0.94368842857142865</v>
      </c>
      <c r="AB6" s="15">
        <f t="shared" si="8"/>
        <v>1.156154230929846</v>
      </c>
      <c r="AC6" s="29">
        <f t="shared" si="3"/>
        <v>4.8028446111501921E-2</v>
      </c>
      <c r="AD6" s="4" t="str">
        <f t="shared" si="4"/>
        <v>*</v>
      </c>
      <c r="AE6" s="2">
        <f t="shared" si="5"/>
        <v>25</v>
      </c>
      <c r="AF6" s="2">
        <f t="shared" si="6"/>
        <v>25</v>
      </c>
      <c r="AG6" s="2">
        <f t="shared" si="9"/>
        <v>0.14792761402342591</v>
      </c>
      <c r="AH6" s="29">
        <f t="shared" si="7"/>
        <v>0.14792761402342591</v>
      </c>
      <c r="AI6" s="4" t="str">
        <f t="shared" si="10"/>
        <v/>
      </c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2" t="s">
        <v>145</v>
      </c>
      <c r="AZ6" s="22" t="s">
        <v>146</v>
      </c>
      <c r="BA6" s="22" t="s">
        <v>147</v>
      </c>
    </row>
    <row r="7" spans="1:53" ht="27" customHeight="1" x14ac:dyDescent="0.2">
      <c r="A7" s="16" t="s">
        <v>12</v>
      </c>
      <c r="B7" s="2">
        <v>44</v>
      </c>
      <c r="C7" s="1" t="s">
        <v>36</v>
      </c>
      <c r="D7" s="1" t="s">
        <v>116</v>
      </c>
      <c r="E7" s="28">
        <v>11.193</v>
      </c>
      <c r="F7" s="2">
        <v>2.3910000000000001E-2</v>
      </c>
      <c r="G7" s="2">
        <v>1.7474E-2</v>
      </c>
      <c r="H7" s="2">
        <v>1.8314E-2</v>
      </c>
      <c r="I7" s="2">
        <v>1.6812000000000001E-2</v>
      </c>
      <c r="J7" s="2">
        <v>2.0050999999999999E-2</v>
      </c>
      <c r="K7" s="2">
        <v>1.9977000000000002E-2</v>
      </c>
      <c r="L7" s="2">
        <v>2.0671999999999999E-2</v>
      </c>
      <c r="M7" s="2"/>
      <c r="N7" s="2">
        <v>1.5819E-2</v>
      </c>
      <c r="O7" s="2">
        <v>2.4910999999999999E-2</v>
      </c>
      <c r="P7" s="2">
        <v>2.529E-2</v>
      </c>
      <c r="Q7" s="2">
        <v>1.8978999999999999E-2</v>
      </c>
      <c r="R7" s="2">
        <v>1.1854E-2</v>
      </c>
      <c r="S7" s="2">
        <v>2.6401999999999998E-2</v>
      </c>
      <c r="T7" s="2">
        <v>2.2438E-2</v>
      </c>
      <c r="U7" s="2"/>
      <c r="V7" s="2">
        <v>2.0279999999999999E-2</v>
      </c>
      <c r="W7" s="2">
        <v>2.0087000000000001E-2</v>
      </c>
      <c r="X7" s="2">
        <v>2.2636E-2</v>
      </c>
      <c r="Y7" s="3">
        <f t="shared" si="0"/>
        <v>6.7579451555273062E-2</v>
      </c>
      <c r="Z7" s="2">
        <f t="shared" si="1"/>
        <v>1.9601428571428572E-2</v>
      </c>
      <c r="AA7" s="2">
        <f t="shared" si="2"/>
        <v>2.0813285714285711E-2</v>
      </c>
      <c r="AB7" s="15">
        <f t="shared" si="8"/>
        <v>1.0618249398731869</v>
      </c>
      <c r="AC7" s="29">
        <f t="shared" si="3"/>
        <v>0.60503620535370173</v>
      </c>
      <c r="AD7" s="4" t="str">
        <f t="shared" si="4"/>
        <v>-</v>
      </c>
      <c r="AE7" s="2">
        <f t="shared" si="5"/>
        <v>60</v>
      </c>
      <c r="AF7" s="2">
        <f t="shared" si="6"/>
        <v>60</v>
      </c>
      <c r="AG7" s="2">
        <f t="shared" si="9"/>
        <v>0.77646313020391722</v>
      </c>
      <c r="AH7" s="29">
        <f t="shared" si="7"/>
        <v>0.77646313020391722</v>
      </c>
      <c r="AI7" s="4" t="str">
        <f t="shared" si="10"/>
        <v/>
      </c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2" t="s">
        <v>147</v>
      </c>
      <c r="AZ7" s="22" t="s">
        <v>148</v>
      </c>
      <c r="BA7" s="22" t="s">
        <v>149</v>
      </c>
    </row>
    <row r="8" spans="1:53" ht="27" customHeight="1" x14ac:dyDescent="0.2">
      <c r="A8" s="16" t="s">
        <v>12</v>
      </c>
      <c r="B8" s="2">
        <v>53</v>
      </c>
      <c r="C8" s="1" t="s">
        <v>40</v>
      </c>
      <c r="D8" s="1" t="s">
        <v>116</v>
      </c>
      <c r="E8" s="28">
        <v>12.111000000000001</v>
      </c>
      <c r="F8" s="2">
        <v>7.8345640000000003</v>
      </c>
      <c r="G8" s="2">
        <v>7.6931310000000002</v>
      </c>
      <c r="H8" s="2">
        <v>7.0561540000000003</v>
      </c>
      <c r="I8" s="2">
        <v>8.5198160000000005</v>
      </c>
      <c r="J8" s="2">
        <v>12.954369</v>
      </c>
      <c r="K8" s="2">
        <v>11.306334</v>
      </c>
      <c r="L8" s="2">
        <v>8.6994760000000007</v>
      </c>
      <c r="M8" s="2"/>
      <c r="N8" s="2">
        <v>8.5100409999999993</v>
      </c>
      <c r="O8" s="2">
        <v>6.7824920000000004</v>
      </c>
      <c r="P8" s="2">
        <v>8.9244939999999993</v>
      </c>
      <c r="Q8" s="2">
        <v>11.377796</v>
      </c>
      <c r="R8" s="2">
        <v>8.2642550000000004</v>
      </c>
      <c r="S8" s="2">
        <v>11.88813</v>
      </c>
      <c r="T8" s="2">
        <v>9.9348720000000004</v>
      </c>
      <c r="U8" s="2"/>
      <c r="V8" s="2">
        <v>9.1387640000000001</v>
      </c>
      <c r="W8" s="2">
        <v>9.5123130000000007</v>
      </c>
      <c r="X8" s="2">
        <v>9.5475320000000004</v>
      </c>
      <c r="Y8" s="3">
        <f t="shared" si="0"/>
        <v>2.4099164726190472E-2</v>
      </c>
      <c r="Z8" s="2">
        <f t="shared" si="1"/>
        <v>9.1519777142857155</v>
      </c>
      <c r="AA8" s="2">
        <f t="shared" si="2"/>
        <v>9.3831542857142853</v>
      </c>
      <c r="AB8" s="15">
        <f t="shared" si="8"/>
        <v>1.0252597393312832</v>
      </c>
      <c r="AC8" s="29">
        <f t="shared" si="3"/>
        <v>0.83168726824066275</v>
      </c>
      <c r="AD8" s="4" t="str">
        <f t="shared" si="4"/>
        <v>-</v>
      </c>
      <c r="AE8" s="2">
        <f t="shared" si="5"/>
        <v>74</v>
      </c>
      <c r="AF8" s="2">
        <f t="shared" si="6"/>
        <v>74</v>
      </c>
      <c r="AG8" s="2">
        <f t="shared" si="9"/>
        <v>0.86540431965582476</v>
      </c>
      <c r="AH8" s="29">
        <f t="shared" si="7"/>
        <v>0.86540431965582476</v>
      </c>
      <c r="AI8" s="4" t="str">
        <f t="shared" si="10"/>
        <v/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2" t="s">
        <v>150</v>
      </c>
      <c r="AZ8" s="22" t="s">
        <v>151</v>
      </c>
      <c r="BA8" s="22" t="s">
        <v>152</v>
      </c>
    </row>
    <row r="9" spans="1:53" ht="27" customHeight="1" x14ac:dyDescent="0.2">
      <c r="A9" s="16" t="s">
        <v>12</v>
      </c>
      <c r="B9" s="2">
        <v>68</v>
      </c>
      <c r="C9" s="1" t="s">
        <v>48</v>
      </c>
      <c r="D9" s="1" t="s">
        <v>116</v>
      </c>
      <c r="E9" s="28">
        <v>13.138999999999999</v>
      </c>
      <c r="F9" s="2">
        <v>5.3055750000000002</v>
      </c>
      <c r="G9" s="2">
        <v>4.3774850000000001</v>
      </c>
      <c r="H9" s="2">
        <v>5.3435449999999998</v>
      </c>
      <c r="I9" s="2">
        <v>4.1926509999999997</v>
      </c>
      <c r="J9" s="2">
        <v>4.2020770000000001</v>
      </c>
      <c r="K9" s="2">
        <v>4.5391849999999998</v>
      </c>
      <c r="L9" s="2">
        <v>5.1973770000000004</v>
      </c>
      <c r="M9" s="2"/>
      <c r="N9" s="2">
        <v>6.3953329999999999</v>
      </c>
      <c r="O9" s="2">
        <v>6.2814310000000004</v>
      </c>
      <c r="P9" s="2">
        <v>7.412166</v>
      </c>
      <c r="Q9" s="2">
        <v>6.8699950000000003</v>
      </c>
      <c r="R9" s="2">
        <v>5.806597</v>
      </c>
      <c r="S9" s="2">
        <v>6.4796810000000002</v>
      </c>
      <c r="T9" s="2">
        <v>6.8169550000000001</v>
      </c>
      <c r="U9" s="2"/>
      <c r="V9" s="2">
        <v>5.8489409999999999</v>
      </c>
      <c r="W9" s="2">
        <v>5.8810900000000004</v>
      </c>
      <c r="X9" s="2">
        <v>5.8431449999999998</v>
      </c>
      <c r="Y9" s="3">
        <f t="shared" si="0"/>
        <v>3.4895574989022579E-3</v>
      </c>
      <c r="Z9" s="2">
        <f t="shared" si="1"/>
        <v>4.7368421428571432</v>
      </c>
      <c r="AA9" s="2">
        <f t="shared" si="2"/>
        <v>6.5803082857142865</v>
      </c>
      <c r="AB9" s="15">
        <f t="shared" si="8"/>
        <v>1.389176182625586</v>
      </c>
      <c r="AC9" s="29">
        <f t="shared" si="3"/>
        <v>2.3363976510057738E-5</v>
      </c>
      <c r="AD9" s="4" t="str">
        <f t="shared" si="4"/>
        <v>***</v>
      </c>
      <c r="AE9" s="2">
        <f t="shared" si="5"/>
        <v>1</v>
      </c>
      <c r="AF9" s="2">
        <f t="shared" si="6"/>
        <v>1</v>
      </c>
      <c r="AG9" s="2">
        <f t="shared" si="9"/>
        <v>1.7990261912744457E-3</v>
      </c>
      <c r="AH9" s="29">
        <f t="shared" si="7"/>
        <v>1.5441370455196767E-3</v>
      </c>
      <c r="AI9" s="4" t="str">
        <f t="shared" si="10"/>
        <v>**</v>
      </c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2" t="s">
        <v>153</v>
      </c>
      <c r="AZ9" s="22" t="s">
        <v>154</v>
      </c>
      <c r="BA9" s="22" t="s">
        <v>141</v>
      </c>
    </row>
    <row r="10" spans="1:53" ht="27" customHeight="1" x14ac:dyDescent="0.2">
      <c r="A10" s="16" t="s">
        <v>12</v>
      </c>
      <c r="B10" s="2">
        <v>77</v>
      </c>
      <c r="C10" s="1" t="s">
        <v>50</v>
      </c>
      <c r="D10" s="1" t="s">
        <v>116</v>
      </c>
      <c r="E10" s="28">
        <v>13.651</v>
      </c>
      <c r="F10" s="2">
        <v>0.73967300000000002</v>
      </c>
      <c r="G10" s="2">
        <v>0.56901999999999997</v>
      </c>
      <c r="H10" s="2">
        <v>0.65663800000000005</v>
      </c>
      <c r="I10" s="2">
        <v>0.55766899999999997</v>
      </c>
      <c r="J10" s="2">
        <v>0.57555299999999998</v>
      </c>
      <c r="K10" s="2">
        <v>0.62421099999999996</v>
      </c>
      <c r="L10" s="2">
        <v>0.62858000000000003</v>
      </c>
      <c r="M10" s="2"/>
      <c r="N10" s="2">
        <v>0.76944900000000005</v>
      </c>
      <c r="O10" s="2">
        <v>0.50222900000000004</v>
      </c>
      <c r="P10" s="2">
        <v>0.81962299999999999</v>
      </c>
      <c r="Q10" s="2">
        <v>0.82253399999999999</v>
      </c>
      <c r="R10" s="2">
        <v>0.80595499999999998</v>
      </c>
      <c r="S10" s="2">
        <v>0.73314999999999997</v>
      </c>
      <c r="T10" s="2">
        <v>0.70463699999999996</v>
      </c>
      <c r="U10" s="2"/>
      <c r="V10" s="2">
        <v>0.71025199999999999</v>
      </c>
      <c r="W10" s="2">
        <v>0.68743699999999996</v>
      </c>
      <c r="X10" s="2">
        <v>0.69346200000000002</v>
      </c>
      <c r="Y10" s="3">
        <f t="shared" si="0"/>
        <v>1.6961765409939072E-2</v>
      </c>
      <c r="Z10" s="2">
        <f t="shared" si="1"/>
        <v>0.62162057142857141</v>
      </c>
      <c r="AA10" s="2">
        <f t="shared" si="2"/>
        <v>0.73679671428571425</v>
      </c>
      <c r="AB10" s="15">
        <f t="shared" si="8"/>
        <v>1.1852836732742802</v>
      </c>
      <c r="AC10" s="29">
        <f t="shared" si="3"/>
        <v>4.1536032146817684E-2</v>
      </c>
      <c r="AD10" s="4" t="str">
        <f t="shared" si="4"/>
        <v>*</v>
      </c>
      <c r="AE10" s="2">
        <f t="shared" si="5"/>
        <v>23</v>
      </c>
      <c r="AF10" s="2">
        <f t="shared" si="6"/>
        <v>23</v>
      </c>
      <c r="AG10" s="2">
        <f t="shared" si="9"/>
        <v>0.13905541196978094</v>
      </c>
      <c r="AH10" s="29">
        <f t="shared" si="7"/>
        <v>0.13905541196978094</v>
      </c>
      <c r="AI10" s="4" t="str">
        <f t="shared" si="10"/>
        <v/>
      </c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2" t="s">
        <v>155</v>
      </c>
      <c r="AZ10" s="22" t="s">
        <v>156</v>
      </c>
      <c r="BA10" s="22" t="s">
        <v>157</v>
      </c>
    </row>
    <row r="11" spans="1:53" ht="27" customHeight="1" x14ac:dyDescent="0.2">
      <c r="A11" s="16" t="s">
        <v>12</v>
      </c>
      <c r="B11" s="2">
        <v>97</v>
      </c>
      <c r="C11" s="1" t="s">
        <v>57</v>
      </c>
      <c r="D11" s="1" t="s">
        <v>116</v>
      </c>
      <c r="E11" s="28">
        <v>14.641</v>
      </c>
      <c r="F11" s="2">
        <v>8.6542680000000001</v>
      </c>
      <c r="G11" s="2">
        <v>7.2511520000000003</v>
      </c>
      <c r="H11" s="2">
        <v>8.1178439999999998</v>
      </c>
      <c r="I11" s="2">
        <v>7.4313500000000001</v>
      </c>
      <c r="J11" s="2">
        <v>8.3631639999999994</v>
      </c>
      <c r="K11" s="2">
        <v>8.0299890000000005</v>
      </c>
      <c r="L11" s="2">
        <v>8.9266950000000005</v>
      </c>
      <c r="M11" s="2"/>
      <c r="N11" s="2">
        <v>8.6113210000000002</v>
      </c>
      <c r="O11" s="2">
        <v>7.3028690000000003</v>
      </c>
      <c r="P11" s="2">
        <v>8.4701620000000002</v>
      </c>
      <c r="Q11" s="2">
        <v>7.1838689999999996</v>
      </c>
      <c r="R11" s="2">
        <v>6.9771280000000004</v>
      </c>
      <c r="S11" s="2">
        <v>7.3365590000000003</v>
      </c>
      <c r="T11" s="2">
        <v>7.4215970000000002</v>
      </c>
      <c r="U11" s="2"/>
      <c r="V11" s="2">
        <v>8.2660959999999992</v>
      </c>
      <c r="W11" s="2">
        <v>8.1420739999999991</v>
      </c>
      <c r="X11" s="2">
        <v>8.1274789999999992</v>
      </c>
      <c r="Y11" s="3">
        <f t="shared" si="0"/>
        <v>9.3131102919917236E-3</v>
      </c>
      <c r="Z11" s="2">
        <f t="shared" si="1"/>
        <v>8.1106374285714278</v>
      </c>
      <c r="AA11" s="2">
        <f t="shared" si="2"/>
        <v>7.6147864285714286</v>
      </c>
      <c r="AB11" s="15">
        <f t="shared" si="8"/>
        <v>0.93886411464365804</v>
      </c>
      <c r="AC11" s="29">
        <f t="shared" si="3"/>
        <v>0.16665864855990245</v>
      </c>
      <c r="AD11" s="4" t="str">
        <f t="shared" si="4"/>
        <v>-</v>
      </c>
      <c r="AE11" s="2">
        <f t="shared" si="5"/>
        <v>36</v>
      </c>
      <c r="AF11" s="2">
        <f t="shared" si="6"/>
        <v>36</v>
      </c>
      <c r="AG11" s="2">
        <f t="shared" si="9"/>
        <v>0.35646433164201358</v>
      </c>
      <c r="AH11" s="29">
        <f t="shared" si="7"/>
        <v>0.35646433164201358</v>
      </c>
      <c r="AI11" s="4" t="str">
        <f t="shared" si="10"/>
        <v/>
      </c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2" t="s">
        <v>158</v>
      </c>
      <c r="AZ11" s="22" t="s">
        <v>159</v>
      </c>
      <c r="BA11" s="22" t="s">
        <v>160</v>
      </c>
    </row>
    <row r="12" spans="1:53" ht="27" customHeight="1" x14ac:dyDescent="0.2">
      <c r="A12" s="16" t="s">
        <v>12</v>
      </c>
      <c r="B12" s="2">
        <v>110</v>
      </c>
      <c r="C12" s="1" t="s">
        <v>63</v>
      </c>
      <c r="D12" s="1" t="s">
        <v>116</v>
      </c>
      <c r="E12" s="28">
        <v>15.111000000000001</v>
      </c>
      <c r="F12" s="2">
        <v>0.49400300000000003</v>
      </c>
      <c r="G12" s="2">
        <v>0.38156000000000001</v>
      </c>
      <c r="H12" s="2">
        <v>0.395482</v>
      </c>
      <c r="I12" s="2">
        <v>0.33719500000000002</v>
      </c>
      <c r="J12" s="2">
        <v>0.38906600000000002</v>
      </c>
      <c r="K12" s="2">
        <v>0.39985199999999999</v>
      </c>
      <c r="L12" s="2">
        <v>0.43122100000000002</v>
      </c>
      <c r="M12" s="2"/>
      <c r="N12" s="2">
        <v>1.005905</v>
      </c>
      <c r="O12" s="2">
        <v>1.0475840000000001</v>
      </c>
      <c r="P12" s="2">
        <v>0.88493200000000005</v>
      </c>
      <c r="Q12" s="2">
        <v>0.69555999999999996</v>
      </c>
      <c r="R12" s="2">
        <v>2.4010050000000001</v>
      </c>
      <c r="S12" s="2">
        <v>0.78999699999999995</v>
      </c>
      <c r="T12" s="2">
        <v>0.54454999999999998</v>
      </c>
      <c r="U12" s="2"/>
      <c r="V12" s="2">
        <v>0.86503699999999994</v>
      </c>
      <c r="W12" s="2">
        <v>0.74100999999999995</v>
      </c>
      <c r="X12" s="2">
        <v>0.764208</v>
      </c>
      <c r="Y12" s="3">
        <f t="shared" si="0"/>
        <v>8.3457502456212737E-2</v>
      </c>
      <c r="Z12" s="2">
        <f t="shared" si="1"/>
        <v>0.40405414285714286</v>
      </c>
      <c r="AA12" s="2">
        <f t="shared" si="2"/>
        <v>1.0527904285714285</v>
      </c>
      <c r="AB12" s="15">
        <f t="shared" si="8"/>
        <v>2.6055677121064749</v>
      </c>
      <c r="AC12" s="29">
        <f t="shared" si="3"/>
        <v>3.2359402822071733E-2</v>
      </c>
      <c r="AD12" s="4" t="str">
        <f t="shared" si="4"/>
        <v>*</v>
      </c>
      <c r="AE12" s="2">
        <f t="shared" si="5"/>
        <v>22</v>
      </c>
      <c r="AF12" s="2">
        <f t="shared" si="6"/>
        <v>22</v>
      </c>
      <c r="AG12" s="2">
        <f t="shared" si="9"/>
        <v>0.11325790987725105</v>
      </c>
      <c r="AH12" s="29">
        <f t="shared" si="7"/>
        <v>0.11325790987725105</v>
      </c>
      <c r="AI12" s="4" t="str">
        <f t="shared" si="10"/>
        <v/>
      </c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2" t="s">
        <v>161</v>
      </c>
      <c r="AZ12" s="22" t="s">
        <v>162</v>
      </c>
      <c r="BA12" s="22" t="s">
        <v>163</v>
      </c>
    </row>
    <row r="13" spans="1:53" ht="27" customHeight="1" x14ac:dyDescent="0.2">
      <c r="A13" s="16" t="s">
        <v>12</v>
      </c>
      <c r="B13" s="2">
        <v>2</v>
      </c>
      <c r="C13" s="1" t="s">
        <v>13</v>
      </c>
      <c r="D13" s="1" t="s">
        <v>117</v>
      </c>
      <c r="E13" s="28">
        <v>6.4039999999999999</v>
      </c>
      <c r="F13" s="2">
        <v>2.8739000000000001E-2</v>
      </c>
      <c r="G13" s="2">
        <v>3.1203999999999999E-2</v>
      </c>
      <c r="H13" s="2">
        <v>5.8979999999999998E-2</v>
      </c>
      <c r="I13" s="2">
        <v>6.4228999999999994E-2</v>
      </c>
      <c r="J13" s="2">
        <v>3.2001000000000002E-2</v>
      </c>
      <c r="K13" s="2">
        <v>2.4122999999999999E-2</v>
      </c>
      <c r="L13" s="2">
        <v>3.3785999999999997E-2</v>
      </c>
      <c r="M13" s="2"/>
      <c r="N13" s="2">
        <v>2.5186E-2</v>
      </c>
      <c r="O13" s="2">
        <v>2.4938999999999999E-2</v>
      </c>
      <c r="P13" s="2">
        <v>3.8755999999999999E-2</v>
      </c>
      <c r="Q13" s="2">
        <v>4.8362000000000002E-2</v>
      </c>
      <c r="R13" s="2">
        <v>4.3180000000000003E-2</v>
      </c>
      <c r="S13" s="2">
        <v>1.787E-2</v>
      </c>
      <c r="T13" s="2">
        <v>2.3517E-2</v>
      </c>
      <c r="U13" s="2"/>
      <c r="V13" s="2">
        <v>2.9943999999999998E-2</v>
      </c>
      <c r="W13" s="2">
        <v>3.0067E-2</v>
      </c>
      <c r="X13" s="2">
        <v>3.542E-2</v>
      </c>
      <c r="Y13" s="3">
        <f t="shared" si="0"/>
        <v>9.8290951416703451E-2</v>
      </c>
      <c r="Z13" s="2">
        <f t="shared" si="1"/>
        <v>3.9008857142857137E-2</v>
      </c>
      <c r="AA13" s="2">
        <f t="shared" si="2"/>
        <v>3.1687142857142858E-2</v>
      </c>
      <c r="AB13" s="15">
        <f t="shared" si="8"/>
        <v>0.81230636265756506</v>
      </c>
      <c r="AC13" s="29">
        <f t="shared" si="3"/>
        <v>0.34421010488575976</v>
      </c>
      <c r="AD13" s="4" t="str">
        <f t="shared" si="4"/>
        <v>-</v>
      </c>
      <c r="AE13" s="2">
        <f t="shared" si="5"/>
        <v>50</v>
      </c>
      <c r="AF13" s="2">
        <f t="shared" si="6"/>
        <v>50</v>
      </c>
      <c r="AG13" s="2">
        <f t="shared" si="9"/>
        <v>0.53008356152406999</v>
      </c>
      <c r="AH13" s="29">
        <f t="shared" si="7"/>
        <v>0.52741447387416474</v>
      </c>
      <c r="AI13" s="4" t="str">
        <f t="shared" si="10"/>
        <v/>
      </c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2" t="s">
        <v>164</v>
      </c>
      <c r="AZ13" s="22" t="s">
        <v>165</v>
      </c>
      <c r="BA13" s="22" t="s">
        <v>166</v>
      </c>
    </row>
    <row r="14" spans="1:53" ht="27" customHeight="1" x14ac:dyDescent="0.2">
      <c r="A14" s="16" t="s">
        <v>12</v>
      </c>
      <c r="B14" s="2">
        <v>3</v>
      </c>
      <c r="C14" s="1" t="s">
        <v>14</v>
      </c>
      <c r="D14" s="1" t="s">
        <v>117</v>
      </c>
      <c r="E14" s="28">
        <v>6.6109999999999998</v>
      </c>
      <c r="F14" s="2">
        <v>24.680192999999999</v>
      </c>
      <c r="G14" s="2">
        <v>26.735052</v>
      </c>
      <c r="H14" s="2">
        <v>30.004322999999999</v>
      </c>
      <c r="I14" s="2">
        <v>24.757345999999998</v>
      </c>
      <c r="J14" s="2">
        <v>27.424054000000002</v>
      </c>
      <c r="K14" s="2">
        <v>27.126853000000001</v>
      </c>
      <c r="L14" s="2">
        <v>30.647424000000001</v>
      </c>
      <c r="M14" s="2"/>
      <c r="N14" s="2">
        <v>24.933515</v>
      </c>
      <c r="O14" s="2">
        <v>29.340795</v>
      </c>
      <c r="P14" s="2">
        <v>32.789183000000001</v>
      </c>
      <c r="Q14" s="2">
        <v>35.434018999999999</v>
      </c>
      <c r="R14" s="2">
        <v>34.680300000000003</v>
      </c>
      <c r="S14" s="2">
        <v>15.720637999999999</v>
      </c>
      <c r="T14" s="2">
        <v>29.320844000000001</v>
      </c>
      <c r="U14" s="2"/>
      <c r="V14" s="2">
        <v>28.546364000000001</v>
      </c>
      <c r="W14" s="2">
        <v>29.310268000000001</v>
      </c>
      <c r="X14" s="2">
        <v>29.735783999999999</v>
      </c>
      <c r="Y14" s="3">
        <f t="shared" si="0"/>
        <v>2.0641484798646328E-2</v>
      </c>
      <c r="Z14" s="2">
        <f t="shared" si="1"/>
        <v>27.339320714285716</v>
      </c>
      <c r="AA14" s="2">
        <f t="shared" si="2"/>
        <v>28.888470571428574</v>
      </c>
      <c r="AB14" s="15">
        <f t="shared" si="8"/>
        <v>1.0566638020502599</v>
      </c>
      <c r="AC14" s="29">
        <f t="shared" si="3"/>
        <v>0.58741877887048966</v>
      </c>
      <c r="AD14" s="4" t="str">
        <f t="shared" si="4"/>
        <v>-</v>
      </c>
      <c r="AE14" s="2">
        <f t="shared" si="5"/>
        <v>58</v>
      </c>
      <c r="AF14" s="2">
        <f t="shared" si="6"/>
        <v>58</v>
      </c>
      <c r="AG14" s="2">
        <f t="shared" si="9"/>
        <v>0.77984906850047764</v>
      </c>
      <c r="AH14" s="29">
        <f t="shared" si="7"/>
        <v>0.7725351129046959</v>
      </c>
      <c r="AI14" s="4" t="str">
        <f t="shared" si="10"/>
        <v/>
      </c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2" t="s">
        <v>167</v>
      </c>
      <c r="AZ14" s="22" t="s">
        <v>168</v>
      </c>
      <c r="BA14" s="22" t="s">
        <v>169</v>
      </c>
    </row>
    <row r="15" spans="1:53" ht="27" customHeight="1" x14ac:dyDescent="0.2">
      <c r="A15" s="16" t="s">
        <v>12</v>
      </c>
      <c r="B15" s="2">
        <v>9</v>
      </c>
      <c r="C15" s="1" t="s">
        <v>16</v>
      </c>
      <c r="D15" s="1" t="s">
        <v>117</v>
      </c>
      <c r="E15" s="28">
        <v>7.492</v>
      </c>
      <c r="F15" s="2">
        <v>6.2090000000000001E-3</v>
      </c>
      <c r="G15" s="2">
        <v>5.7879999999999997E-3</v>
      </c>
      <c r="H15" s="2">
        <v>7.2940000000000001E-3</v>
      </c>
      <c r="I15" s="2">
        <v>8.3350000000000004E-3</v>
      </c>
      <c r="J15" s="2">
        <v>6.326E-3</v>
      </c>
      <c r="K15" s="2">
        <v>6.0260000000000001E-3</v>
      </c>
      <c r="L15" s="2">
        <v>7.757E-3</v>
      </c>
      <c r="M15" s="2"/>
      <c r="N15" s="2">
        <v>7.1549999999999999E-3</v>
      </c>
      <c r="O15" s="2">
        <v>7.162E-3</v>
      </c>
      <c r="P15" s="2">
        <v>6.5389999999999997E-3</v>
      </c>
      <c r="Q15" s="2">
        <v>8.9149999999999993E-3</v>
      </c>
      <c r="R15" s="2">
        <v>7.5110000000000003E-3</v>
      </c>
      <c r="S15" s="2">
        <v>7.5570000000000003E-3</v>
      </c>
      <c r="T15" s="2">
        <v>6.6480000000000003E-3</v>
      </c>
      <c r="U15" s="2"/>
      <c r="V15" s="2">
        <v>8.3649999999999992E-3</v>
      </c>
      <c r="W15" s="2">
        <v>6.4050000000000001E-3</v>
      </c>
      <c r="X15" s="2">
        <v>6.594E-3</v>
      </c>
      <c r="Y15" s="3">
        <f t="shared" si="0"/>
        <v>0.15182335092806348</v>
      </c>
      <c r="Z15" s="2">
        <f t="shared" si="1"/>
        <v>6.8192857142857144E-3</v>
      </c>
      <c r="AA15" s="2">
        <f t="shared" si="2"/>
        <v>7.3552857142857144E-3</v>
      </c>
      <c r="AB15" s="15">
        <f t="shared" si="8"/>
        <v>1.0786006075206871</v>
      </c>
      <c r="AC15" s="29">
        <f t="shared" si="3"/>
        <v>0.28155511541498845</v>
      </c>
      <c r="AD15" s="4" t="str">
        <f t="shared" si="4"/>
        <v>-</v>
      </c>
      <c r="AE15" s="2">
        <f t="shared" si="5"/>
        <v>47</v>
      </c>
      <c r="AF15" s="2">
        <f t="shared" si="6"/>
        <v>47</v>
      </c>
      <c r="AG15" s="2">
        <f t="shared" si="9"/>
        <v>0.46127114653093854</v>
      </c>
      <c r="AH15" s="29">
        <f t="shared" si="7"/>
        <v>0.46127114653093854</v>
      </c>
      <c r="AI15" s="4" t="str">
        <f t="shared" si="10"/>
        <v/>
      </c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2" t="s">
        <v>168</v>
      </c>
      <c r="AZ15" s="22" t="s">
        <v>139</v>
      </c>
      <c r="BA15" s="22" t="s">
        <v>170</v>
      </c>
    </row>
    <row r="16" spans="1:53" ht="27" customHeight="1" x14ac:dyDescent="0.2">
      <c r="A16" s="16" t="s">
        <v>12</v>
      </c>
      <c r="B16" s="2">
        <v>11</v>
      </c>
      <c r="C16" s="1" t="s">
        <v>17</v>
      </c>
      <c r="D16" s="1" t="s">
        <v>117</v>
      </c>
      <c r="E16" s="28">
        <v>7.899</v>
      </c>
      <c r="F16" s="2">
        <v>8.1040000000000001E-2</v>
      </c>
      <c r="G16" s="2">
        <v>8.9441999999999994E-2</v>
      </c>
      <c r="H16" s="2">
        <v>0.10996599999999999</v>
      </c>
      <c r="I16" s="2">
        <v>0.1051</v>
      </c>
      <c r="J16" s="2">
        <v>9.7782999999999995E-2</v>
      </c>
      <c r="K16" s="2">
        <v>5.5263E-2</v>
      </c>
      <c r="L16" s="2">
        <v>8.8913000000000006E-2</v>
      </c>
      <c r="M16" s="2"/>
      <c r="N16" s="2">
        <v>0.17118800000000001</v>
      </c>
      <c r="O16" s="2">
        <v>0.180088</v>
      </c>
      <c r="P16" s="2">
        <v>0.12852</v>
      </c>
      <c r="Q16" s="2">
        <v>0.129109</v>
      </c>
      <c r="R16" s="2">
        <v>0.11527999999999999</v>
      </c>
      <c r="S16" s="2">
        <v>0.16964199999999999</v>
      </c>
      <c r="T16" s="2">
        <v>0.16414200000000001</v>
      </c>
      <c r="U16" s="2"/>
      <c r="V16" s="2">
        <v>0.123932</v>
      </c>
      <c r="W16" s="2">
        <v>0.12646199999999999</v>
      </c>
      <c r="X16" s="2">
        <v>0.12623500000000001</v>
      </c>
      <c r="Y16" s="3">
        <f t="shared" si="0"/>
        <v>1.1149773810703372E-2</v>
      </c>
      <c r="Z16" s="2">
        <f t="shared" si="1"/>
        <v>8.964385714285715E-2</v>
      </c>
      <c r="AA16" s="2">
        <f t="shared" si="2"/>
        <v>0.15113842857142856</v>
      </c>
      <c r="AB16" s="15">
        <f t="shared" si="8"/>
        <v>1.6859875666725628</v>
      </c>
      <c r="AC16" s="29">
        <f t="shared" si="3"/>
        <v>3.4835736414233422E-4</v>
      </c>
      <c r="AD16" s="4" t="str">
        <f t="shared" si="4"/>
        <v>***</v>
      </c>
      <c r="AE16" s="2">
        <f t="shared" si="5"/>
        <v>7</v>
      </c>
      <c r="AF16" s="2">
        <f t="shared" si="6"/>
        <v>7</v>
      </c>
      <c r="AG16" s="2">
        <f t="shared" si="9"/>
        <v>3.8319310055656766E-3</v>
      </c>
      <c r="AH16" s="29">
        <f t="shared" si="7"/>
        <v>2.9644400132763215E-3</v>
      </c>
      <c r="AI16" s="4" t="str">
        <f t="shared" si="10"/>
        <v>**</v>
      </c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2" t="s">
        <v>171</v>
      </c>
      <c r="AZ16" s="22" t="s">
        <v>167</v>
      </c>
      <c r="BA16" s="22" t="s">
        <v>172</v>
      </c>
    </row>
    <row r="17" spans="1:53" ht="27" customHeight="1" x14ac:dyDescent="0.2">
      <c r="A17" s="16" t="s">
        <v>12</v>
      </c>
      <c r="B17" s="2">
        <v>12</v>
      </c>
      <c r="C17" s="1" t="s">
        <v>18</v>
      </c>
      <c r="D17" s="1" t="s">
        <v>117</v>
      </c>
      <c r="E17" s="28">
        <v>7.9640000000000004</v>
      </c>
      <c r="F17" s="2">
        <v>3.7420000000000002E-2</v>
      </c>
      <c r="G17" s="2">
        <v>4.6604E-2</v>
      </c>
      <c r="H17" s="2">
        <v>4.8476999999999999E-2</v>
      </c>
      <c r="I17" s="2">
        <v>3.7768999999999997E-2</v>
      </c>
      <c r="J17" s="2">
        <v>3.7379000000000003E-2</v>
      </c>
      <c r="K17" s="2">
        <v>3.3829999999999999E-2</v>
      </c>
      <c r="L17" s="2">
        <v>4.2188999999999997E-2</v>
      </c>
      <c r="M17" s="2"/>
      <c r="N17" s="2">
        <v>3.5775000000000001E-2</v>
      </c>
      <c r="O17" s="2">
        <v>3.3597000000000002E-2</v>
      </c>
      <c r="P17" s="2">
        <v>3.8401999999999999E-2</v>
      </c>
      <c r="Q17" s="2">
        <v>3.4046E-2</v>
      </c>
      <c r="R17" s="2">
        <v>2.9502E-2</v>
      </c>
      <c r="S17" s="2">
        <v>2.8590999999999998E-2</v>
      </c>
      <c r="T17" s="2">
        <v>3.6850000000000001E-2</v>
      </c>
      <c r="U17" s="2"/>
      <c r="V17" s="2">
        <v>3.6384E-2</v>
      </c>
      <c r="W17" s="2">
        <v>3.8038000000000002E-2</v>
      </c>
      <c r="X17" s="2">
        <v>3.8198000000000003E-2</v>
      </c>
      <c r="Y17" s="3">
        <f t="shared" si="0"/>
        <v>2.6753241425770055E-2</v>
      </c>
      <c r="Z17" s="2">
        <f t="shared" si="1"/>
        <v>4.0523999999999998E-2</v>
      </c>
      <c r="AA17" s="2">
        <f t="shared" si="2"/>
        <v>3.3823285714285715E-2</v>
      </c>
      <c r="AB17" s="15">
        <f t="shared" si="8"/>
        <v>0.83464825077202931</v>
      </c>
      <c r="AC17" s="29">
        <f t="shared" si="3"/>
        <v>2.0654860097359489E-2</v>
      </c>
      <c r="AD17" s="4" t="str">
        <f t="shared" si="4"/>
        <v>*</v>
      </c>
      <c r="AE17" s="2">
        <f t="shared" si="5"/>
        <v>19</v>
      </c>
      <c r="AF17" s="2">
        <f t="shared" si="6"/>
        <v>19</v>
      </c>
      <c r="AG17" s="2">
        <f t="shared" si="9"/>
        <v>8.3706538289298985E-2</v>
      </c>
      <c r="AH17" s="29">
        <f t="shared" si="7"/>
        <v>8.3706538289298985E-2</v>
      </c>
      <c r="AI17" s="4" t="str">
        <f t="shared" si="10"/>
        <v>*</v>
      </c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2" t="s">
        <v>173</v>
      </c>
      <c r="AZ17" s="22" t="s">
        <v>174</v>
      </c>
      <c r="BA17" s="22" t="s">
        <v>168</v>
      </c>
    </row>
    <row r="18" spans="1:53" ht="27" customHeight="1" x14ac:dyDescent="0.2">
      <c r="A18" s="16" t="s">
        <v>12</v>
      </c>
      <c r="B18" s="2">
        <v>14</v>
      </c>
      <c r="C18" s="1" t="s">
        <v>20</v>
      </c>
      <c r="D18" s="1" t="s">
        <v>117</v>
      </c>
      <c r="E18" s="28">
        <v>8.4629999999999992</v>
      </c>
      <c r="F18" s="2">
        <v>2.2490000000000001E-3</v>
      </c>
      <c r="G18" s="2">
        <v>1.97E-3</v>
      </c>
      <c r="H18" s="2">
        <v>4.4409999999999996E-3</v>
      </c>
      <c r="I18" s="2">
        <v>3.0920000000000001E-3</v>
      </c>
      <c r="J18" s="2">
        <v>2.6909999999999998E-3</v>
      </c>
      <c r="K18" s="2">
        <v>2.643E-3</v>
      </c>
      <c r="L18" s="2">
        <v>3.0969999999999999E-3</v>
      </c>
      <c r="M18" s="2"/>
      <c r="N18" s="2">
        <v>2.862E-3</v>
      </c>
      <c r="O18" s="2">
        <v>2.797E-3</v>
      </c>
      <c r="P18" s="2">
        <v>3.1440000000000001E-3</v>
      </c>
      <c r="Q18" s="2">
        <v>3.4160000000000002E-3</v>
      </c>
      <c r="R18" s="2">
        <v>2.879E-3</v>
      </c>
      <c r="S18" s="2">
        <v>3.235E-3</v>
      </c>
      <c r="T18" s="2">
        <v>2.9610000000000001E-3</v>
      </c>
      <c r="U18" s="2"/>
      <c r="V18" s="2">
        <v>3.0279999999999999E-3</v>
      </c>
      <c r="W18" s="2">
        <v>2.5209999999999998E-3</v>
      </c>
      <c r="X18" s="2">
        <v>2.3249999999999998E-3</v>
      </c>
      <c r="Y18" s="3">
        <f t="shared" si="0"/>
        <v>0.13822103435852645</v>
      </c>
      <c r="Z18" s="2">
        <f t="shared" si="1"/>
        <v>2.8832857142857141E-3</v>
      </c>
      <c r="AA18" s="2">
        <f t="shared" si="2"/>
        <v>3.042E-3</v>
      </c>
      <c r="AB18" s="15">
        <f t="shared" si="8"/>
        <v>1.0550463261160383</v>
      </c>
      <c r="AC18" s="29">
        <f t="shared" si="3"/>
        <v>0.62959014281132553</v>
      </c>
      <c r="AD18" s="4" t="str">
        <f t="shared" si="4"/>
        <v>-</v>
      </c>
      <c r="AE18" s="2">
        <f t="shared" si="5"/>
        <v>61</v>
      </c>
      <c r="AF18" s="2">
        <f t="shared" si="6"/>
        <v>61</v>
      </c>
      <c r="AG18" s="2">
        <f t="shared" si="9"/>
        <v>0.79472854092577161</v>
      </c>
      <c r="AH18" s="29">
        <f t="shared" si="7"/>
        <v>0.7909774822232758</v>
      </c>
      <c r="AI18" s="4" t="str">
        <f t="shared" si="10"/>
        <v/>
      </c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2" t="s">
        <v>171</v>
      </c>
      <c r="AZ18" s="22" t="s">
        <v>175</v>
      </c>
      <c r="BA18" s="22" t="s">
        <v>176</v>
      </c>
    </row>
    <row r="19" spans="1:53" ht="27" customHeight="1" x14ac:dyDescent="0.2">
      <c r="A19" s="16" t="s">
        <v>12</v>
      </c>
      <c r="B19" s="2">
        <v>16</v>
      </c>
      <c r="C19" s="1" t="s">
        <v>21</v>
      </c>
      <c r="D19" s="1" t="s">
        <v>117</v>
      </c>
      <c r="E19" s="28">
        <v>8.6419999999999995</v>
      </c>
      <c r="F19" s="2">
        <v>0.26000400000000001</v>
      </c>
      <c r="G19" s="2">
        <v>0.23566300000000001</v>
      </c>
      <c r="H19" s="2">
        <v>0.27432899999999999</v>
      </c>
      <c r="I19" s="2">
        <v>0.25241799999999998</v>
      </c>
      <c r="J19" s="2">
        <v>0.25339400000000001</v>
      </c>
      <c r="K19" s="2">
        <v>0.28923399999999999</v>
      </c>
      <c r="L19" s="2">
        <v>0.26718799999999998</v>
      </c>
      <c r="M19" s="2"/>
      <c r="N19" s="2">
        <v>0.26725900000000002</v>
      </c>
      <c r="O19" s="2">
        <v>0.26616699999999999</v>
      </c>
      <c r="P19" s="2">
        <v>0.24985499999999999</v>
      </c>
      <c r="Q19" s="2">
        <v>0.30548599999999998</v>
      </c>
      <c r="R19" s="2">
        <v>0.22186700000000001</v>
      </c>
      <c r="S19" s="2">
        <v>0.29539399999999999</v>
      </c>
      <c r="T19" s="2">
        <v>0.25442599999999999</v>
      </c>
      <c r="U19" s="2"/>
      <c r="V19" s="2">
        <v>0.26851399999999997</v>
      </c>
      <c r="W19" s="2">
        <v>0.27529799999999999</v>
      </c>
      <c r="X19" s="2">
        <v>0.27264699999999997</v>
      </c>
      <c r="Y19" s="3">
        <f t="shared" si="0"/>
        <v>1.2562318870078098E-2</v>
      </c>
      <c r="Z19" s="2">
        <f t="shared" si="1"/>
        <v>0.26174714285714284</v>
      </c>
      <c r="AA19" s="2">
        <f t="shared" si="2"/>
        <v>0.26577914285714282</v>
      </c>
      <c r="AB19" s="15">
        <f t="shared" si="8"/>
        <v>1.0154041796062721</v>
      </c>
      <c r="AC19" s="29">
        <f t="shared" si="3"/>
        <v>0.75349309210150373</v>
      </c>
      <c r="AD19" s="4" t="str">
        <f t="shared" si="4"/>
        <v>-</v>
      </c>
      <c r="AE19" s="2">
        <f t="shared" si="5"/>
        <v>68</v>
      </c>
      <c r="AF19" s="2">
        <f t="shared" si="6"/>
        <v>68</v>
      </c>
      <c r="AG19" s="2">
        <f t="shared" si="9"/>
        <v>0.853220118997291</v>
      </c>
      <c r="AH19" s="29">
        <f t="shared" si="7"/>
        <v>0.853220118997291</v>
      </c>
      <c r="AI19" s="4" t="str">
        <f t="shared" si="10"/>
        <v/>
      </c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2" t="s">
        <v>177</v>
      </c>
      <c r="AZ19" s="22" t="s">
        <v>143</v>
      </c>
      <c r="BA19" s="22" t="s">
        <v>178</v>
      </c>
    </row>
    <row r="20" spans="1:53" ht="27" customHeight="1" x14ac:dyDescent="0.2">
      <c r="A20" s="16" t="s">
        <v>12</v>
      </c>
      <c r="B20" s="2">
        <v>18</v>
      </c>
      <c r="C20" s="1" t="s">
        <v>22</v>
      </c>
      <c r="D20" s="1" t="s">
        <v>117</v>
      </c>
      <c r="E20" s="28">
        <v>8.8650000000000002</v>
      </c>
      <c r="F20" s="2">
        <v>0.80369699999999999</v>
      </c>
      <c r="G20" s="2">
        <v>0.68240699999999999</v>
      </c>
      <c r="H20" s="2">
        <v>0.75838099999999997</v>
      </c>
      <c r="I20" s="2">
        <v>0.645478</v>
      </c>
      <c r="J20" s="2">
        <v>0.67178599999999999</v>
      </c>
      <c r="K20" s="2">
        <v>0.61610900000000002</v>
      </c>
      <c r="L20" s="2">
        <v>0.90803900000000004</v>
      </c>
      <c r="M20" s="2"/>
      <c r="N20" s="2">
        <v>0.71249499999999999</v>
      </c>
      <c r="O20" s="2">
        <v>0.82288600000000001</v>
      </c>
      <c r="P20" s="2">
        <v>0.81118199999999996</v>
      </c>
      <c r="Q20" s="2">
        <v>0.90178999999999998</v>
      </c>
      <c r="R20" s="2">
        <v>1.539452</v>
      </c>
      <c r="S20" s="2">
        <v>0.668848</v>
      </c>
      <c r="T20" s="2">
        <v>0.84580500000000003</v>
      </c>
      <c r="U20" s="2"/>
      <c r="V20" s="2">
        <v>0.82947700000000002</v>
      </c>
      <c r="W20" s="2">
        <v>0.816774</v>
      </c>
      <c r="X20" s="2">
        <v>0.81458699999999995</v>
      </c>
      <c r="Y20" s="3">
        <f t="shared" si="0"/>
        <v>9.8016867096319682E-3</v>
      </c>
      <c r="Z20" s="2">
        <f t="shared" si="1"/>
        <v>0.72655671428571422</v>
      </c>
      <c r="AA20" s="2">
        <f t="shared" si="2"/>
        <v>0.90035114285714291</v>
      </c>
      <c r="AB20" s="15">
        <f t="shared" si="8"/>
        <v>1.2392028387519449</v>
      </c>
      <c r="AC20" s="29">
        <f t="shared" si="3"/>
        <v>0.17938491759459066</v>
      </c>
      <c r="AD20" s="4" t="str">
        <f t="shared" si="4"/>
        <v>-</v>
      </c>
      <c r="AE20" s="2">
        <f t="shared" si="5"/>
        <v>37</v>
      </c>
      <c r="AF20" s="2">
        <f t="shared" si="6"/>
        <v>37</v>
      </c>
      <c r="AG20" s="2">
        <f t="shared" si="9"/>
        <v>0.37331455823739135</v>
      </c>
      <c r="AH20" s="29">
        <f t="shared" si="7"/>
        <v>0.37331455823739135</v>
      </c>
      <c r="AI20" s="4" t="str">
        <f t="shared" si="10"/>
        <v/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2" t="s">
        <v>179</v>
      </c>
      <c r="AZ20" s="22" t="s">
        <v>180</v>
      </c>
      <c r="BA20" s="22" t="s">
        <v>141</v>
      </c>
    </row>
    <row r="21" spans="1:53" ht="27" customHeight="1" x14ac:dyDescent="0.2">
      <c r="A21" s="16" t="s">
        <v>12</v>
      </c>
      <c r="B21" s="2">
        <v>19</v>
      </c>
      <c r="C21" s="1" t="s">
        <v>23</v>
      </c>
      <c r="D21" s="1" t="s">
        <v>117</v>
      </c>
      <c r="E21" s="28">
        <v>9.1630000000000003</v>
      </c>
      <c r="F21" s="2">
        <v>0.25788899999999998</v>
      </c>
      <c r="G21" s="2">
        <v>0.24931600000000001</v>
      </c>
      <c r="H21" s="2">
        <v>0.29098000000000002</v>
      </c>
      <c r="I21" s="2">
        <v>0.28113900000000003</v>
      </c>
      <c r="J21" s="2">
        <v>0.25689800000000002</v>
      </c>
      <c r="K21" s="2">
        <v>0.264621</v>
      </c>
      <c r="L21" s="2">
        <v>0.25997700000000001</v>
      </c>
      <c r="M21" s="2"/>
      <c r="N21" s="2">
        <v>0.26868799999999998</v>
      </c>
      <c r="O21" s="2">
        <v>0.28370499999999998</v>
      </c>
      <c r="P21" s="2">
        <v>0.27421200000000001</v>
      </c>
      <c r="Q21" s="2">
        <v>0.26864100000000002</v>
      </c>
      <c r="R21" s="2">
        <v>0.32545499999999999</v>
      </c>
      <c r="S21" s="2">
        <v>0.297655</v>
      </c>
      <c r="T21" s="2">
        <v>0.27154200000000001</v>
      </c>
      <c r="U21" s="2"/>
      <c r="V21" s="2">
        <v>0.334063</v>
      </c>
      <c r="W21" s="2">
        <v>0.28333999999999998</v>
      </c>
      <c r="X21" s="2">
        <v>0.27220699999999998</v>
      </c>
      <c r="Y21" s="3">
        <f t="shared" si="0"/>
        <v>0.11119042002967434</v>
      </c>
      <c r="Z21" s="2">
        <f t="shared" si="1"/>
        <v>0.26583142857142861</v>
      </c>
      <c r="AA21" s="2">
        <f t="shared" si="2"/>
        <v>0.28427114285714283</v>
      </c>
      <c r="AB21" s="15">
        <f t="shared" si="8"/>
        <v>1.0693661933986089</v>
      </c>
      <c r="AC21" s="29">
        <f t="shared" si="3"/>
        <v>8.4010957553586368E-2</v>
      </c>
      <c r="AD21" s="4" t="str">
        <f t="shared" si="4"/>
        <v>-</v>
      </c>
      <c r="AE21" s="2">
        <f t="shared" si="5"/>
        <v>33</v>
      </c>
      <c r="AF21" s="2">
        <f t="shared" si="6"/>
        <v>33</v>
      </c>
      <c r="AG21" s="2">
        <f t="shared" si="9"/>
        <v>0.19602556762503487</v>
      </c>
      <c r="AH21" s="29">
        <f t="shared" si="7"/>
        <v>0.19602556762503487</v>
      </c>
      <c r="AI21" s="4" t="str">
        <f t="shared" si="10"/>
        <v/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2" t="s">
        <v>181</v>
      </c>
      <c r="AZ21" s="22" t="s">
        <v>182</v>
      </c>
      <c r="BA21" s="22" t="s">
        <v>183</v>
      </c>
    </row>
    <row r="22" spans="1:53" ht="27" customHeight="1" x14ac:dyDescent="0.2">
      <c r="A22" s="16" t="s">
        <v>12</v>
      </c>
      <c r="B22" s="2">
        <v>21</v>
      </c>
      <c r="C22" s="1" t="s">
        <v>24</v>
      </c>
      <c r="D22" s="1" t="s">
        <v>117</v>
      </c>
      <c r="E22" s="28">
        <v>9.2739999999999991</v>
      </c>
      <c r="F22" s="2">
        <v>9.8773199999999992</v>
      </c>
      <c r="G22" s="2">
        <v>10.073024</v>
      </c>
      <c r="H22" s="2">
        <v>11.804849000000001</v>
      </c>
      <c r="I22" s="2">
        <v>10.080984000000001</v>
      </c>
      <c r="J22" s="2">
        <v>9.9382540000000006</v>
      </c>
      <c r="K22" s="2">
        <v>10.072646000000001</v>
      </c>
      <c r="L22" s="2">
        <v>10.180989</v>
      </c>
      <c r="M22" s="2"/>
      <c r="N22" s="2">
        <v>11.521527000000001</v>
      </c>
      <c r="O22" s="2">
        <v>10.371954000000001</v>
      </c>
      <c r="P22" s="2">
        <v>11.825812000000001</v>
      </c>
      <c r="Q22" s="2">
        <v>10.886105000000001</v>
      </c>
      <c r="R22" s="2">
        <v>8.3027189999999997</v>
      </c>
      <c r="S22" s="2">
        <v>13.452893</v>
      </c>
      <c r="T22" s="2">
        <v>11.733669000000001</v>
      </c>
      <c r="U22" s="2"/>
      <c r="V22" s="2">
        <v>10.178124</v>
      </c>
      <c r="W22" s="2">
        <v>11.35248</v>
      </c>
      <c r="X22" s="2">
        <v>11.351609</v>
      </c>
      <c r="Y22" s="3">
        <f t="shared" si="0"/>
        <v>6.183556957664222E-2</v>
      </c>
      <c r="Z22" s="2">
        <f t="shared" si="1"/>
        <v>10.289723714285715</v>
      </c>
      <c r="AA22" s="2">
        <f t="shared" si="2"/>
        <v>11.156382714285716</v>
      </c>
      <c r="AB22" s="15">
        <f t="shared" si="8"/>
        <v>1.0842256822500274</v>
      </c>
      <c r="AC22" s="29">
        <f t="shared" si="3"/>
        <v>0.21879515881965056</v>
      </c>
      <c r="AD22" s="4" t="str">
        <f t="shared" si="4"/>
        <v>-</v>
      </c>
      <c r="AE22" s="2">
        <f t="shared" si="5"/>
        <v>40</v>
      </c>
      <c r="AF22" s="2">
        <f t="shared" si="6"/>
        <v>40</v>
      </c>
      <c r="AG22" s="2">
        <f t="shared" si="9"/>
        <v>0.42118068072782727</v>
      </c>
      <c r="AH22" s="29">
        <f t="shared" si="7"/>
        <v>0.42118068072782727</v>
      </c>
      <c r="AI22" s="4" t="str">
        <f t="shared" si="10"/>
        <v/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2" t="s">
        <v>184</v>
      </c>
      <c r="AZ22" s="22" t="s">
        <v>185</v>
      </c>
      <c r="BA22" s="22" t="s">
        <v>141</v>
      </c>
    </row>
    <row r="23" spans="1:53" ht="27" customHeight="1" x14ac:dyDescent="0.2">
      <c r="A23" s="16" t="s">
        <v>12</v>
      </c>
      <c r="B23" s="2">
        <v>23</v>
      </c>
      <c r="C23" s="1" t="s">
        <v>25</v>
      </c>
      <c r="D23" s="1" t="s">
        <v>117</v>
      </c>
      <c r="E23" s="28">
        <v>9.3239999999999998</v>
      </c>
      <c r="F23" s="2">
        <v>0.10219</v>
      </c>
      <c r="G23" s="2">
        <v>9.8502000000000006E-2</v>
      </c>
      <c r="H23" s="2">
        <v>0.113152</v>
      </c>
      <c r="I23" s="2">
        <v>0.108747</v>
      </c>
      <c r="J23" s="2">
        <v>0.105105</v>
      </c>
      <c r="K23" s="2">
        <v>0.11088000000000001</v>
      </c>
      <c r="L23" s="2">
        <v>0.12967699999999999</v>
      </c>
      <c r="M23" s="2"/>
      <c r="N23" s="2">
        <v>0.126747</v>
      </c>
      <c r="O23" s="2">
        <v>0.11164200000000001</v>
      </c>
      <c r="P23" s="2">
        <v>0.115954</v>
      </c>
      <c r="Q23" s="2">
        <v>0.12625600000000001</v>
      </c>
      <c r="R23" s="2">
        <v>0.100634</v>
      </c>
      <c r="S23" s="2">
        <v>0.13592399999999999</v>
      </c>
      <c r="T23" s="2">
        <v>0.115298</v>
      </c>
      <c r="U23" s="2"/>
      <c r="V23" s="2">
        <v>0.11708300000000001</v>
      </c>
      <c r="W23" s="2">
        <v>0.11634799999999999</v>
      </c>
      <c r="X23" s="2">
        <v>0.11644500000000001</v>
      </c>
      <c r="Y23" s="3">
        <f t="shared" si="0"/>
        <v>3.4238471650327468E-3</v>
      </c>
      <c r="Z23" s="2">
        <f t="shared" si="1"/>
        <v>0.10975042857142855</v>
      </c>
      <c r="AA23" s="2">
        <f t="shared" si="2"/>
        <v>0.11892214285714287</v>
      </c>
      <c r="AB23" s="15">
        <f t="shared" si="8"/>
        <v>1.0835688243326094</v>
      </c>
      <c r="AC23" s="29">
        <f t="shared" si="3"/>
        <v>0.14241414979694567</v>
      </c>
      <c r="AD23" s="4" t="str">
        <f t="shared" si="4"/>
        <v>-</v>
      </c>
      <c r="AE23" s="2">
        <f t="shared" si="5"/>
        <v>35</v>
      </c>
      <c r="AF23" s="2">
        <f t="shared" si="6"/>
        <v>35</v>
      </c>
      <c r="AG23" s="2">
        <f t="shared" si="9"/>
        <v>0.31331112955328044</v>
      </c>
      <c r="AH23" s="29">
        <f t="shared" si="7"/>
        <v>0.31331112955328044</v>
      </c>
      <c r="AI23" s="4" t="str">
        <f t="shared" si="10"/>
        <v/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2" t="s">
        <v>186</v>
      </c>
      <c r="AZ23" s="22" t="s">
        <v>187</v>
      </c>
      <c r="BA23" s="22" t="s">
        <v>188</v>
      </c>
    </row>
    <row r="24" spans="1:53" ht="27" customHeight="1" x14ac:dyDescent="0.2">
      <c r="A24" s="16" t="s">
        <v>12</v>
      </c>
      <c r="B24" s="2">
        <v>24</v>
      </c>
      <c r="C24" s="1" t="s">
        <v>26</v>
      </c>
      <c r="D24" s="1" t="s">
        <v>117</v>
      </c>
      <c r="E24" s="28">
        <v>9.5969999999999995</v>
      </c>
      <c r="F24" s="2">
        <v>6.5636E-2</v>
      </c>
      <c r="G24" s="2">
        <v>5.8838000000000001E-2</v>
      </c>
      <c r="H24" s="2">
        <v>7.1807999999999997E-2</v>
      </c>
      <c r="I24" s="2">
        <v>6.8545999999999996E-2</v>
      </c>
      <c r="J24" s="2">
        <v>6.8843000000000001E-2</v>
      </c>
      <c r="K24" s="2">
        <v>7.5093999999999994E-2</v>
      </c>
      <c r="L24" s="2">
        <v>7.2593000000000005E-2</v>
      </c>
      <c r="M24" s="2"/>
      <c r="N24" s="2">
        <v>7.6952999999999994E-2</v>
      </c>
      <c r="O24" s="2">
        <v>5.8409000000000003E-2</v>
      </c>
      <c r="P24" s="2">
        <v>5.8508999999999999E-2</v>
      </c>
      <c r="Q24" s="2">
        <v>6.5360000000000001E-2</v>
      </c>
      <c r="R24" s="2">
        <v>5.0087E-2</v>
      </c>
      <c r="S24" s="2">
        <v>8.9515999999999998E-2</v>
      </c>
      <c r="T24" s="2">
        <v>6.5651000000000001E-2</v>
      </c>
      <c r="U24" s="2"/>
      <c r="V24" s="2">
        <v>7.1181999999999995E-2</v>
      </c>
      <c r="W24" s="2">
        <v>7.1067000000000005E-2</v>
      </c>
      <c r="X24" s="2">
        <v>7.0525000000000004E-2</v>
      </c>
      <c r="Y24" s="3">
        <f t="shared" si="0"/>
        <v>4.9470112130744178E-3</v>
      </c>
      <c r="Z24" s="2">
        <f t="shared" si="1"/>
        <v>6.8765428571428575E-2</v>
      </c>
      <c r="AA24" s="2">
        <f t="shared" si="2"/>
        <v>6.6354999999999997E-2</v>
      </c>
      <c r="AB24" s="15">
        <f t="shared" si="8"/>
        <v>0.96494708719913236</v>
      </c>
      <c r="AC24" s="29">
        <f t="shared" si="3"/>
        <v>0.66563035566986839</v>
      </c>
      <c r="AD24" s="4" t="str">
        <f t="shared" si="4"/>
        <v>-</v>
      </c>
      <c r="AE24" s="2">
        <f t="shared" si="5"/>
        <v>63</v>
      </c>
      <c r="AF24" s="2">
        <f t="shared" si="6"/>
        <v>63</v>
      </c>
      <c r="AG24" s="2">
        <f t="shared" si="9"/>
        <v>0.81354821248539466</v>
      </c>
      <c r="AH24" s="29">
        <f t="shared" si="7"/>
        <v>0.81354821248539466</v>
      </c>
      <c r="AI24" s="4" t="str">
        <f t="shared" si="10"/>
        <v/>
      </c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2" t="s">
        <v>187</v>
      </c>
      <c r="AZ24" s="22" t="s">
        <v>143</v>
      </c>
      <c r="BA24" s="22" t="s">
        <v>186</v>
      </c>
    </row>
    <row r="25" spans="1:53" ht="27" customHeight="1" x14ac:dyDescent="0.2">
      <c r="A25" s="16" t="s">
        <v>12</v>
      </c>
      <c r="B25" s="2">
        <v>26</v>
      </c>
      <c r="C25" s="1" t="s">
        <v>27</v>
      </c>
      <c r="D25" s="1" t="s">
        <v>117</v>
      </c>
      <c r="E25" s="28">
        <v>9.7089999999999996</v>
      </c>
      <c r="F25" s="2">
        <v>1.9659999999999999E-3</v>
      </c>
      <c r="G25" s="2">
        <v>2.101E-3</v>
      </c>
      <c r="H25" s="2">
        <v>1.676E-3</v>
      </c>
      <c r="I25" s="2">
        <v>1.99E-3</v>
      </c>
      <c r="J25" s="2">
        <v>2.0690000000000001E-3</v>
      </c>
      <c r="K25" s="2">
        <v>2.1909999999999998E-3</v>
      </c>
      <c r="L25" s="2">
        <v>2.542E-3</v>
      </c>
      <c r="M25" s="2"/>
      <c r="N25" s="2">
        <v>2.2989999999999998E-3</v>
      </c>
      <c r="O25" s="2">
        <v>2.379E-3</v>
      </c>
      <c r="P25" s="2">
        <v>2.8909999999999999E-3</v>
      </c>
      <c r="Q25" s="2">
        <v>2.526E-3</v>
      </c>
      <c r="R25" s="2">
        <v>1.513E-3</v>
      </c>
      <c r="S25" s="2">
        <v>1.933E-3</v>
      </c>
      <c r="T25" s="2">
        <v>2.3149999999999998E-3</v>
      </c>
      <c r="U25" s="2"/>
      <c r="V25" s="2">
        <v>1.967E-3</v>
      </c>
      <c r="W25" s="2">
        <v>2.3410000000000002E-3</v>
      </c>
      <c r="X25" s="2">
        <v>2.127E-3</v>
      </c>
      <c r="Y25" s="3">
        <f t="shared" si="0"/>
        <v>8.7481868426702941E-2</v>
      </c>
      <c r="Z25" s="2">
        <f t="shared" si="1"/>
        <v>2.0764285714285715E-3</v>
      </c>
      <c r="AA25" s="2">
        <f t="shared" si="2"/>
        <v>2.2651428571428575E-3</v>
      </c>
      <c r="AB25" s="15">
        <f t="shared" si="8"/>
        <v>1.0908840729274167</v>
      </c>
      <c r="AC25" s="29">
        <f t="shared" si="3"/>
        <v>0.35148525536896735</v>
      </c>
      <c r="AD25" s="4" t="str">
        <f t="shared" si="4"/>
        <v>-</v>
      </c>
      <c r="AE25" s="2">
        <f t="shared" si="5"/>
        <v>51</v>
      </c>
      <c r="AF25" s="2">
        <f t="shared" si="6"/>
        <v>51</v>
      </c>
      <c r="AG25" s="2">
        <f t="shared" si="9"/>
        <v>0.53067381692961735</v>
      </c>
      <c r="AH25" s="29">
        <f t="shared" si="7"/>
        <v>0.52741447387416474</v>
      </c>
      <c r="AI25" s="4" t="str">
        <f t="shared" si="10"/>
        <v/>
      </c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2" t="s">
        <v>189</v>
      </c>
      <c r="AZ25" s="22" t="s">
        <v>190</v>
      </c>
      <c r="BA25" s="22" t="s">
        <v>191</v>
      </c>
    </row>
    <row r="26" spans="1:53" ht="27" customHeight="1" x14ac:dyDescent="0.2">
      <c r="A26" s="16" t="s">
        <v>12</v>
      </c>
      <c r="B26" s="2">
        <v>27</v>
      </c>
      <c r="C26" s="1" t="s">
        <v>28</v>
      </c>
      <c r="D26" s="1" t="s">
        <v>117</v>
      </c>
      <c r="E26" s="28">
        <v>9.7210000000000001</v>
      </c>
      <c r="F26" s="2">
        <v>0.32852399999999998</v>
      </c>
      <c r="G26" s="2">
        <v>0.34179599999999999</v>
      </c>
      <c r="H26" s="2">
        <v>0.324127</v>
      </c>
      <c r="I26" s="2">
        <v>0.25692300000000001</v>
      </c>
      <c r="J26" s="2">
        <v>0.232127</v>
      </c>
      <c r="K26" s="2">
        <v>0.25761699999999998</v>
      </c>
      <c r="L26" s="2">
        <v>0.35096500000000003</v>
      </c>
      <c r="M26" s="2"/>
      <c r="N26" s="2">
        <v>0.53399399999999997</v>
      </c>
      <c r="O26" s="2">
        <v>0.47222399999999998</v>
      </c>
      <c r="P26" s="2">
        <v>0.67773399999999995</v>
      </c>
      <c r="Q26" s="2">
        <v>0.70317799999999997</v>
      </c>
      <c r="R26" s="2">
        <v>0.56583799999999995</v>
      </c>
      <c r="S26" s="2">
        <v>0.50209499999999996</v>
      </c>
      <c r="T26" s="2">
        <v>0.51307999999999998</v>
      </c>
      <c r="U26" s="2"/>
      <c r="V26" s="2">
        <v>0.44200099999999998</v>
      </c>
      <c r="W26" s="2">
        <v>0.44296799999999997</v>
      </c>
      <c r="X26" s="2">
        <v>0.45781500000000003</v>
      </c>
      <c r="Y26" s="3">
        <f t="shared" si="0"/>
        <v>1.9804222441908138E-2</v>
      </c>
      <c r="Z26" s="2">
        <f t="shared" si="1"/>
        <v>0.29886842857142859</v>
      </c>
      <c r="AA26" s="2">
        <f t="shared" si="2"/>
        <v>0.56687757142857143</v>
      </c>
      <c r="AB26" s="15">
        <f t="shared" si="8"/>
        <v>1.8967462509780939</v>
      </c>
      <c r="AC26" s="29">
        <f t="shared" si="3"/>
        <v>5.7473980769281195E-5</v>
      </c>
      <c r="AD26" s="4" t="str">
        <f t="shared" si="4"/>
        <v>***</v>
      </c>
      <c r="AE26" s="2">
        <f t="shared" si="5"/>
        <v>2</v>
      </c>
      <c r="AF26" s="2">
        <f t="shared" si="6"/>
        <v>2</v>
      </c>
      <c r="AG26" s="2">
        <f t="shared" si="9"/>
        <v>2.212748259617326E-3</v>
      </c>
      <c r="AH26" s="29">
        <f t="shared" si="7"/>
        <v>1.5441370455196767E-3</v>
      </c>
      <c r="AI26" s="4" t="str">
        <f t="shared" si="10"/>
        <v>**</v>
      </c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2" t="s">
        <v>192</v>
      </c>
      <c r="AZ26" s="22" t="s">
        <v>193</v>
      </c>
      <c r="BA26" s="22" t="s">
        <v>194</v>
      </c>
    </row>
    <row r="27" spans="1:53" ht="27" customHeight="1" x14ac:dyDescent="0.2">
      <c r="A27" s="16" t="s">
        <v>12</v>
      </c>
      <c r="B27" s="2">
        <v>33</v>
      </c>
      <c r="C27" s="1" t="s">
        <v>30</v>
      </c>
      <c r="D27" s="1" t="s">
        <v>117</v>
      </c>
      <c r="E27" s="28">
        <v>9.8179999999999996</v>
      </c>
      <c r="F27" s="2">
        <v>0.16119700000000001</v>
      </c>
      <c r="G27" s="2">
        <v>0.186526</v>
      </c>
      <c r="H27" s="2">
        <v>0.19728399999999999</v>
      </c>
      <c r="I27" s="2">
        <v>0.19517799999999999</v>
      </c>
      <c r="J27" s="2">
        <v>0.213139</v>
      </c>
      <c r="K27" s="2">
        <v>0.18600900000000001</v>
      </c>
      <c r="L27" s="2">
        <v>0.20419200000000001</v>
      </c>
      <c r="M27" s="2"/>
      <c r="N27" s="2">
        <v>0.182148</v>
      </c>
      <c r="O27" s="2">
        <v>0.168771</v>
      </c>
      <c r="P27" s="2">
        <v>0.14482500000000001</v>
      </c>
      <c r="Q27" s="2">
        <v>0.19713900000000001</v>
      </c>
      <c r="R27" s="2">
        <v>0.160584</v>
      </c>
      <c r="S27" s="2">
        <v>0.19176099999999999</v>
      </c>
      <c r="T27" s="2">
        <v>0.17682899999999999</v>
      </c>
      <c r="U27" s="2"/>
      <c r="V27" s="2">
        <v>0.192582</v>
      </c>
      <c r="W27" s="2">
        <v>0.18712100000000001</v>
      </c>
      <c r="X27" s="2">
        <v>0.19298199999999999</v>
      </c>
      <c r="Y27" s="3">
        <f t="shared" si="0"/>
        <v>1.7153374346796105E-2</v>
      </c>
      <c r="Z27" s="2">
        <f t="shared" si="1"/>
        <v>0.19193214285714283</v>
      </c>
      <c r="AA27" s="2">
        <f t="shared" si="2"/>
        <v>0.17457957142857142</v>
      </c>
      <c r="AB27" s="15">
        <f t="shared" si="8"/>
        <v>0.90959007089559185</v>
      </c>
      <c r="AC27" s="29">
        <f t="shared" si="3"/>
        <v>8.6776906212899116E-2</v>
      </c>
      <c r="AD27" s="4" t="str">
        <f t="shared" si="4"/>
        <v>-</v>
      </c>
      <c r="AE27" s="2">
        <f t="shared" si="5"/>
        <v>34</v>
      </c>
      <c r="AF27" s="2">
        <f t="shared" si="6"/>
        <v>34</v>
      </c>
      <c r="AG27" s="2">
        <f t="shared" si="9"/>
        <v>0.19652416995274211</v>
      </c>
      <c r="AH27" s="29">
        <f t="shared" si="7"/>
        <v>0.19652416995274211</v>
      </c>
      <c r="AI27" s="4" t="str">
        <f t="shared" si="10"/>
        <v/>
      </c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2" t="s">
        <v>195</v>
      </c>
      <c r="AZ27" s="22" t="s">
        <v>196</v>
      </c>
      <c r="BA27" s="22" t="s">
        <v>174</v>
      </c>
    </row>
    <row r="28" spans="1:53" ht="27" customHeight="1" x14ac:dyDescent="0.2">
      <c r="A28" s="16" t="s">
        <v>12</v>
      </c>
      <c r="B28" s="2">
        <v>34</v>
      </c>
      <c r="C28" s="1" t="s">
        <v>31</v>
      </c>
      <c r="D28" s="1" t="s">
        <v>117</v>
      </c>
      <c r="E28" s="28">
        <v>10.016999999999999</v>
      </c>
      <c r="F28" s="2">
        <v>1.3403E-2</v>
      </c>
      <c r="G28" s="2">
        <v>1.3723000000000001E-2</v>
      </c>
      <c r="H28" s="2">
        <v>1.2064999999999999E-2</v>
      </c>
      <c r="I28" s="2">
        <v>1.2669E-2</v>
      </c>
      <c r="J28" s="2">
        <v>1.3285E-2</v>
      </c>
      <c r="K28" s="2">
        <v>1.1962E-2</v>
      </c>
      <c r="L28" s="2">
        <v>1.4038E-2</v>
      </c>
      <c r="M28" s="2"/>
      <c r="N28" s="2">
        <v>1.3285E-2</v>
      </c>
      <c r="O28" s="2">
        <v>1.2888999999999999E-2</v>
      </c>
      <c r="P28" s="2">
        <v>1.5062000000000001E-2</v>
      </c>
      <c r="Q28" s="2">
        <v>1.3622E-2</v>
      </c>
      <c r="R28" s="2">
        <v>1.1646E-2</v>
      </c>
      <c r="S28" s="2">
        <v>1.2690999999999999E-2</v>
      </c>
      <c r="T28" s="2">
        <v>1.6750999999999999E-2</v>
      </c>
      <c r="U28" s="2"/>
      <c r="V28" s="2">
        <v>1.3577000000000001E-2</v>
      </c>
      <c r="W28" s="2">
        <v>1.5709000000000001E-2</v>
      </c>
      <c r="X28" s="2">
        <v>1.5535999999999999E-2</v>
      </c>
      <c r="Y28" s="3">
        <f t="shared" si="0"/>
        <v>7.9255739090836649E-2</v>
      </c>
      <c r="Z28" s="2">
        <f t="shared" si="1"/>
        <v>1.3020714285714287E-2</v>
      </c>
      <c r="AA28" s="2">
        <f t="shared" si="2"/>
        <v>1.3706571428571429E-2</v>
      </c>
      <c r="AB28" s="15">
        <f t="shared" si="8"/>
        <v>1.0526743101651215</v>
      </c>
      <c r="AC28" s="29">
        <f t="shared" si="3"/>
        <v>0.36010533593122418</v>
      </c>
      <c r="AD28" s="4" t="str">
        <f t="shared" si="4"/>
        <v>-</v>
      </c>
      <c r="AE28" s="2">
        <f t="shared" si="5"/>
        <v>52</v>
      </c>
      <c r="AF28" s="2">
        <f t="shared" si="6"/>
        <v>52</v>
      </c>
      <c r="AG28" s="2">
        <f t="shared" si="9"/>
        <v>0.53323290128277434</v>
      </c>
      <c r="AH28" s="29">
        <f t="shared" si="7"/>
        <v>0.52741447387416474</v>
      </c>
      <c r="AI28" s="4" t="str">
        <f t="shared" si="10"/>
        <v/>
      </c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2" t="s">
        <v>197</v>
      </c>
      <c r="AZ28" s="22" t="s">
        <v>198</v>
      </c>
      <c r="BA28" s="22" t="s">
        <v>199</v>
      </c>
    </row>
    <row r="29" spans="1:53" ht="27" customHeight="1" x14ac:dyDescent="0.2">
      <c r="A29" s="16" t="s">
        <v>12</v>
      </c>
      <c r="B29" s="2">
        <v>36</v>
      </c>
      <c r="C29" s="1" t="s">
        <v>32</v>
      </c>
      <c r="D29" s="1" t="s">
        <v>117</v>
      </c>
      <c r="E29" s="28">
        <v>10.227</v>
      </c>
      <c r="F29" s="2">
        <v>0.18460099999999999</v>
      </c>
      <c r="G29" s="2">
        <v>0.14625099999999999</v>
      </c>
      <c r="H29" s="2">
        <v>0.120116</v>
      </c>
      <c r="I29" s="2">
        <v>0.19791900000000001</v>
      </c>
      <c r="J29" s="2">
        <v>0.21562500000000001</v>
      </c>
      <c r="K29" s="2">
        <v>0.19550300000000001</v>
      </c>
      <c r="L29" s="2">
        <v>0.137489</v>
      </c>
      <c r="M29" s="2"/>
      <c r="N29" s="2">
        <v>0.18446100000000001</v>
      </c>
      <c r="O29" s="2">
        <v>0.19089500000000001</v>
      </c>
      <c r="P29" s="2">
        <v>0.18101900000000001</v>
      </c>
      <c r="Q29" s="2">
        <v>0.14738599999999999</v>
      </c>
      <c r="R29" s="2">
        <v>0.14822399999999999</v>
      </c>
      <c r="S29" s="2">
        <v>0.20111999999999999</v>
      </c>
      <c r="T29" s="2">
        <v>0.15360799999999999</v>
      </c>
      <c r="U29" s="2"/>
      <c r="V29" s="2">
        <v>0.172342</v>
      </c>
      <c r="W29" s="2">
        <v>0.17455599999999999</v>
      </c>
      <c r="X29" s="2">
        <v>0.178456</v>
      </c>
      <c r="Y29" s="3">
        <f t="shared" si="0"/>
        <v>1.7676663152364425E-2</v>
      </c>
      <c r="Z29" s="2">
        <f t="shared" si="1"/>
        <v>0.17107199999999997</v>
      </c>
      <c r="AA29" s="2">
        <f t="shared" si="2"/>
        <v>0.17238757142857145</v>
      </c>
      <c r="AB29" s="15">
        <f t="shared" si="8"/>
        <v>1.0076901622040513</v>
      </c>
      <c r="AC29" s="29">
        <f t="shared" si="3"/>
        <v>0.93616914979488097</v>
      </c>
      <c r="AD29" s="4" t="str">
        <f t="shared" si="4"/>
        <v>-</v>
      </c>
      <c r="AE29" s="2">
        <f t="shared" si="5"/>
        <v>76</v>
      </c>
      <c r="AF29" s="2">
        <f t="shared" si="6"/>
        <v>76</v>
      </c>
      <c r="AG29" s="2">
        <f t="shared" si="9"/>
        <v>0.94848716492376095</v>
      </c>
      <c r="AH29" s="29">
        <f t="shared" si="7"/>
        <v>0.94848716492376095</v>
      </c>
      <c r="AI29" s="4" t="str">
        <f t="shared" si="10"/>
        <v/>
      </c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2" t="s">
        <v>189</v>
      </c>
      <c r="AZ29" s="22" t="s">
        <v>200</v>
      </c>
      <c r="BA29" s="22" t="s">
        <v>201</v>
      </c>
    </row>
    <row r="30" spans="1:53" ht="27" customHeight="1" x14ac:dyDescent="0.2">
      <c r="A30" s="16" t="s">
        <v>12</v>
      </c>
      <c r="B30" s="2">
        <v>37</v>
      </c>
      <c r="C30" s="1" t="s">
        <v>33</v>
      </c>
      <c r="D30" s="1" t="s">
        <v>117</v>
      </c>
      <c r="E30" s="28">
        <v>10.332000000000001</v>
      </c>
      <c r="F30" s="2">
        <v>1.9548460000000001</v>
      </c>
      <c r="G30" s="2">
        <v>1.4573750000000001</v>
      </c>
      <c r="H30" s="2">
        <v>1.5351950000000001</v>
      </c>
      <c r="I30" s="2">
        <v>1.005182</v>
      </c>
      <c r="J30" s="2">
        <v>1.0127900000000001</v>
      </c>
      <c r="K30" s="2">
        <v>1.148317</v>
      </c>
      <c r="L30" s="2">
        <v>1.646406</v>
      </c>
      <c r="M30" s="2"/>
      <c r="N30" s="2">
        <v>1.995128</v>
      </c>
      <c r="O30" s="2">
        <v>1.8047770000000001</v>
      </c>
      <c r="P30" s="2">
        <v>2.3435450000000002</v>
      </c>
      <c r="Q30" s="2">
        <v>1.94519</v>
      </c>
      <c r="R30" s="2">
        <v>1.674153</v>
      </c>
      <c r="S30" s="2">
        <v>1.6483030000000001</v>
      </c>
      <c r="T30" s="2">
        <v>1.739358</v>
      </c>
      <c r="U30" s="2"/>
      <c r="V30" s="2">
        <v>1.619386</v>
      </c>
      <c r="W30" s="2">
        <v>1.652244</v>
      </c>
      <c r="X30" s="2">
        <v>1.728999</v>
      </c>
      <c r="Y30" s="3">
        <f t="shared" si="0"/>
        <v>3.3747188313702353E-2</v>
      </c>
      <c r="Z30" s="2">
        <f t="shared" si="1"/>
        <v>1.3943015714285714</v>
      </c>
      <c r="AA30" s="2">
        <f t="shared" si="2"/>
        <v>1.8786362857142858</v>
      </c>
      <c r="AB30" s="15">
        <f t="shared" si="8"/>
        <v>1.3473672584256471</v>
      </c>
      <c r="AC30" s="29">
        <f t="shared" si="3"/>
        <v>1.3112316381612138E-2</v>
      </c>
      <c r="AD30" s="4" t="str">
        <f t="shared" si="4"/>
        <v>*</v>
      </c>
      <c r="AE30" s="2">
        <f t="shared" si="5"/>
        <v>17</v>
      </c>
      <c r="AF30" s="2">
        <f t="shared" si="6"/>
        <v>17</v>
      </c>
      <c r="AG30" s="2">
        <f t="shared" si="9"/>
        <v>5.9391080081419689E-2</v>
      </c>
      <c r="AH30" s="29">
        <f t="shared" si="7"/>
        <v>5.9391080081419689E-2</v>
      </c>
      <c r="AI30" s="4" t="str">
        <f t="shared" si="10"/>
        <v>*</v>
      </c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2" t="s">
        <v>202</v>
      </c>
      <c r="AZ30" s="22" t="s">
        <v>203</v>
      </c>
      <c r="BA30" s="22" t="s">
        <v>204</v>
      </c>
    </row>
    <row r="31" spans="1:53" ht="27" customHeight="1" x14ac:dyDescent="0.2">
      <c r="A31" s="16" t="s">
        <v>12</v>
      </c>
      <c r="B31" s="2">
        <v>39</v>
      </c>
      <c r="C31" s="1" t="s">
        <v>34</v>
      </c>
      <c r="D31" s="1" t="s">
        <v>117</v>
      </c>
      <c r="E31" s="28">
        <v>10.635999999999999</v>
      </c>
      <c r="F31" s="2">
        <v>0.29016799999999998</v>
      </c>
      <c r="G31" s="2">
        <v>0.24249100000000001</v>
      </c>
      <c r="H31" s="2">
        <v>0.250523</v>
      </c>
      <c r="I31" s="2">
        <v>0.218634</v>
      </c>
      <c r="J31" s="2">
        <v>0.23277300000000001</v>
      </c>
      <c r="K31" s="2">
        <v>0.246778</v>
      </c>
      <c r="L31" s="2">
        <v>0.272011</v>
      </c>
      <c r="M31" s="2"/>
      <c r="N31" s="2">
        <v>0.22160099999999999</v>
      </c>
      <c r="O31" s="2">
        <v>0.14860499999999999</v>
      </c>
      <c r="P31" s="2">
        <v>0.25287799999999999</v>
      </c>
      <c r="Q31" s="2">
        <v>0.27066600000000002</v>
      </c>
      <c r="R31" s="2">
        <v>0.24485199999999999</v>
      </c>
      <c r="S31" s="2">
        <v>0.237568</v>
      </c>
      <c r="T31" s="2">
        <v>0.22725000000000001</v>
      </c>
      <c r="U31" s="2"/>
      <c r="V31" s="2">
        <v>0.24229000000000001</v>
      </c>
      <c r="W31" s="2">
        <v>0.247166</v>
      </c>
      <c r="X31" s="2">
        <v>0.24501800000000001</v>
      </c>
      <c r="Y31" s="3">
        <f t="shared" si="0"/>
        <v>9.9816024191575065E-3</v>
      </c>
      <c r="Z31" s="2">
        <f t="shared" si="1"/>
        <v>0.25048257142857144</v>
      </c>
      <c r="AA31" s="2">
        <f t="shared" si="2"/>
        <v>0.22906000000000001</v>
      </c>
      <c r="AB31" s="15">
        <f t="shared" si="8"/>
        <v>0.91447480235294387</v>
      </c>
      <c r="AC31" s="29">
        <f t="shared" si="3"/>
        <v>0.24446093886620893</v>
      </c>
      <c r="AD31" s="4" t="str">
        <f t="shared" si="4"/>
        <v>-</v>
      </c>
      <c r="AE31" s="2">
        <f t="shared" si="5"/>
        <v>44</v>
      </c>
      <c r="AF31" s="2">
        <f t="shared" si="6"/>
        <v>44</v>
      </c>
      <c r="AG31" s="2">
        <f t="shared" si="9"/>
        <v>0.42780664301586563</v>
      </c>
      <c r="AH31" s="29">
        <f t="shared" si="7"/>
        <v>0.42780664301586563</v>
      </c>
      <c r="AI31" s="4" t="str">
        <f t="shared" si="10"/>
        <v/>
      </c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2" t="s">
        <v>205</v>
      </c>
      <c r="AZ31" s="22" t="s">
        <v>206</v>
      </c>
      <c r="BA31" s="22" t="s">
        <v>207</v>
      </c>
    </row>
    <row r="32" spans="1:53" ht="27" customHeight="1" x14ac:dyDescent="0.2">
      <c r="A32" s="16" t="s">
        <v>12</v>
      </c>
      <c r="B32" s="2">
        <v>42</v>
      </c>
      <c r="C32" s="1" t="s">
        <v>35</v>
      </c>
      <c r="D32" s="1" t="s">
        <v>117</v>
      </c>
      <c r="E32" s="28">
        <v>10.87</v>
      </c>
      <c r="F32" s="2">
        <v>2.8050000000000002E-3</v>
      </c>
      <c r="G32" s="2">
        <v>2.8210000000000002E-3</v>
      </c>
      <c r="H32" s="2">
        <v>2.8479999999999998E-3</v>
      </c>
      <c r="I32" s="2">
        <v>3.0360000000000001E-3</v>
      </c>
      <c r="J32" s="2">
        <v>2.4859999999999999E-3</v>
      </c>
      <c r="K32" s="2">
        <v>2.6679999999999998E-3</v>
      </c>
      <c r="L32" s="2">
        <v>3.545E-3</v>
      </c>
      <c r="M32" s="2"/>
      <c r="N32" s="2">
        <v>3.1700000000000001E-3</v>
      </c>
      <c r="O32" s="2">
        <v>3.0130000000000001E-3</v>
      </c>
      <c r="P32" s="2">
        <v>2.9420000000000002E-3</v>
      </c>
      <c r="Q32" s="2">
        <v>3.4450000000000001E-3</v>
      </c>
      <c r="R32" s="2">
        <v>3.2100000000000002E-3</v>
      </c>
      <c r="S32" s="2">
        <v>2.562E-3</v>
      </c>
      <c r="T32" s="2">
        <v>2.7130000000000001E-3</v>
      </c>
      <c r="U32" s="2"/>
      <c r="V32" s="2">
        <v>2.8410000000000002E-3</v>
      </c>
      <c r="W32" s="2">
        <v>3.0349999999999999E-3</v>
      </c>
      <c r="X32" s="2">
        <v>2.9190000000000002E-3</v>
      </c>
      <c r="Y32" s="3">
        <f t="shared" si="0"/>
        <v>3.3297886626889768E-2</v>
      </c>
      <c r="Z32" s="2">
        <f t="shared" si="1"/>
        <v>2.8870000000000002E-3</v>
      </c>
      <c r="AA32" s="2">
        <f t="shared" si="2"/>
        <v>3.0078571428571433E-3</v>
      </c>
      <c r="AB32" s="15">
        <f t="shared" si="8"/>
        <v>1.0418625364936416</v>
      </c>
      <c r="AC32" s="29">
        <f t="shared" si="3"/>
        <v>0.49279045899210427</v>
      </c>
      <c r="AD32" s="4" t="str">
        <f t="shared" si="4"/>
        <v>-</v>
      </c>
      <c r="AE32" s="2">
        <f t="shared" si="5"/>
        <v>55</v>
      </c>
      <c r="AF32" s="2">
        <f t="shared" si="6"/>
        <v>55</v>
      </c>
      <c r="AG32" s="2">
        <f t="shared" si="9"/>
        <v>0.68990664258894596</v>
      </c>
      <c r="AH32" s="29">
        <f t="shared" si="7"/>
        <v>0.68990664258894596</v>
      </c>
      <c r="AI32" s="4" t="str">
        <f t="shared" si="10"/>
        <v/>
      </c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2" t="s">
        <v>208</v>
      </c>
      <c r="AZ32" s="22" t="s">
        <v>171</v>
      </c>
      <c r="BA32" s="22" t="s">
        <v>209</v>
      </c>
    </row>
    <row r="33" spans="1:53" ht="27" customHeight="1" x14ac:dyDescent="0.2">
      <c r="A33" s="16" t="s">
        <v>12</v>
      </c>
      <c r="B33" s="2">
        <v>47</v>
      </c>
      <c r="C33" s="1" t="s">
        <v>37</v>
      </c>
      <c r="D33" s="1" t="s">
        <v>117</v>
      </c>
      <c r="E33" s="28">
        <v>11.741</v>
      </c>
      <c r="F33" s="2">
        <v>0.60061900000000001</v>
      </c>
      <c r="G33" s="2">
        <v>0.57920099999999997</v>
      </c>
      <c r="H33" s="2">
        <v>0.54708999999999997</v>
      </c>
      <c r="I33" s="2">
        <v>0.81876300000000002</v>
      </c>
      <c r="J33" s="2">
        <v>0.73002</v>
      </c>
      <c r="K33" s="2">
        <v>0.69590799999999997</v>
      </c>
      <c r="L33" s="2">
        <v>0.52812499999999996</v>
      </c>
      <c r="M33" s="2"/>
      <c r="N33" s="2">
        <v>0.63030600000000003</v>
      </c>
      <c r="O33" s="2">
        <v>0.80480600000000002</v>
      </c>
      <c r="P33" s="2">
        <v>0.82314699999999996</v>
      </c>
      <c r="Q33" s="2">
        <v>0.50892300000000001</v>
      </c>
      <c r="R33" s="2">
        <v>0.49909500000000001</v>
      </c>
      <c r="S33" s="2">
        <v>0.66476500000000005</v>
      </c>
      <c r="T33" s="2">
        <v>0.69773799999999997</v>
      </c>
      <c r="U33" s="2"/>
      <c r="V33" s="2">
        <v>0.66189500000000001</v>
      </c>
      <c r="W33" s="2">
        <v>0.66553499999999999</v>
      </c>
      <c r="X33" s="2">
        <v>0.68275799999999998</v>
      </c>
      <c r="Y33" s="3">
        <f t="shared" si="0"/>
        <v>1.663143294809194E-2</v>
      </c>
      <c r="Z33" s="2">
        <f t="shared" si="1"/>
        <v>0.642818</v>
      </c>
      <c r="AA33" s="2">
        <f t="shared" si="2"/>
        <v>0.66125428571428568</v>
      </c>
      <c r="AB33" s="15">
        <f t="shared" si="8"/>
        <v>1.0286804129851461</v>
      </c>
      <c r="AC33" s="29">
        <f t="shared" si="3"/>
        <v>0.77588391623256459</v>
      </c>
      <c r="AD33" s="4" t="str">
        <f t="shared" si="4"/>
        <v>-</v>
      </c>
      <c r="AE33" s="2">
        <f t="shared" si="5"/>
        <v>69</v>
      </c>
      <c r="AF33" s="2">
        <f t="shared" si="6"/>
        <v>69</v>
      </c>
      <c r="AG33" s="2">
        <f t="shared" si="9"/>
        <v>0.86584147173778947</v>
      </c>
      <c r="AH33" s="29">
        <f t="shared" si="7"/>
        <v>0.8606913685714479</v>
      </c>
      <c r="AI33" s="4" t="str">
        <f t="shared" si="10"/>
        <v/>
      </c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2" t="s">
        <v>210</v>
      </c>
      <c r="AZ33" s="22" t="s">
        <v>172</v>
      </c>
      <c r="BA33" s="22" t="s">
        <v>211</v>
      </c>
    </row>
    <row r="34" spans="1:53" ht="27" customHeight="1" x14ac:dyDescent="0.2">
      <c r="A34" s="16" t="s">
        <v>12</v>
      </c>
      <c r="B34" s="2">
        <v>48</v>
      </c>
      <c r="C34" s="1" t="s">
        <v>38</v>
      </c>
      <c r="D34" s="1" t="s">
        <v>117</v>
      </c>
      <c r="E34" s="28">
        <v>11.851000000000001</v>
      </c>
      <c r="F34" s="2">
        <v>1.052222</v>
      </c>
      <c r="G34" s="2">
        <v>0.99045399999999995</v>
      </c>
      <c r="H34" s="2">
        <v>1.3012410000000001</v>
      </c>
      <c r="I34" s="2">
        <v>1.148369</v>
      </c>
      <c r="J34" s="2">
        <v>1.1650199999999999</v>
      </c>
      <c r="K34" s="2">
        <v>1.197268</v>
      </c>
      <c r="L34" s="2">
        <v>1.259282</v>
      </c>
      <c r="M34" s="2"/>
      <c r="N34" s="2">
        <v>0.98535399999999995</v>
      </c>
      <c r="O34" s="2">
        <v>1.0800380000000001</v>
      </c>
      <c r="P34" s="2">
        <v>1.2784759999999999</v>
      </c>
      <c r="Q34" s="2">
        <v>0.94261700000000004</v>
      </c>
      <c r="R34" s="2">
        <v>0.937913</v>
      </c>
      <c r="S34" s="2">
        <v>1.117866</v>
      </c>
      <c r="T34" s="2">
        <v>1.1618010000000001</v>
      </c>
      <c r="U34" s="2"/>
      <c r="V34" s="2">
        <v>1.133726</v>
      </c>
      <c r="W34" s="2">
        <v>1.12558</v>
      </c>
      <c r="X34" s="2">
        <v>1.1305350000000001</v>
      </c>
      <c r="Y34" s="3">
        <f t="shared" si="0"/>
        <v>3.6326563324611248E-3</v>
      </c>
      <c r="Z34" s="2">
        <f t="shared" si="1"/>
        <v>1.1591222857142858</v>
      </c>
      <c r="AA34" s="2">
        <f t="shared" si="2"/>
        <v>1.0720092857142858</v>
      </c>
      <c r="AB34" s="15">
        <f t="shared" si="8"/>
        <v>0.92484572070295556</v>
      </c>
      <c r="AC34" s="29">
        <f t="shared" si="3"/>
        <v>0.19254787529694922</v>
      </c>
      <c r="AD34" s="4" t="str">
        <f t="shared" si="4"/>
        <v>-</v>
      </c>
      <c r="AE34" s="2">
        <f t="shared" si="5"/>
        <v>38</v>
      </c>
      <c r="AF34" s="2">
        <f t="shared" si="6"/>
        <v>38</v>
      </c>
      <c r="AG34" s="2">
        <f t="shared" si="9"/>
        <v>0.39016279994381814</v>
      </c>
      <c r="AH34" s="29">
        <f t="shared" si="7"/>
        <v>0.39016279994381814</v>
      </c>
      <c r="AI34" s="4" t="str">
        <f t="shared" si="10"/>
        <v/>
      </c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2" t="s">
        <v>212</v>
      </c>
      <c r="AZ34" s="22" t="s">
        <v>213</v>
      </c>
      <c r="BA34" s="22" t="s">
        <v>214</v>
      </c>
    </row>
    <row r="35" spans="1:53" ht="27" customHeight="1" x14ac:dyDescent="0.2">
      <c r="A35" s="16" t="s">
        <v>12</v>
      </c>
      <c r="B35" s="2">
        <v>49</v>
      </c>
      <c r="C35" s="1" t="s">
        <v>39</v>
      </c>
      <c r="D35" s="1" t="s">
        <v>117</v>
      </c>
      <c r="E35" s="28">
        <v>11.928000000000001</v>
      </c>
      <c r="F35" s="2">
        <v>8.5300000000000003E-4</v>
      </c>
      <c r="G35" s="2">
        <v>9.77E-4</v>
      </c>
      <c r="H35" s="2">
        <v>8.4400000000000002E-4</v>
      </c>
      <c r="I35" s="2">
        <v>9.3700000000000001E-4</v>
      </c>
      <c r="J35" s="2">
        <v>1.1230000000000001E-3</v>
      </c>
      <c r="K35" s="2">
        <v>6.4899999999999995E-4</v>
      </c>
      <c r="L35" s="2">
        <v>9.9500000000000001E-4</v>
      </c>
      <c r="M35" s="2"/>
      <c r="N35" s="2">
        <v>1.7080000000000001E-3</v>
      </c>
      <c r="O35" s="2">
        <v>1.719E-3</v>
      </c>
      <c r="P35" s="2">
        <v>1.658E-3</v>
      </c>
      <c r="Q35" s="2">
        <v>1.637E-3</v>
      </c>
      <c r="R35" s="2">
        <v>1.8E-3</v>
      </c>
      <c r="S35" s="2">
        <v>1.1379999999999999E-3</v>
      </c>
      <c r="T35" s="2">
        <v>1.1800000000000001E-3</v>
      </c>
      <c r="U35" s="2"/>
      <c r="V35" s="2">
        <v>1.237E-3</v>
      </c>
      <c r="W35" s="2">
        <v>1.077E-3</v>
      </c>
      <c r="X35" s="2">
        <v>1.1460000000000001E-3</v>
      </c>
      <c r="Y35" s="3">
        <f t="shared" si="0"/>
        <v>6.9582387934125398E-2</v>
      </c>
      <c r="Z35" s="2">
        <f t="shared" si="1"/>
        <v>9.1114285714285722E-4</v>
      </c>
      <c r="AA35" s="2">
        <f t="shared" si="2"/>
        <v>1.5485714285714287E-3</v>
      </c>
      <c r="AB35" s="15">
        <f t="shared" si="8"/>
        <v>1.6995923486986515</v>
      </c>
      <c r="AC35" s="29">
        <f t="shared" si="3"/>
        <v>3.6088811868045361E-4</v>
      </c>
      <c r="AD35" s="4" t="str">
        <f t="shared" si="4"/>
        <v>***</v>
      </c>
      <c r="AE35" s="2">
        <f t="shared" si="5"/>
        <v>8</v>
      </c>
      <c r="AF35" s="2">
        <f t="shared" si="6"/>
        <v>8</v>
      </c>
      <c r="AG35" s="2">
        <f t="shared" si="9"/>
        <v>3.4735481422993662E-3</v>
      </c>
      <c r="AH35" s="29">
        <f t="shared" si="7"/>
        <v>2.9644400132763215E-3</v>
      </c>
      <c r="AI35" s="4" t="str">
        <f t="shared" si="10"/>
        <v>**</v>
      </c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2" t="s">
        <v>215</v>
      </c>
      <c r="AZ35" s="22" t="s">
        <v>216</v>
      </c>
      <c r="BA35" s="22" t="s">
        <v>217</v>
      </c>
    </row>
    <row r="36" spans="1:53" ht="27" customHeight="1" x14ac:dyDescent="0.2">
      <c r="A36" s="16" t="s">
        <v>12</v>
      </c>
      <c r="B36" s="2">
        <v>54</v>
      </c>
      <c r="C36" s="1" t="s">
        <v>41</v>
      </c>
      <c r="D36" s="1" t="s">
        <v>117</v>
      </c>
      <c r="E36" s="28">
        <v>12.183999999999999</v>
      </c>
      <c r="F36" s="2">
        <v>0.16685800000000001</v>
      </c>
      <c r="G36" s="2">
        <v>0.104272</v>
      </c>
      <c r="H36" s="2">
        <v>0.112881</v>
      </c>
      <c r="I36" s="2">
        <v>9.0124999999999997E-2</v>
      </c>
      <c r="J36" s="2">
        <v>7.5825000000000004E-2</v>
      </c>
      <c r="K36" s="2">
        <v>8.8576000000000002E-2</v>
      </c>
      <c r="L36" s="2">
        <v>0.12845999999999999</v>
      </c>
      <c r="M36" s="2"/>
      <c r="N36" s="2">
        <v>0.115226</v>
      </c>
      <c r="O36" s="2">
        <v>0.109123</v>
      </c>
      <c r="P36" s="2">
        <v>0.156002</v>
      </c>
      <c r="Q36" s="2">
        <v>0.123933</v>
      </c>
      <c r="R36" s="2">
        <v>0.118517</v>
      </c>
      <c r="S36" s="2">
        <v>0.109391</v>
      </c>
      <c r="T36" s="2">
        <v>0.100382</v>
      </c>
      <c r="U36" s="2"/>
      <c r="V36" s="2">
        <v>0.111085</v>
      </c>
      <c r="W36" s="2">
        <v>0.116531</v>
      </c>
      <c r="X36" s="2">
        <v>0.126523</v>
      </c>
      <c r="Y36" s="3">
        <f t="shared" si="0"/>
        <v>6.6327851977813823E-2</v>
      </c>
      <c r="Z36" s="2">
        <f t="shared" ref="Z36:Z67" si="11">AVERAGE(F36:L36)</f>
        <v>0.109571</v>
      </c>
      <c r="AA36" s="2">
        <f t="shared" ref="AA36:AA67" si="12">AVERAGE(N36:T36)</f>
        <v>0.11893914285714284</v>
      </c>
      <c r="AB36" s="15">
        <f t="shared" si="8"/>
        <v>1.0854983787420287</v>
      </c>
      <c r="AC36" s="29">
        <f t="shared" ref="AC36:AC67" si="13">TTEST(F36:L36,N36:T36,2,3)</f>
        <v>0.50195675894431524</v>
      </c>
      <c r="AD36" s="4" t="str">
        <f t="shared" si="4"/>
        <v>-</v>
      </c>
      <c r="AE36" s="2">
        <f t="shared" ref="AE36:AE67" si="14">_xlfn.RANK.EQ(AC36,$AC$4:$AC$80,1)</f>
        <v>56</v>
      </c>
      <c r="AF36" s="2">
        <f t="shared" ref="AF36:AF67" si="15">COUNTIF($AE$4:$AE$80,AE36)+AE36-1</f>
        <v>56</v>
      </c>
      <c r="AG36" s="2">
        <f t="shared" si="9"/>
        <v>0.69019054354843346</v>
      </c>
      <c r="AH36" s="29">
        <f t="shared" ref="AH36:AH67" si="16">MIN(AG36,IFERROR(VLOOKUP(AF36+1,$AF$4:$AH$80,3,FALSE),1))</f>
        <v>0.69019054354843346</v>
      </c>
      <c r="AI36" s="4" t="str">
        <f t="shared" si="10"/>
        <v/>
      </c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2" t="s">
        <v>218</v>
      </c>
      <c r="AZ36" s="22" t="s">
        <v>219</v>
      </c>
      <c r="BA36" s="22" t="s">
        <v>220</v>
      </c>
    </row>
    <row r="37" spans="1:53" ht="27" customHeight="1" x14ac:dyDescent="0.2">
      <c r="A37" s="16" t="s">
        <v>12</v>
      </c>
      <c r="B37" s="2">
        <v>57</v>
      </c>
      <c r="C37" s="1" t="s">
        <v>42</v>
      </c>
      <c r="D37" s="1" t="s">
        <v>117</v>
      </c>
      <c r="E37" s="28">
        <v>12.236000000000001</v>
      </c>
      <c r="F37" s="2">
        <v>2.1673610000000001</v>
      </c>
      <c r="G37" s="2">
        <v>1.8436509999999999</v>
      </c>
      <c r="H37" s="2">
        <v>2.2381720000000001</v>
      </c>
      <c r="I37" s="2">
        <v>1.9595469999999999</v>
      </c>
      <c r="J37" s="2">
        <v>2.0073829999999999</v>
      </c>
      <c r="K37" s="2">
        <v>2.1245069999999999</v>
      </c>
      <c r="L37" s="2">
        <v>2.2529919999999999</v>
      </c>
      <c r="M37" s="2"/>
      <c r="N37" s="2">
        <v>2.5912250000000001</v>
      </c>
      <c r="O37" s="2">
        <v>2.406593</v>
      </c>
      <c r="P37" s="2">
        <v>2.6924830000000002</v>
      </c>
      <c r="Q37" s="2">
        <v>2.5526360000000001</v>
      </c>
      <c r="R37" s="2">
        <v>2.2233010000000002</v>
      </c>
      <c r="S37" s="2">
        <v>2.3760910000000002</v>
      </c>
      <c r="T37" s="2">
        <v>2.5907779999999998</v>
      </c>
      <c r="U37" s="2"/>
      <c r="V37" s="2">
        <v>2.450494</v>
      </c>
      <c r="W37" s="2">
        <v>2.248586</v>
      </c>
      <c r="X37" s="2">
        <v>2.2659289999999999</v>
      </c>
      <c r="Y37" s="3">
        <f t="shared" si="0"/>
        <v>4.8198776711962835E-2</v>
      </c>
      <c r="Z37" s="2">
        <f t="shared" si="11"/>
        <v>2.0848018571428573</v>
      </c>
      <c r="AA37" s="2">
        <f t="shared" si="12"/>
        <v>2.4904438571428571</v>
      </c>
      <c r="AB37" s="15">
        <f t="shared" si="8"/>
        <v>1.1945710085638148</v>
      </c>
      <c r="AC37" s="29">
        <f t="shared" si="13"/>
        <v>4.1660452176505363E-4</v>
      </c>
      <c r="AD37" s="4" t="str">
        <f t="shared" si="4"/>
        <v>***</v>
      </c>
      <c r="AE37" s="2">
        <f t="shared" si="14"/>
        <v>10</v>
      </c>
      <c r="AF37" s="2">
        <f t="shared" si="15"/>
        <v>10</v>
      </c>
      <c r="AG37" s="2">
        <f t="shared" si="9"/>
        <v>3.2078548175909134E-3</v>
      </c>
      <c r="AH37" s="29">
        <f t="shared" si="16"/>
        <v>2.9644400132763215E-3</v>
      </c>
      <c r="AI37" s="4" t="str">
        <f t="shared" si="10"/>
        <v>**</v>
      </c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2" t="s">
        <v>221</v>
      </c>
      <c r="AZ37" s="22" t="s">
        <v>222</v>
      </c>
      <c r="BA37" s="22" t="s">
        <v>141</v>
      </c>
    </row>
    <row r="38" spans="1:53" ht="27" customHeight="1" x14ac:dyDescent="0.2">
      <c r="A38" s="16" t="s">
        <v>12</v>
      </c>
      <c r="B38" s="2">
        <v>60</v>
      </c>
      <c r="C38" s="1" t="s">
        <v>43</v>
      </c>
      <c r="D38" s="1" t="s">
        <v>117</v>
      </c>
      <c r="E38" s="28">
        <v>12.611000000000001</v>
      </c>
      <c r="F38" s="2">
        <v>3.4609489999999998</v>
      </c>
      <c r="G38" s="2">
        <v>3.0186009999999999</v>
      </c>
      <c r="H38" s="2">
        <v>3.7271130000000001</v>
      </c>
      <c r="I38" s="2">
        <v>3.277663</v>
      </c>
      <c r="J38" s="2">
        <v>3.735989</v>
      </c>
      <c r="K38" s="2">
        <v>3.2738719999999999</v>
      </c>
      <c r="L38" s="2">
        <v>3.46949</v>
      </c>
      <c r="M38" s="2"/>
      <c r="N38" s="2">
        <v>2.4843220000000001</v>
      </c>
      <c r="O38" s="2">
        <v>2.674525</v>
      </c>
      <c r="P38" s="2">
        <v>2.7542770000000001</v>
      </c>
      <c r="Q38" s="2">
        <v>3.1793110000000002</v>
      </c>
      <c r="R38" s="2">
        <v>2.2597990000000001</v>
      </c>
      <c r="S38" s="2">
        <v>2.8142659999999999</v>
      </c>
      <c r="T38" s="2">
        <v>3.080003</v>
      </c>
      <c r="U38" s="2"/>
      <c r="V38" s="2">
        <v>3.4338639999999998</v>
      </c>
      <c r="W38" s="2">
        <v>2.951006</v>
      </c>
      <c r="X38" s="2">
        <v>3.0853890000000002</v>
      </c>
      <c r="Y38" s="3">
        <f t="shared" si="0"/>
        <v>7.8946284039092554E-2</v>
      </c>
      <c r="Z38" s="2">
        <f t="shared" si="11"/>
        <v>3.4233824285714287</v>
      </c>
      <c r="AA38" s="2">
        <f t="shared" si="12"/>
        <v>2.7495004285714288</v>
      </c>
      <c r="AB38" s="15">
        <f t="shared" si="8"/>
        <v>0.80315316384877</v>
      </c>
      <c r="AC38" s="29">
        <f t="shared" si="13"/>
        <v>1.0705062924625515E-3</v>
      </c>
      <c r="AD38" s="4" t="str">
        <f t="shared" si="4"/>
        <v>**</v>
      </c>
      <c r="AE38" s="2">
        <f t="shared" si="14"/>
        <v>12</v>
      </c>
      <c r="AF38" s="2">
        <f t="shared" si="15"/>
        <v>12</v>
      </c>
      <c r="AG38" s="2">
        <f t="shared" si="9"/>
        <v>6.8690820433013723E-3</v>
      </c>
      <c r="AH38" s="29">
        <f t="shared" si="16"/>
        <v>6.8690820433013723E-3</v>
      </c>
      <c r="AI38" s="4" t="str">
        <f t="shared" si="10"/>
        <v>**</v>
      </c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2" t="s">
        <v>223</v>
      </c>
      <c r="AZ38" s="22" t="s">
        <v>224</v>
      </c>
      <c r="BA38" s="22" t="s">
        <v>141</v>
      </c>
    </row>
    <row r="39" spans="1:53" ht="27" customHeight="1" x14ac:dyDescent="0.2">
      <c r="A39" s="16" t="s">
        <v>12</v>
      </c>
      <c r="B39" s="2">
        <v>61</v>
      </c>
      <c r="C39" s="1" t="s">
        <v>44</v>
      </c>
      <c r="D39" s="1" t="s">
        <v>117</v>
      </c>
      <c r="E39" s="28">
        <v>12.651999999999999</v>
      </c>
      <c r="F39" s="2">
        <v>0.20235800000000001</v>
      </c>
      <c r="G39" s="2">
        <v>0.130887</v>
      </c>
      <c r="H39" s="2">
        <v>0.115078</v>
      </c>
      <c r="I39" s="2">
        <v>7.4732999999999994E-2</v>
      </c>
      <c r="J39" s="2">
        <v>0.104174</v>
      </c>
      <c r="K39" s="2">
        <v>0.102381</v>
      </c>
      <c r="L39" s="2">
        <v>0.166631</v>
      </c>
      <c r="M39" s="2"/>
      <c r="N39" s="2">
        <v>0.132461</v>
      </c>
      <c r="O39" s="2">
        <v>0.178066</v>
      </c>
      <c r="P39" s="2">
        <v>0.12945599999999999</v>
      </c>
      <c r="Q39" s="2">
        <v>0.13695599999999999</v>
      </c>
      <c r="R39" s="2">
        <v>0.161219</v>
      </c>
      <c r="S39" s="2">
        <v>0.14318400000000001</v>
      </c>
      <c r="T39" s="2">
        <v>0.144958</v>
      </c>
      <c r="U39" s="2"/>
      <c r="V39" s="2">
        <v>0.140958</v>
      </c>
      <c r="W39" s="2">
        <v>0.14333299999999999</v>
      </c>
      <c r="X39" s="2">
        <v>0.146119</v>
      </c>
      <c r="Y39" s="3">
        <f t="shared" si="0"/>
        <v>1.8005339679342175E-2</v>
      </c>
      <c r="Z39" s="2">
        <f t="shared" si="11"/>
        <v>0.12803457142857141</v>
      </c>
      <c r="AA39" s="2">
        <f t="shared" si="12"/>
        <v>0.14661428571428572</v>
      </c>
      <c r="AB39" s="15">
        <f t="shared" si="8"/>
        <v>1.14511482389801</v>
      </c>
      <c r="AC39" s="29">
        <f t="shared" si="13"/>
        <v>0.32335181994005913</v>
      </c>
      <c r="AD39" s="4" t="str">
        <f t="shared" si="4"/>
        <v>-</v>
      </c>
      <c r="AE39" s="2">
        <f t="shared" si="14"/>
        <v>49</v>
      </c>
      <c r="AF39" s="2">
        <f t="shared" si="15"/>
        <v>49</v>
      </c>
      <c r="AG39" s="2">
        <f t="shared" si="9"/>
        <v>0.50812428847723579</v>
      </c>
      <c r="AH39" s="29">
        <f t="shared" si="16"/>
        <v>0.50812428847723579</v>
      </c>
      <c r="AI39" s="4" t="str">
        <f t="shared" si="10"/>
        <v/>
      </c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2" t="s">
        <v>225</v>
      </c>
      <c r="AZ39" s="22" t="s">
        <v>226</v>
      </c>
      <c r="BA39" s="22" t="s">
        <v>227</v>
      </c>
    </row>
    <row r="40" spans="1:53" ht="27" customHeight="1" x14ac:dyDescent="0.2">
      <c r="A40" s="16" t="s">
        <v>12</v>
      </c>
      <c r="B40" s="2">
        <v>62</v>
      </c>
      <c r="C40" s="1" t="s">
        <v>45</v>
      </c>
      <c r="D40" s="1" t="s">
        <v>117</v>
      </c>
      <c r="E40" s="28">
        <v>12.663</v>
      </c>
      <c r="F40" s="2">
        <v>1.771E-3</v>
      </c>
      <c r="G40" s="2">
        <v>1.209E-3</v>
      </c>
      <c r="H40" s="2">
        <v>2.7539999999999999E-3</v>
      </c>
      <c r="I40" s="2">
        <v>1.98E-3</v>
      </c>
      <c r="J40" s="2">
        <v>1.4729999999999999E-3</v>
      </c>
      <c r="K40" s="2">
        <v>1.018E-3</v>
      </c>
      <c r="L40" s="2">
        <v>1.2080000000000001E-3</v>
      </c>
      <c r="M40" s="2"/>
      <c r="N40" s="2">
        <v>1.059E-3</v>
      </c>
      <c r="O40" s="2">
        <v>1.5740000000000001E-3</v>
      </c>
      <c r="P40" s="2">
        <v>3.1689999999999999E-3</v>
      </c>
      <c r="Q40" s="2">
        <v>2.078E-3</v>
      </c>
      <c r="R40" s="2">
        <v>2.4380000000000001E-3</v>
      </c>
      <c r="S40" s="2">
        <v>8.5099999999999998E-4</v>
      </c>
      <c r="T40" s="2">
        <v>9.3199999999999999E-4</v>
      </c>
      <c r="U40" s="2"/>
      <c r="V40" s="2">
        <v>1.2669999999999999E-3</v>
      </c>
      <c r="W40" s="2">
        <v>1.5629999999999999E-3</v>
      </c>
      <c r="X40" s="2">
        <v>1.6230000000000001E-3</v>
      </c>
      <c r="Y40" s="3">
        <f t="shared" si="0"/>
        <v>0.12840246575040198</v>
      </c>
      <c r="Z40" s="2">
        <f t="shared" si="11"/>
        <v>1.6304285714285713E-3</v>
      </c>
      <c r="AA40" s="2">
        <f t="shared" si="12"/>
        <v>1.7287142857142859E-3</v>
      </c>
      <c r="AB40" s="15">
        <f t="shared" si="8"/>
        <v>1.0602821344081312</v>
      </c>
      <c r="AC40" s="29">
        <f t="shared" si="13"/>
        <v>0.81082110502406157</v>
      </c>
      <c r="AD40" s="4" t="str">
        <f t="shared" si="4"/>
        <v>-</v>
      </c>
      <c r="AE40" s="2">
        <f t="shared" si="14"/>
        <v>72</v>
      </c>
      <c r="AF40" s="2">
        <f t="shared" si="15"/>
        <v>72</v>
      </c>
      <c r="AG40" s="2">
        <f t="shared" si="9"/>
        <v>0.8671281262062881</v>
      </c>
      <c r="AH40" s="29">
        <f t="shared" si="16"/>
        <v>0.86540431965582476</v>
      </c>
      <c r="AI40" s="4" t="str">
        <f t="shared" si="10"/>
        <v/>
      </c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2" t="s">
        <v>228</v>
      </c>
      <c r="AZ40" s="22" t="s">
        <v>229</v>
      </c>
      <c r="BA40" s="22" t="s">
        <v>230</v>
      </c>
    </row>
    <row r="41" spans="1:53" ht="27" customHeight="1" x14ac:dyDescent="0.2">
      <c r="A41" s="16" t="s">
        <v>12</v>
      </c>
      <c r="B41" s="2">
        <v>65</v>
      </c>
      <c r="C41" s="1" t="s">
        <v>46</v>
      </c>
      <c r="D41" s="1" t="s">
        <v>117</v>
      </c>
      <c r="E41" s="28">
        <v>12.901999999999999</v>
      </c>
      <c r="F41" s="2">
        <v>2.3649999999999999E-3</v>
      </c>
      <c r="G41" s="2">
        <v>2.3969999999999998E-3</v>
      </c>
      <c r="H41" s="2">
        <v>1.7080000000000001E-3</v>
      </c>
      <c r="I41" s="2">
        <v>2.5560000000000001E-3</v>
      </c>
      <c r="J41" s="2">
        <v>2.506E-3</v>
      </c>
      <c r="K41" s="2">
        <v>2.1610000000000002E-3</v>
      </c>
      <c r="L41" s="2">
        <v>2.2859999999999998E-3</v>
      </c>
      <c r="M41" s="2"/>
      <c r="N41" s="2">
        <v>2.0089999999999999E-3</v>
      </c>
      <c r="O41" s="2">
        <v>2.5049999999999998E-3</v>
      </c>
      <c r="P41" s="2">
        <v>3.2109999999999999E-3</v>
      </c>
      <c r="Q41" s="2">
        <v>2.3879999999999999E-3</v>
      </c>
      <c r="R41" s="2">
        <v>2.8930000000000002E-3</v>
      </c>
      <c r="S41" s="2">
        <v>1.7409999999999999E-3</v>
      </c>
      <c r="T41" s="2">
        <v>2.0040000000000001E-3</v>
      </c>
      <c r="U41" s="2"/>
      <c r="V41" s="2">
        <v>2.0330000000000001E-3</v>
      </c>
      <c r="W41" s="2">
        <v>2.3340000000000001E-3</v>
      </c>
      <c r="X41" s="2">
        <v>2.251E-3</v>
      </c>
      <c r="Y41" s="3">
        <f t="shared" si="0"/>
        <v>7.0473174142376624E-2</v>
      </c>
      <c r="Z41" s="2">
        <f t="shared" si="11"/>
        <v>2.2827142857142859E-3</v>
      </c>
      <c r="AA41" s="2">
        <f t="shared" si="12"/>
        <v>2.3929999999999997E-3</v>
      </c>
      <c r="AB41" s="15">
        <f t="shared" si="8"/>
        <v>1.0483134113523997</v>
      </c>
      <c r="AC41" s="29">
        <f t="shared" si="13"/>
        <v>0.63689095971224807</v>
      </c>
      <c r="AD41" s="4" t="str">
        <f t="shared" si="4"/>
        <v>-</v>
      </c>
      <c r="AE41" s="2">
        <f t="shared" si="14"/>
        <v>62</v>
      </c>
      <c r="AF41" s="2">
        <f t="shared" si="15"/>
        <v>62</v>
      </c>
      <c r="AG41" s="2">
        <f t="shared" si="9"/>
        <v>0.7909774822232758</v>
      </c>
      <c r="AH41" s="29">
        <f t="shared" si="16"/>
        <v>0.7909774822232758</v>
      </c>
      <c r="AI41" s="4" t="str">
        <f t="shared" si="10"/>
        <v/>
      </c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2" t="s">
        <v>231</v>
      </c>
      <c r="AZ41" s="22" t="s">
        <v>232</v>
      </c>
      <c r="BA41" s="22" t="s">
        <v>233</v>
      </c>
    </row>
    <row r="42" spans="1:53" ht="27" customHeight="1" x14ac:dyDescent="0.2">
      <c r="A42" s="16" t="s">
        <v>12</v>
      </c>
      <c r="B42" s="2">
        <v>66</v>
      </c>
      <c r="C42" s="1" t="s">
        <v>47</v>
      </c>
      <c r="D42" s="1" t="s">
        <v>117</v>
      </c>
      <c r="E42" s="28">
        <v>13.079000000000001</v>
      </c>
      <c r="F42" s="2">
        <v>0.444685</v>
      </c>
      <c r="G42" s="2">
        <v>0.35119800000000001</v>
      </c>
      <c r="H42" s="2">
        <v>0.446826</v>
      </c>
      <c r="I42" s="2">
        <v>0.30997999999999998</v>
      </c>
      <c r="J42" s="2">
        <v>0.38714799999999999</v>
      </c>
      <c r="K42" s="2">
        <v>0.37750699999999998</v>
      </c>
      <c r="L42" s="2">
        <v>0.47003299999999998</v>
      </c>
      <c r="M42" s="2"/>
      <c r="N42" s="2">
        <v>0.195768</v>
      </c>
      <c r="O42" s="2">
        <v>0.22383900000000001</v>
      </c>
      <c r="P42" s="2">
        <v>0.30700899999999998</v>
      </c>
      <c r="Q42" s="2">
        <v>0.216475</v>
      </c>
      <c r="R42" s="2">
        <v>0.17738999999999999</v>
      </c>
      <c r="S42" s="2">
        <v>0.244255</v>
      </c>
      <c r="T42" s="2">
        <v>0.22972200000000001</v>
      </c>
      <c r="U42" s="2"/>
      <c r="V42" s="2">
        <v>0.31118499999999999</v>
      </c>
      <c r="W42" s="2">
        <v>0.32282</v>
      </c>
      <c r="X42" s="2">
        <v>0.34754099999999999</v>
      </c>
      <c r="Y42" s="3">
        <f t="shared" si="0"/>
        <v>5.6746295803341847E-2</v>
      </c>
      <c r="Z42" s="2">
        <f t="shared" si="11"/>
        <v>0.39819671428571424</v>
      </c>
      <c r="AA42" s="2">
        <f t="shared" si="12"/>
        <v>0.22777971428571425</v>
      </c>
      <c r="AB42" s="15">
        <f t="shared" si="8"/>
        <v>0.5720281110161991</v>
      </c>
      <c r="AC42" s="29">
        <f t="shared" si="13"/>
        <v>6.0161183591675712E-5</v>
      </c>
      <c r="AD42" s="4" t="str">
        <f t="shared" si="4"/>
        <v>***</v>
      </c>
      <c r="AE42" s="2">
        <f t="shared" si="14"/>
        <v>3</v>
      </c>
      <c r="AF42" s="2">
        <f t="shared" si="15"/>
        <v>3</v>
      </c>
      <c r="AG42" s="2">
        <f t="shared" si="9"/>
        <v>1.5441370455196767E-3</v>
      </c>
      <c r="AH42" s="29">
        <f t="shared" si="16"/>
        <v>1.5441370455196767E-3</v>
      </c>
      <c r="AI42" s="4" t="str">
        <f t="shared" si="10"/>
        <v>**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2" t="s">
        <v>234</v>
      </c>
      <c r="AZ42" s="22" t="s">
        <v>235</v>
      </c>
      <c r="BA42" s="22" t="s">
        <v>236</v>
      </c>
    </row>
    <row r="43" spans="1:53" ht="27" customHeight="1" x14ac:dyDescent="0.2">
      <c r="A43" s="16" t="s">
        <v>12</v>
      </c>
      <c r="B43" s="2">
        <v>72</v>
      </c>
      <c r="C43" s="1" t="s">
        <v>49</v>
      </c>
      <c r="D43" s="1" t="s">
        <v>117</v>
      </c>
      <c r="E43" s="28">
        <v>13.346</v>
      </c>
      <c r="F43" s="2">
        <v>0.246672</v>
      </c>
      <c r="G43" s="2">
        <v>0.221003</v>
      </c>
      <c r="H43" s="2">
        <v>0.237229</v>
      </c>
      <c r="I43" s="2">
        <v>0.19503100000000001</v>
      </c>
      <c r="J43" s="2">
        <v>0.204954</v>
      </c>
      <c r="K43" s="2">
        <v>0.20854900000000001</v>
      </c>
      <c r="L43" s="2">
        <v>0.25635999999999998</v>
      </c>
      <c r="M43" s="2"/>
      <c r="N43" s="2">
        <v>0.29955599999999999</v>
      </c>
      <c r="O43" s="2">
        <v>0.25531199999999998</v>
      </c>
      <c r="P43" s="2">
        <v>0.27294000000000002</v>
      </c>
      <c r="Q43" s="2">
        <v>0.28936400000000001</v>
      </c>
      <c r="R43" s="2">
        <v>0.277167</v>
      </c>
      <c r="S43" s="2">
        <v>0.31148100000000001</v>
      </c>
      <c r="T43" s="2">
        <v>0.29270800000000002</v>
      </c>
      <c r="U43" s="2"/>
      <c r="V43" s="2">
        <v>0.250668</v>
      </c>
      <c r="W43" s="2">
        <v>0.25723600000000002</v>
      </c>
      <c r="X43" s="2">
        <v>0.26399600000000001</v>
      </c>
      <c r="Y43" s="3">
        <f t="shared" si="0"/>
        <v>2.590062373964604E-2</v>
      </c>
      <c r="Z43" s="2">
        <f t="shared" si="11"/>
        <v>0.22425685714285715</v>
      </c>
      <c r="AA43" s="2">
        <f t="shared" si="12"/>
        <v>0.28550399999999992</v>
      </c>
      <c r="AB43" s="15">
        <f t="shared" si="8"/>
        <v>1.2731115723169475</v>
      </c>
      <c r="AC43" s="29">
        <f t="shared" si="13"/>
        <v>1.6652931433470698E-4</v>
      </c>
      <c r="AD43" s="4" t="str">
        <f t="shared" si="4"/>
        <v>***</v>
      </c>
      <c r="AE43" s="2">
        <f t="shared" si="14"/>
        <v>5</v>
      </c>
      <c r="AF43" s="2">
        <f t="shared" si="15"/>
        <v>5</v>
      </c>
      <c r="AG43" s="2">
        <f t="shared" si="9"/>
        <v>2.5645514407544876E-3</v>
      </c>
      <c r="AH43" s="29">
        <f t="shared" si="16"/>
        <v>2.5645514407544876E-3</v>
      </c>
      <c r="AI43" s="4" t="str">
        <f t="shared" si="10"/>
        <v>**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2" t="s">
        <v>143</v>
      </c>
      <c r="AZ43" s="22" t="s">
        <v>237</v>
      </c>
      <c r="BA43" s="22" t="s">
        <v>177</v>
      </c>
    </row>
    <row r="44" spans="1:53" ht="27" customHeight="1" x14ac:dyDescent="0.2">
      <c r="A44" s="16" t="s">
        <v>12</v>
      </c>
      <c r="B44" s="2">
        <v>79</v>
      </c>
      <c r="C44" s="1" t="s">
        <v>51</v>
      </c>
      <c r="D44" s="1" t="s">
        <v>117</v>
      </c>
      <c r="E44" s="28">
        <v>13.66</v>
      </c>
      <c r="F44" s="2">
        <v>6.9410000000000001E-3</v>
      </c>
      <c r="G44" s="2">
        <v>6.0200000000000002E-3</v>
      </c>
      <c r="H44" s="2">
        <v>1.0296E-2</v>
      </c>
      <c r="I44" s="2">
        <v>7.8790000000000006E-3</v>
      </c>
      <c r="J44" s="2">
        <v>6.8329999999999997E-3</v>
      </c>
      <c r="K44" s="2">
        <v>7.1960000000000001E-3</v>
      </c>
      <c r="L44" s="2">
        <v>6.692E-3</v>
      </c>
      <c r="M44" s="2"/>
      <c r="N44" s="2">
        <v>6.1149999999999998E-3</v>
      </c>
      <c r="O44" s="2">
        <v>6.2960000000000004E-3</v>
      </c>
      <c r="P44" s="2">
        <v>6.143E-3</v>
      </c>
      <c r="Q44" s="2">
        <v>6.4260000000000003E-3</v>
      </c>
      <c r="R44" s="2">
        <v>5.0220000000000004E-3</v>
      </c>
      <c r="S44" s="2">
        <v>7.3839999999999999E-3</v>
      </c>
      <c r="T44" s="2">
        <v>5.5149999999999999E-3</v>
      </c>
      <c r="U44" s="2"/>
      <c r="V44" s="2">
        <v>7.2870000000000001E-3</v>
      </c>
      <c r="W44" s="2">
        <v>6.9649999999999998E-3</v>
      </c>
      <c r="X44" s="2">
        <v>6.9959999999999996E-3</v>
      </c>
      <c r="Y44" s="3">
        <f t="shared" si="0"/>
        <v>2.5080298527529105E-2</v>
      </c>
      <c r="Z44" s="2">
        <f t="shared" si="11"/>
        <v>7.4081428571428571E-3</v>
      </c>
      <c r="AA44" s="2">
        <f t="shared" si="12"/>
        <v>6.1287142857142859E-3</v>
      </c>
      <c r="AB44" s="15">
        <f t="shared" si="8"/>
        <v>0.82729429006691479</v>
      </c>
      <c r="AC44" s="29">
        <f t="shared" si="13"/>
        <v>5.9646881782872599E-2</v>
      </c>
      <c r="AD44" s="4" t="str">
        <f t="shared" si="4"/>
        <v>-</v>
      </c>
      <c r="AE44" s="2">
        <f t="shared" si="14"/>
        <v>29</v>
      </c>
      <c r="AF44" s="2">
        <f t="shared" si="15"/>
        <v>29</v>
      </c>
      <c r="AG44" s="2">
        <f t="shared" si="9"/>
        <v>0.15837275507866172</v>
      </c>
      <c r="AH44" s="29">
        <f t="shared" si="16"/>
        <v>0.15837275507866172</v>
      </c>
      <c r="AI44" s="4" t="str">
        <f t="shared" si="10"/>
        <v/>
      </c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2" t="s">
        <v>217</v>
      </c>
      <c r="AZ44" s="22" t="s">
        <v>216</v>
      </c>
      <c r="BA44" s="22" t="s">
        <v>238</v>
      </c>
    </row>
    <row r="45" spans="1:53" ht="27" customHeight="1" x14ac:dyDescent="0.2">
      <c r="A45" s="16" t="s">
        <v>12</v>
      </c>
      <c r="B45" s="2">
        <v>80</v>
      </c>
      <c r="C45" s="1" t="s">
        <v>3</v>
      </c>
      <c r="D45" s="1" t="s">
        <v>117</v>
      </c>
      <c r="E45" s="28">
        <v>13.749000000000001</v>
      </c>
      <c r="F45" s="2">
        <v>4.632574</v>
      </c>
      <c r="G45" s="2">
        <v>4.4788379999999997</v>
      </c>
      <c r="H45" s="2">
        <v>4.5391050000000002</v>
      </c>
      <c r="I45" s="2">
        <v>4.4249859999999996</v>
      </c>
      <c r="J45" s="2">
        <v>4.5751400000000002</v>
      </c>
      <c r="K45" s="2">
        <v>4.5864039999999999</v>
      </c>
      <c r="L45" s="2">
        <v>4.6322919999999996</v>
      </c>
      <c r="M45" s="2"/>
      <c r="N45" s="2">
        <v>4.4791920000000003</v>
      </c>
      <c r="O45" s="2">
        <v>4.6119940000000001</v>
      </c>
      <c r="P45" s="2">
        <v>4.4795020000000001</v>
      </c>
      <c r="Q45" s="2">
        <v>4.5436699999999997</v>
      </c>
      <c r="R45" s="2">
        <v>4.4302109999999999</v>
      </c>
      <c r="S45" s="2">
        <v>4.5377780000000003</v>
      </c>
      <c r="T45" s="2">
        <v>4.4207830000000001</v>
      </c>
      <c r="U45" s="2"/>
      <c r="V45" s="2">
        <v>4.5483900000000004</v>
      </c>
      <c r="W45" s="2">
        <v>4.549855</v>
      </c>
      <c r="X45" s="2">
        <v>4.5837149999999998</v>
      </c>
      <c r="Y45" s="3">
        <f t="shared" si="0"/>
        <v>4.3821391215925999E-3</v>
      </c>
      <c r="Z45" s="2">
        <f t="shared" si="11"/>
        <v>4.5527627142857146</v>
      </c>
      <c r="AA45" s="2">
        <f t="shared" si="12"/>
        <v>4.5004471428571424</v>
      </c>
      <c r="AB45" s="15">
        <f t="shared" si="8"/>
        <v>0.98850904940325235</v>
      </c>
      <c r="AC45" s="29">
        <f t="shared" si="13"/>
        <v>0.20602077371776681</v>
      </c>
      <c r="AD45" s="4" t="str">
        <f t="shared" si="4"/>
        <v>-</v>
      </c>
      <c r="AE45" s="2">
        <f t="shared" si="14"/>
        <v>39</v>
      </c>
      <c r="AF45" s="2">
        <f t="shared" si="15"/>
        <v>39</v>
      </c>
      <c r="AG45" s="2">
        <f t="shared" si="9"/>
        <v>0.40675896349405238</v>
      </c>
      <c r="AH45" s="29">
        <f t="shared" si="16"/>
        <v>0.40675896349405238</v>
      </c>
      <c r="AI45" s="4" t="str">
        <f t="shared" si="10"/>
        <v/>
      </c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2" t="s">
        <v>239</v>
      </c>
      <c r="AZ45" s="22" t="s">
        <v>240</v>
      </c>
      <c r="BA45" s="22" t="s">
        <v>141</v>
      </c>
    </row>
    <row r="46" spans="1:53" ht="27" customHeight="1" x14ac:dyDescent="0.2">
      <c r="A46" s="16" t="s">
        <v>12</v>
      </c>
      <c r="B46" s="2">
        <v>83</v>
      </c>
      <c r="C46" s="1" t="s">
        <v>52</v>
      </c>
      <c r="D46" s="1" t="s">
        <v>117</v>
      </c>
      <c r="E46" s="28">
        <v>14.064</v>
      </c>
      <c r="F46" s="2">
        <v>6.966E-3</v>
      </c>
      <c r="G46" s="2">
        <v>5.4409999999999997E-3</v>
      </c>
      <c r="H46" s="2">
        <v>7.3899999999999999E-3</v>
      </c>
      <c r="I46" s="2">
        <v>7.1390000000000004E-3</v>
      </c>
      <c r="J46" s="2">
        <v>5.9249999999999997E-3</v>
      </c>
      <c r="K46" s="2">
        <v>6.6540000000000002E-3</v>
      </c>
      <c r="L46" s="2">
        <v>7.2919999999999999E-3</v>
      </c>
      <c r="M46" s="2"/>
      <c r="N46" s="2">
        <v>1.0687E-2</v>
      </c>
      <c r="O46" s="2">
        <v>8.829E-3</v>
      </c>
      <c r="P46" s="2">
        <v>1.1251000000000001E-2</v>
      </c>
      <c r="Q46" s="2">
        <v>1.0411E-2</v>
      </c>
      <c r="R46" s="2">
        <v>7.6559999999999996E-3</v>
      </c>
      <c r="S46" s="2">
        <v>8.8389999999999996E-3</v>
      </c>
      <c r="T46" s="2">
        <v>9.7099999999999999E-3</v>
      </c>
      <c r="U46" s="2"/>
      <c r="V46" s="2">
        <v>7.1440000000000002E-3</v>
      </c>
      <c r="W46" s="2">
        <v>8.4399999999999996E-3</v>
      </c>
      <c r="X46" s="2">
        <v>7.9679999999999994E-3</v>
      </c>
      <c r="Y46" s="3">
        <f t="shared" si="0"/>
        <v>8.3549426054907366E-2</v>
      </c>
      <c r="Z46" s="2">
        <f t="shared" si="11"/>
        <v>6.6867142857142863E-3</v>
      </c>
      <c r="AA46" s="2">
        <f t="shared" si="12"/>
        <v>9.6261428571428574E-3</v>
      </c>
      <c r="AB46" s="15">
        <f t="shared" si="8"/>
        <v>1.4395923686628067</v>
      </c>
      <c r="AC46" s="29">
        <f t="shared" si="13"/>
        <v>3.7316519242212593E-4</v>
      </c>
      <c r="AD46" s="4" t="str">
        <f t="shared" si="4"/>
        <v>***</v>
      </c>
      <c r="AE46" s="2">
        <f t="shared" si="14"/>
        <v>9</v>
      </c>
      <c r="AF46" s="2">
        <f t="shared" si="15"/>
        <v>9</v>
      </c>
      <c r="AG46" s="2">
        <f t="shared" si="9"/>
        <v>3.1926355351670774E-3</v>
      </c>
      <c r="AH46" s="29">
        <f t="shared" si="16"/>
        <v>2.9644400132763215E-3</v>
      </c>
      <c r="AI46" s="4" t="str">
        <f t="shared" si="10"/>
        <v>**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2" t="s">
        <v>241</v>
      </c>
      <c r="AZ46" s="22" t="s">
        <v>242</v>
      </c>
      <c r="BA46" s="22" t="s">
        <v>243</v>
      </c>
    </row>
    <row r="47" spans="1:53" ht="27" customHeight="1" x14ac:dyDescent="0.2">
      <c r="A47" s="16" t="s">
        <v>12</v>
      </c>
      <c r="B47" s="2">
        <v>86</v>
      </c>
      <c r="C47" s="1" t="s">
        <v>53</v>
      </c>
      <c r="D47" s="1" t="s">
        <v>117</v>
      </c>
      <c r="E47" s="28">
        <v>14.092000000000001</v>
      </c>
      <c r="F47" s="2">
        <v>9.4640000000000002E-3</v>
      </c>
      <c r="G47" s="2">
        <v>7.7060000000000002E-3</v>
      </c>
      <c r="H47" s="2">
        <v>9.9869999999999994E-3</v>
      </c>
      <c r="I47" s="2">
        <v>6.2090000000000001E-3</v>
      </c>
      <c r="J47" s="2">
        <v>4.2880000000000001E-3</v>
      </c>
      <c r="K47" s="2">
        <v>8.4790000000000004E-3</v>
      </c>
      <c r="L47" s="2">
        <v>1.6223999999999999E-2</v>
      </c>
      <c r="M47" s="2"/>
      <c r="N47" s="2">
        <v>5.6309999999999997E-3</v>
      </c>
      <c r="O47" s="2">
        <v>5.6620000000000004E-3</v>
      </c>
      <c r="P47" s="2">
        <v>7.0400000000000003E-3</v>
      </c>
      <c r="Q47" s="2">
        <v>4.7790000000000003E-3</v>
      </c>
      <c r="R47" s="2">
        <v>6.1399999999999996E-3</v>
      </c>
      <c r="S47" s="2">
        <v>5.5209999999999999E-3</v>
      </c>
      <c r="T47" s="2">
        <v>3.8479999999999999E-3</v>
      </c>
      <c r="U47" s="2"/>
      <c r="V47" s="2">
        <v>7.6680000000000003E-3</v>
      </c>
      <c r="W47" s="2">
        <v>7.6010000000000001E-3</v>
      </c>
      <c r="X47" s="2">
        <v>7.2049999999999996E-3</v>
      </c>
      <c r="Y47" s="3">
        <f t="shared" ref="Y47:Y69" si="17">IFERROR(STDEV(V47:X47)/AVERAGE(V47:X47),0)</f>
        <v>3.3401873161039021E-2</v>
      </c>
      <c r="Z47" s="2">
        <f t="shared" si="11"/>
        <v>8.9081428571428558E-3</v>
      </c>
      <c r="AA47" s="2">
        <f t="shared" si="12"/>
        <v>5.5172857142857133E-3</v>
      </c>
      <c r="AB47" s="15">
        <f t="shared" si="8"/>
        <v>0.61935307984668919</v>
      </c>
      <c r="AC47" s="29">
        <f t="shared" si="13"/>
        <v>5.5827227274697411E-2</v>
      </c>
      <c r="AD47" s="4" t="str">
        <f t="shared" ref="AD47:AD69" si="18">IF(AC47&lt;0.001,"***",IF(AC47&lt;0.01,"**",IF(AC47&lt;0.05,"*","-")))</f>
        <v>-</v>
      </c>
      <c r="AE47" s="2">
        <f t="shared" si="14"/>
        <v>28</v>
      </c>
      <c r="AF47" s="2">
        <f t="shared" si="15"/>
        <v>28</v>
      </c>
      <c r="AG47" s="2">
        <f t="shared" si="9"/>
        <v>0.15352487500541789</v>
      </c>
      <c r="AH47" s="29">
        <f t="shared" si="16"/>
        <v>0.15352487500541789</v>
      </c>
      <c r="AI47" s="4" t="str">
        <f t="shared" si="10"/>
        <v/>
      </c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2" t="s">
        <v>244</v>
      </c>
      <c r="AZ47" s="22" t="s">
        <v>217</v>
      </c>
      <c r="BA47" s="22" t="s">
        <v>216</v>
      </c>
    </row>
    <row r="48" spans="1:53" ht="27" customHeight="1" x14ac:dyDescent="0.2">
      <c r="A48" s="16" t="s">
        <v>12</v>
      </c>
      <c r="B48" s="2">
        <v>87</v>
      </c>
      <c r="C48" s="1" t="s">
        <v>54</v>
      </c>
      <c r="D48" s="1" t="s">
        <v>117</v>
      </c>
      <c r="E48" s="28">
        <v>14.148</v>
      </c>
      <c r="F48" s="2">
        <v>3.1110000000000001E-3</v>
      </c>
      <c r="G48" s="2">
        <v>3.8370000000000001E-3</v>
      </c>
      <c r="H48" s="2">
        <v>3.7109999999999999E-3</v>
      </c>
      <c r="I48" s="2">
        <v>4.0470000000000002E-3</v>
      </c>
      <c r="J48" s="2">
        <v>4.4010000000000004E-3</v>
      </c>
      <c r="K48" s="2">
        <v>4.0699999999999998E-3</v>
      </c>
      <c r="L48" s="2">
        <v>3.7799999999999999E-3</v>
      </c>
      <c r="M48" s="2"/>
      <c r="N48" s="2">
        <v>4.078E-3</v>
      </c>
      <c r="O48" s="2">
        <v>3.6939999999999998E-3</v>
      </c>
      <c r="P48" s="2">
        <v>3.8319999999999999E-3</v>
      </c>
      <c r="Q48" s="2">
        <v>4.2880000000000001E-3</v>
      </c>
      <c r="R48" s="2">
        <v>3.4229999999999998E-3</v>
      </c>
      <c r="S48" s="2">
        <v>3.6879999999999999E-3</v>
      </c>
      <c r="T48" s="2">
        <v>3.516E-3</v>
      </c>
      <c r="U48" s="2"/>
      <c r="V48" s="2">
        <v>3.5850000000000001E-3</v>
      </c>
      <c r="W48" s="2">
        <v>4.2110000000000003E-3</v>
      </c>
      <c r="X48" s="2">
        <v>3.4420000000000002E-3</v>
      </c>
      <c r="Y48" s="3">
        <f t="shared" si="17"/>
        <v>0.10918312867058197</v>
      </c>
      <c r="Z48" s="2">
        <f t="shared" si="11"/>
        <v>3.8509999999999998E-3</v>
      </c>
      <c r="AA48" s="2">
        <f t="shared" si="12"/>
        <v>3.7884285714285715E-3</v>
      </c>
      <c r="AB48" s="15">
        <f t="shared" si="8"/>
        <v>0.98375190117594691</v>
      </c>
      <c r="AC48" s="29">
        <f t="shared" si="13"/>
        <v>0.74854539989964386</v>
      </c>
      <c r="AD48" s="4" t="str">
        <f t="shared" si="18"/>
        <v>-</v>
      </c>
      <c r="AE48" s="2">
        <f t="shared" si="14"/>
        <v>67</v>
      </c>
      <c r="AF48" s="2">
        <f t="shared" si="15"/>
        <v>67</v>
      </c>
      <c r="AG48" s="2">
        <f t="shared" si="9"/>
        <v>0.86026859391451604</v>
      </c>
      <c r="AH48" s="29">
        <f t="shared" si="16"/>
        <v>0.853220118997291</v>
      </c>
      <c r="AI48" s="4" t="str">
        <f t="shared" si="10"/>
        <v/>
      </c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2" t="s">
        <v>244</v>
      </c>
      <c r="AZ48" s="22" t="s">
        <v>217</v>
      </c>
      <c r="BA48" s="22" t="s">
        <v>216</v>
      </c>
    </row>
    <row r="49" spans="1:53" ht="27" customHeight="1" x14ac:dyDescent="0.2">
      <c r="A49" s="16" t="s">
        <v>12</v>
      </c>
      <c r="B49" s="2">
        <v>92</v>
      </c>
      <c r="C49" s="1" t="s">
        <v>55</v>
      </c>
      <c r="D49" s="1" t="s">
        <v>117</v>
      </c>
      <c r="E49" s="28">
        <v>14.343</v>
      </c>
      <c r="F49" s="2">
        <v>1.4959999999999999E-3</v>
      </c>
      <c r="G49" s="2">
        <v>6.8599999999999998E-4</v>
      </c>
      <c r="H49" s="2">
        <v>8.4199999999999998E-4</v>
      </c>
      <c r="I49" s="2">
        <v>1.127E-3</v>
      </c>
      <c r="J49" s="2">
        <v>1.0690000000000001E-3</v>
      </c>
      <c r="K49" s="2">
        <v>1.23E-3</v>
      </c>
      <c r="L49" s="2">
        <v>6.6699999999999995E-4</v>
      </c>
      <c r="M49" s="2"/>
      <c r="N49" s="2">
        <v>1.7049999999999999E-3</v>
      </c>
      <c r="O49" s="2">
        <v>2.3530000000000001E-3</v>
      </c>
      <c r="P49" s="2">
        <v>1.2470000000000001E-3</v>
      </c>
      <c r="Q49" s="2">
        <v>1.382E-3</v>
      </c>
      <c r="R49" s="2">
        <v>1.3470000000000001E-3</v>
      </c>
      <c r="S49" s="2">
        <v>1.1540000000000001E-3</v>
      </c>
      <c r="T49" s="2">
        <v>1.091E-3</v>
      </c>
      <c r="U49" s="2"/>
      <c r="V49" s="2">
        <v>1.4519999999999999E-3</v>
      </c>
      <c r="W49" s="2">
        <v>1.302E-3</v>
      </c>
      <c r="X49" s="2">
        <v>1.3029999999999999E-3</v>
      </c>
      <c r="Y49" s="3">
        <f t="shared" si="17"/>
        <v>6.3826951023946074E-2</v>
      </c>
      <c r="Z49" s="2">
        <f t="shared" si="11"/>
        <v>1.0167142857142859E-3</v>
      </c>
      <c r="AA49" s="2">
        <f t="shared" si="12"/>
        <v>1.4684285714285715E-3</v>
      </c>
      <c r="AB49" s="15">
        <f t="shared" si="8"/>
        <v>1.4442883237319093</v>
      </c>
      <c r="AC49" s="29">
        <f t="shared" si="13"/>
        <v>4.713623132914542E-2</v>
      </c>
      <c r="AD49" s="4" t="str">
        <f t="shared" si="18"/>
        <v>*</v>
      </c>
      <c r="AE49" s="2">
        <f t="shared" si="14"/>
        <v>24</v>
      </c>
      <c r="AF49" s="2">
        <f t="shared" si="15"/>
        <v>24</v>
      </c>
      <c r="AG49" s="2">
        <f t="shared" si="9"/>
        <v>0.15122874218100821</v>
      </c>
      <c r="AH49" s="29">
        <f t="shared" si="16"/>
        <v>0.14792761402342591</v>
      </c>
      <c r="AI49" s="4" t="str">
        <f t="shared" si="10"/>
        <v/>
      </c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2" t="s">
        <v>245</v>
      </c>
      <c r="AZ49" s="22" t="s">
        <v>246</v>
      </c>
      <c r="BA49" s="22" t="s">
        <v>141</v>
      </c>
    </row>
    <row r="50" spans="1:53" ht="27" customHeight="1" x14ac:dyDescent="0.2">
      <c r="A50" s="16" t="s">
        <v>12</v>
      </c>
      <c r="B50" s="2">
        <v>95</v>
      </c>
      <c r="C50" s="1" t="s">
        <v>56</v>
      </c>
      <c r="D50" s="1" t="s">
        <v>118</v>
      </c>
      <c r="E50" s="28">
        <v>14.455</v>
      </c>
      <c r="F50" s="2">
        <v>0.40598699999999999</v>
      </c>
      <c r="G50" s="2">
        <v>0.36129600000000001</v>
      </c>
      <c r="H50" s="2">
        <v>0.43129299999999998</v>
      </c>
      <c r="I50" s="2">
        <v>0.338839</v>
      </c>
      <c r="J50" s="2">
        <v>0.35872500000000002</v>
      </c>
      <c r="K50" s="2">
        <v>0.34037099999999998</v>
      </c>
      <c r="L50" s="2">
        <v>0.39647100000000002</v>
      </c>
      <c r="M50" s="2"/>
      <c r="N50" s="2">
        <v>0.383799</v>
      </c>
      <c r="O50" s="2">
        <v>0.35920299999999999</v>
      </c>
      <c r="P50" s="2">
        <v>0.38185400000000003</v>
      </c>
      <c r="Q50" s="2">
        <v>0.38173699999999999</v>
      </c>
      <c r="R50" s="2">
        <v>0.38786599999999999</v>
      </c>
      <c r="S50" s="2">
        <v>0.36768600000000001</v>
      </c>
      <c r="T50" s="2">
        <v>0.36991400000000002</v>
      </c>
      <c r="U50" s="2"/>
      <c r="V50" s="2">
        <v>0.38065599999999999</v>
      </c>
      <c r="W50" s="2">
        <v>0.38562000000000002</v>
      </c>
      <c r="X50" s="2">
        <v>0.38997599999999999</v>
      </c>
      <c r="Y50" s="3">
        <f t="shared" si="17"/>
        <v>1.2099362739006046E-2</v>
      </c>
      <c r="Z50" s="2">
        <f t="shared" si="11"/>
        <v>0.37614028571428565</v>
      </c>
      <c r="AA50" s="2">
        <f t="shared" si="12"/>
        <v>0.37600842857142858</v>
      </c>
      <c r="AB50" s="15">
        <f t="shared" si="8"/>
        <v>0.99964944690089053</v>
      </c>
      <c r="AC50" s="29">
        <f t="shared" si="13"/>
        <v>0.99273154501895999</v>
      </c>
      <c r="AD50" s="4" t="str">
        <f t="shared" si="18"/>
        <v>-</v>
      </c>
      <c r="AE50" s="2">
        <f t="shared" si="14"/>
        <v>77</v>
      </c>
      <c r="AF50" s="2">
        <f t="shared" si="15"/>
        <v>77</v>
      </c>
      <c r="AG50" s="2">
        <f t="shared" si="9"/>
        <v>0.99273154501895999</v>
      </c>
      <c r="AH50" s="29">
        <f t="shared" si="16"/>
        <v>0.99273154501895999</v>
      </c>
      <c r="AI50" s="4" t="str">
        <f t="shared" si="10"/>
        <v/>
      </c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2" t="s">
        <v>247</v>
      </c>
      <c r="AZ50" s="22" t="s">
        <v>248</v>
      </c>
      <c r="BA50" s="22" t="s">
        <v>249</v>
      </c>
    </row>
    <row r="51" spans="1:53" ht="27" customHeight="1" x14ac:dyDescent="0.2">
      <c r="A51" s="16" t="s">
        <v>12</v>
      </c>
      <c r="B51" s="2">
        <v>102</v>
      </c>
      <c r="C51" s="1" t="s">
        <v>58</v>
      </c>
      <c r="D51" s="1" t="s">
        <v>117</v>
      </c>
      <c r="E51" s="28">
        <v>14.865</v>
      </c>
      <c r="F51" s="2">
        <v>6.7970000000000001E-3</v>
      </c>
      <c r="G51" s="2">
        <v>7.4669999999999997E-3</v>
      </c>
      <c r="H51" s="2">
        <v>6.7210000000000004E-3</v>
      </c>
      <c r="I51" s="2">
        <v>1.2748000000000001E-2</v>
      </c>
      <c r="J51" s="2">
        <v>1.1061E-2</v>
      </c>
      <c r="K51" s="2">
        <v>1.1474E-2</v>
      </c>
      <c r="L51" s="2">
        <v>8.4349999999999998E-3</v>
      </c>
      <c r="M51" s="2"/>
      <c r="N51" s="2">
        <v>9.2049999999999996E-3</v>
      </c>
      <c r="O51" s="2">
        <v>1.1660999999999999E-2</v>
      </c>
      <c r="P51" s="2">
        <v>1.5646E-2</v>
      </c>
      <c r="Q51" s="2">
        <v>1.1335E-2</v>
      </c>
      <c r="R51" s="2">
        <v>1.2722000000000001E-2</v>
      </c>
      <c r="S51" s="2">
        <v>4.7109999999999999E-3</v>
      </c>
      <c r="T51" s="2">
        <v>1.2433E-2</v>
      </c>
      <c r="U51" s="2"/>
      <c r="V51" s="2">
        <v>1.0109999999999999E-2</v>
      </c>
      <c r="W51" s="2">
        <v>1.1374E-2</v>
      </c>
      <c r="X51" s="2">
        <v>1.0644000000000001E-2</v>
      </c>
      <c r="Y51" s="3">
        <f t="shared" si="17"/>
        <v>5.9249966929639714E-2</v>
      </c>
      <c r="Z51" s="2">
        <f t="shared" si="11"/>
        <v>9.2432857142857143E-3</v>
      </c>
      <c r="AA51" s="2">
        <f t="shared" si="12"/>
        <v>1.1101857142857144E-2</v>
      </c>
      <c r="AB51" s="15">
        <f t="shared" si="8"/>
        <v>1.2010725932336987</v>
      </c>
      <c r="AC51" s="29">
        <f t="shared" si="13"/>
        <v>0.26810556276940339</v>
      </c>
      <c r="AD51" s="4" t="str">
        <f t="shared" si="18"/>
        <v>-</v>
      </c>
      <c r="AE51" s="2">
        <f t="shared" si="14"/>
        <v>45</v>
      </c>
      <c r="AF51" s="2">
        <f t="shared" si="15"/>
        <v>45</v>
      </c>
      <c r="AG51" s="2">
        <f t="shared" si="9"/>
        <v>0.45875840740542362</v>
      </c>
      <c r="AH51" s="29">
        <f t="shared" si="16"/>
        <v>0.45371724170869504</v>
      </c>
      <c r="AI51" s="4" t="str">
        <f t="shared" si="10"/>
        <v/>
      </c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2" t="s">
        <v>250</v>
      </c>
      <c r="AZ51" s="22" t="s">
        <v>251</v>
      </c>
      <c r="BA51" s="22" t="s">
        <v>252</v>
      </c>
    </row>
    <row r="52" spans="1:53" ht="27" customHeight="1" x14ac:dyDescent="0.2">
      <c r="A52" s="16" t="s">
        <v>12</v>
      </c>
      <c r="B52" s="2">
        <v>104</v>
      </c>
      <c r="C52" s="1" t="s">
        <v>59</v>
      </c>
      <c r="D52" s="1" t="s">
        <v>117</v>
      </c>
      <c r="E52" s="28">
        <v>14.994999999999999</v>
      </c>
      <c r="F52" s="2">
        <v>9.8619999999999992E-3</v>
      </c>
      <c r="G52" s="2">
        <v>6.5579999999999996E-3</v>
      </c>
      <c r="H52" s="2">
        <v>3.3300000000000001E-3</v>
      </c>
      <c r="I52" s="2">
        <v>7.5420000000000001E-3</v>
      </c>
      <c r="J52" s="2">
        <v>7.6239999999999997E-3</v>
      </c>
      <c r="K52" s="2">
        <v>7.6930000000000002E-3</v>
      </c>
      <c r="L52" s="2">
        <v>6.9880000000000003E-3</v>
      </c>
      <c r="M52" s="2"/>
      <c r="N52" s="2">
        <v>1.0015E-2</v>
      </c>
      <c r="O52" s="2">
        <v>1.3772E-2</v>
      </c>
      <c r="P52" s="2">
        <v>6.0879999999999997E-3</v>
      </c>
      <c r="Q52" s="2">
        <v>7.2179999999999996E-3</v>
      </c>
      <c r="R52" s="2">
        <v>8.0739999999999996E-3</v>
      </c>
      <c r="S52" s="2">
        <v>6.6810000000000003E-3</v>
      </c>
      <c r="T52" s="2">
        <v>8.5299999999999994E-3</v>
      </c>
      <c r="U52" s="2"/>
      <c r="V52" s="2">
        <v>8.8859999999999998E-3</v>
      </c>
      <c r="W52" s="2">
        <v>8.7290000000000006E-3</v>
      </c>
      <c r="X52" s="2">
        <v>7.3879999999999996E-3</v>
      </c>
      <c r="Y52" s="3">
        <f t="shared" si="17"/>
        <v>9.8784105338906983E-2</v>
      </c>
      <c r="Z52" s="2">
        <f t="shared" si="11"/>
        <v>7.0852857142857132E-3</v>
      </c>
      <c r="AA52" s="2">
        <f t="shared" si="12"/>
        <v>8.6254285714285721E-3</v>
      </c>
      <c r="AB52" s="15">
        <f t="shared" si="8"/>
        <v>1.2173720184688592</v>
      </c>
      <c r="AC52" s="29">
        <f t="shared" si="13"/>
        <v>0.23744255249569257</v>
      </c>
      <c r="AD52" s="4" t="str">
        <f t="shared" si="18"/>
        <v>-</v>
      </c>
      <c r="AE52" s="2">
        <f t="shared" si="14"/>
        <v>42</v>
      </c>
      <c r="AF52" s="2">
        <f t="shared" si="15"/>
        <v>42</v>
      </c>
      <c r="AG52" s="2">
        <f t="shared" si="9"/>
        <v>0.43531134624210305</v>
      </c>
      <c r="AH52" s="29">
        <f t="shared" si="16"/>
        <v>0.42780664301586563</v>
      </c>
      <c r="AI52" s="4" t="str">
        <f t="shared" si="10"/>
        <v/>
      </c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2" t="s">
        <v>253</v>
      </c>
      <c r="AZ52" s="22" t="s">
        <v>254</v>
      </c>
      <c r="BA52" s="22" t="s">
        <v>255</v>
      </c>
    </row>
    <row r="53" spans="1:53" ht="27" customHeight="1" x14ac:dyDescent="0.2">
      <c r="A53" s="16" t="s">
        <v>12</v>
      </c>
      <c r="B53" s="2">
        <v>106</v>
      </c>
      <c r="C53" s="1" t="s">
        <v>60</v>
      </c>
      <c r="D53" s="1" t="s">
        <v>117</v>
      </c>
      <c r="E53" s="28">
        <v>15.013</v>
      </c>
      <c r="F53" s="2">
        <v>6.4349000000000003E-2</v>
      </c>
      <c r="G53" s="2">
        <v>4.5865999999999997E-2</v>
      </c>
      <c r="H53" s="2">
        <v>7.5619000000000006E-2</v>
      </c>
      <c r="I53" s="2">
        <v>7.9070000000000001E-2</v>
      </c>
      <c r="J53" s="2">
        <v>4.9717999999999998E-2</v>
      </c>
      <c r="K53" s="2">
        <v>4.6857999999999997E-2</v>
      </c>
      <c r="L53" s="2">
        <v>4.0128999999999998E-2</v>
      </c>
      <c r="M53" s="2"/>
      <c r="N53" s="2">
        <v>9.5615000000000006E-2</v>
      </c>
      <c r="O53" s="2">
        <v>0.14774899999999999</v>
      </c>
      <c r="P53" s="2">
        <v>0.118044</v>
      </c>
      <c r="Q53" s="2">
        <v>7.8544000000000003E-2</v>
      </c>
      <c r="R53" s="2">
        <v>6.2226999999999998E-2</v>
      </c>
      <c r="S53" s="2">
        <v>7.7433000000000002E-2</v>
      </c>
      <c r="T53" s="2">
        <v>7.7285000000000006E-2</v>
      </c>
      <c r="U53" s="2"/>
      <c r="V53" s="2">
        <v>7.7822000000000002E-2</v>
      </c>
      <c r="W53" s="2">
        <v>7.8855999999999996E-2</v>
      </c>
      <c r="X53" s="2">
        <v>7.5985999999999998E-2</v>
      </c>
      <c r="Y53" s="3">
        <f t="shared" si="17"/>
        <v>1.8742342164691565E-2</v>
      </c>
      <c r="Z53" s="2">
        <f t="shared" si="11"/>
        <v>5.7372714285714284E-2</v>
      </c>
      <c r="AA53" s="2">
        <f t="shared" si="12"/>
        <v>9.3842428571428577E-2</v>
      </c>
      <c r="AB53" s="15">
        <f t="shared" si="8"/>
        <v>1.6356630453998791</v>
      </c>
      <c r="AC53" s="29">
        <f t="shared" si="13"/>
        <v>1.7961194374966561E-2</v>
      </c>
      <c r="AD53" s="4" t="str">
        <f t="shared" si="18"/>
        <v>*</v>
      </c>
      <c r="AE53" s="2">
        <f t="shared" si="14"/>
        <v>18</v>
      </c>
      <c r="AF53" s="2">
        <f t="shared" si="15"/>
        <v>18</v>
      </c>
      <c r="AG53" s="2">
        <f t="shared" si="9"/>
        <v>7.6833998159579184E-2</v>
      </c>
      <c r="AH53" s="29">
        <f t="shared" si="16"/>
        <v>7.6833998159579184E-2</v>
      </c>
      <c r="AI53" s="4" t="str">
        <f t="shared" si="10"/>
        <v>*</v>
      </c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2" t="s">
        <v>256</v>
      </c>
      <c r="AZ53" s="22" t="s">
        <v>257</v>
      </c>
      <c r="BA53" s="22" t="s">
        <v>141</v>
      </c>
    </row>
    <row r="54" spans="1:53" ht="27" customHeight="1" x14ac:dyDescent="0.2">
      <c r="A54" s="16" t="s">
        <v>12</v>
      </c>
      <c r="B54" s="2">
        <v>107</v>
      </c>
      <c r="C54" s="1" t="s">
        <v>61</v>
      </c>
      <c r="D54" s="1" t="s">
        <v>117</v>
      </c>
      <c r="E54" s="28">
        <v>15.04</v>
      </c>
      <c r="F54" s="2">
        <v>9.1585E-2</v>
      </c>
      <c r="G54" s="2">
        <v>8.9878E-2</v>
      </c>
      <c r="H54" s="2">
        <v>0.10206800000000001</v>
      </c>
      <c r="I54" s="2">
        <v>0.103257</v>
      </c>
      <c r="J54" s="2">
        <v>8.6956000000000006E-2</v>
      </c>
      <c r="K54" s="2">
        <v>8.7538000000000005E-2</v>
      </c>
      <c r="L54" s="2">
        <v>9.2553999999999997E-2</v>
      </c>
      <c r="M54" s="2"/>
      <c r="N54" s="2">
        <v>0.114882</v>
      </c>
      <c r="O54" s="2">
        <v>0.10660500000000001</v>
      </c>
      <c r="P54" s="2">
        <v>0.111807</v>
      </c>
      <c r="Q54" s="2">
        <v>0.11118699999999999</v>
      </c>
      <c r="R54" s="2">
        <v>8.1736000000000003E-2</v>
      </c>
      <c r="S54" s="2">
        <v>0.12562899999999999</v>
      </c>
      <c r="T54" s="2">
        <v>0.10385900000000001</v>
      </c>
      <c r="U54" s="2"/>
      <c r="V54" s="2">
        <v>9.8515000000000005E-2</v>
      </c>
      <c r="W54" s="2">
        <v>0.105708</v>
      </c>
      <c r="X54" s="2">
        <v>0.108546</v>
      </c>
      <c r="Y54" s="3">
        <f t="shared" si="17"/>
        <v>4.9595660299016062E-2</v>
      </c>
      <c r="Z54" s="2">
        <f t="shared" si="11"/>
        <v>9.3405142857142853E-2</v>
      </c>
      <c r="AA54" s="2">
        <f t="shared" si="12"/>
        <v>0.10795785714285713</v>
      </c>
      <c r="AB54" s="15">
        <f t="shared" si="8"/>
        <v>1.1558020665732691</v>
      </c>
      <c r="AC54" s="29">
        <f t="shared" si="13"/>
        <v>3.1318600750289874E-2</v>
      </c>
      <c r="AD54" s="4" t="str">
        <f t="shared" si="18"/>
        <v>*</v>
      </c>
      <c r="AE54" s="2">
        <f t="shared" si="14"/>
        <v>21</v>
      </c>
      <c r="AF54" s="2">
        <f t="shared" si="15"/>
        <v>21</v>
      </c>
      <c r="AG54" s="2">
        <f t="shared" si="9"/>
        <v>0.11483486941772954</v>
      </c>
      <c r="AH54" s="29">
        <f t="shared" si="16"/>
        <v>0.11325790987725105</v>
      </c>
      <c r="AI54" s="4" t="str">
        <f t="shared" si="10"/>
        <v/>
      </c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2" t="s">
        <v>258</v>
      </c>
      <c r="AZ54" s="22" t="s">
        <v>259</v>
      </c>
      <c r="BA54" s="22" t="s">
        <v>260</v>
      </c>
    </row>
    <row r="55" spans="1:53" ht="27" customHeight="1" x14ac:dyDescent="0.2">
      <c r="A55" s="16" t="s">
        <v>12</v>
      </c>
      <c r="B55" s="2">
        <v>108</v>
      </c>
      <c r="C55" s="1" t="s">
        <v>62</v>
      </c>
      <c r="D55" s="1" t="s">
        <v>117</v>
      </c>
      <c r="E55" s="28">
        <v>15.084</v>
      </c>
      <c r="F55" s="2">
        <v>0.171763</v>
      </c>
      <c r="G55" s="2">
        <v>0.151619</v>
      </c>
      <c r="H55" s="2">
        <v>0.15448799999999999</v>
      </c>
      <c r="I55" s="2">
        <v>0.12918299999999999</v>
      </c>
      <c r="J55" s="2">
        <v>0.14056099999999999</v>
      </c>
      <c r="K55" s="2">
        <v>0.141594</v>
      </c>
      <c r="L55" s="2">
        <v>0.16242000000000001</v>
      </c>
      <c r="M55" s="2"/>
      <c r="N55" s="2">
        <v>0.15629699999999999</v>
      </c>
      <c r="O55" s="2">
        <v>0.15140899999999999</v>
      </c>
      <c r="P55" s="2">
        <v>0.16453799999999999</v>
      </c>
      <c r="Q55" s="2">
        <v>0.142066</v>
      </c>
      <c r="R55" s="2">
        <v>0.189417</v>
      </c>
      <c r="S55" s="2">
        <v>0.154332</v>
      </c>
      <c r="T55" s="2">
        <v>0.13100999999999999</v>
      </c>
      <c r="U55" s="2"/>
      <c r="V55" s="2">
        <v>0.13874600000000001</v>
      </c>
      <c r="W55" s="2">
        <v>0.15151999999999999</v>
      </c>
      <c r="X55" s="2">
        <v>0.191996</v>
      </c>
      <c r="Y55" s="3">
        <f t="shared" si="17"/>
        <v>0.1729351210298985</v>
      </c>
      <c r="Z55" s="2">
        <f t="shared" si="11"/>
        <v>0.15023257142857144</v>
      </c>
      <c r="AA55" s="2">
        <f t="shared" si="12"/>
        <v>0.15558128571428573</v>
      </c>
      <c r="AB55" s="15">
        <f t="shared" si="8"/>
        <v>1.0356028937989479</v>
      </c>
      <c r="AC55" s="29">
        <f t="shared" si="13"/>
        <v>0.55659025485731661</v>
      </c>
      <c r="AD55" s="4" t="str">
        <f t="shared" si="18"/>
        <v>-</v>
      </c>
      <c r="AE55" s="2">
        <f t="shared" si="14"/>
        <v>57</v>
      </c>
      <c r="AF55" s="2">
        <f t="shared" si="15"/>
        <v>57</v>
      </c>
      <c r="AG55" s="2">
        <f t="shared" si="9"/>
        <v>0.75188508112304175</v>
      </c>
      <c r="AH55" s="29">
        <f t="shared" si="16"/>
        <v>0.75188508112304175</v>
      </c>
      <c r="AI55" s="4" t="str">
        <f t="shared" si="10"/>
        <v/>
      </c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2" t="s">
        <v>261</v>
      </c>
      <c r="AZ55" s="22" t="s">
        <v>262</v>
      </c>
      <c r="BA55" s="22" t="s">
        <v>263</v>
      </c>
    </row>
    <row r="56" spans="1:53" ht="27" customHeight="1" x14ac:dyDescent="0.2">
      <c r="A56" s="16" t="s">
        <v>12</v>
      </c>
      <c r="B56" s="2">
        <v>117</v>
      </c>
      <c r="C56" s="1" t="s">
        <v>64</v>
      </c>
      <c r="D56" s="1" t="s">
        <v>117</v>
      </c>
      <c r="E56" s="28">
        <v>15.484</v>
      </c>
      <c r="F56" s="2">
        <v>4.4939999999999997E-3</v>
      </c>
      <c r="G56" s="2">
        <v>9.2910000000000006E-3</v>
      </c>
      <c r="H56" s="2">
        <v>1.0272E-2</v>
      </c>
      <c r="I56" s="2">
        <v>1.1783999999999999E-2</v>
      </c>
      <c r="J56" s="2">
        <v>1.702E-2</v>
      </c>
      <c r="K56" s="2">
        <v>1.5653E-2</v>
      </c>
      <c r="L56" s="2">
        <v>9.6089999999999995E-3</v>
      </c>
      <c r="M56" s="2"/>
      <c r="N56" s="2">
        <v>5.3099999999999996E-3</v>
      </c>
      <c r="O56" s="2">
        <v>1.8102E-2</v>
      </c>
      <c r="P56" s="2">
        <v>2.0341000000000001E-2</v>
      </c>
      <c r="Q56" s="2">
        <v>1.6336E-2</v>
      </c>
      <c r="R56" s="2">
        <v>8.4539999999999997E-3</v>
      </c>
      <c r="S56" s="2">
        <v>4.7419999999999997E-3</v>
      </c>
      <c r="T56" s="2">
        <v>1.0513E-2</v>
      </c>
      <c r="U56" s="2"/>
      <c r="V56" s="2">
        <v>1.1520000000000001E-2</v>
      </c>
      <c r="W56" s="2">
        <v>1.0947999999999999E-2</v>
      </c>
      <c r="X56" s="2">
        <v>1.1117E-2</v>
      </c>
      <c r="Y56" s="3">
        <f t="shared" si="17"/>
        <v>2.6250023978730753E-2</v>
      </c>
      <c r="Z56" s="2">
        <f t="shared" si="11"/>
        <v>1.1160428571428571E-2</v>
      </c>
      <c r="AA56" s="2">
        <f t="shared" si="12"/>
        <v>1.1971142857142857E-2</v>
      </c>
      <c r="AB56" s="15">
        <f t="shared" si="8"/>
        <v>1.0726418596316065</v>
      </c>
      <c r="AC56" s="29">
        <f t="shared" si="13"/>
        <v>0.78244669870131633</v>
      </c>
      <c r="AD56" s="4" t="str">
        <f t="shared" si="18"/>
        <v>-</v>
      </c>
      <c r="AE56" s="2">
        <f t="shared" si="14"/>
        <v>70</v>
      </c>
      <c r="AF56" s="2">
        <f t="shared" si="15"/>
        <v>70</v>
      </c>
      <c r="AG56" s="2">
        <f t="shared" si="9"/>
        <v>0.8606913685714479</v>
      </c>
      <c r="AH56" s="29">
        <f t="shared" si="16"/>
        <v>0.8606913685714479</v>
      </c>
      <c r="AI56" s="4" t="str">
        <f t="shared" si="10"/>
        <v/>
      </c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2" t="s">
        <v>216</v>
      </c>
      <c r="AZ56" s="22" t="s">
        <v>217</v>
      </c>
      <c r="BA56" s="22" t="s">
        <v>264</v>
      </c>
    </row>
    <row r="57" spans="1:53" ht="27" customHeight="1" x14ac:dyDescent="0.2">
      <c r="A57" s="16" t="s">
        <v>12</v>
      </c>
      <c r="B57" s="2">
        <v>121</v>
      </c>
      <c r="C57" s="1" t="s">
        <v>65</v>
      </c>
      <c r="D57" s="1" t="s">
        <v>117</v>
      </c>
      <c r="E57" s="28">
        <v>15.625999999999999</v>
      </c>
      <c r="F57" s="2">
        <v>6.4229999999999999E-3</v>
      </c>
      <c r="G57" s="2">
        <v>6.6740000000000002E-3</v>
      </c>
      <c r="H57" s="2">
        <v>6.2199999999999998E-3</v>
      </c>
      <c r="I57" s="2">
        <v>7.6410000000000002E-3</v>
      </c>
      <c r="J57" s="2">
        <v>1.9380000000000001E-2</v>
      </c>
      <c r="K57" s="2">
        <v>2.1277999999999998E-2</v>
      </c>
      <c r="L57" s="2">
        <v>7.2810000000000001E-3</v>
      </c>
      <c r="M57" s="2"/>
      <c r="N57" s="2">
        <v>5.6740000000000002E-3</v>
      </c>
      <c r="O57" s="2">
        <v>1.2573000000000001E-2</v>
      </c>
      <c r="P57" s="2">
        <v>7.7210000000000004E-3</v>
      </c>
      <c r="Q57" s="2">
        <v>1.1220000000000001E-2</v>
      </c>
      <c r="R57" s="2">
        <v>6.8199999999999997E-3</v>
      </c>
      <c r="S57" s="2">
        <v>5.3930000000000002E-3</v>
      </c>
      <c r="T57" s="2">
        <v>7.2030000000000002E-3</v>
      </c>
      <c r="U57" s="2"/>
      <c r="V57" s="2">
        <v>9.724E-3</v>
      </c>
      <c r="W57" s="2">
        <v>1.0897E-2</v>
      </c>
      <c r="X57" s="2">
        <v>1.0328E-2</v>
      </c>
      <c r="Y57" s="3">
        <f t="shared" si="17"/>
        <v>5.686002983380712E-2</v>
      </c>
      <c r="Z57" s="2">
        <f t="shared" si="11"/>
        <v>1.069957142857143E-2</v>
      </c>
      <c r="AA57" s="2">
        <f t="shared" si="12"/>
        <v>8.0862857142857143E-3</v>
      </c>
      <c r="AB57" s="15">
        <f t="shared" si="8"/>
        <v>0.75575790752633609</v>
      </c>
      <c r="AC57" s="29">
        <f t="shared" si="13"/>
        <v>0.36302554695234712</v>
      </c>
      <c r="AD57" s="4" t="str">
        <f t="shared" si="18"/>
        <v>-</v>
      </c>
      <c r="AE57" s="2">
        <f t="shared" si="14"/>
        <v>53</v>
      </c>
      <c r="AF57" s="2">
        <f t="shared" si="15"/>
        <v>53</v>
      </c>
      <c r="AG57" s="2">
        <f t="shared" si="9"/>
        <v>0.52741447387416474</v>
      </c>
      <c r="AH57" s="29">
        <f t="shared" si="16"/>
        <v>0.52741447387416474</v>
      </c>
      <c r="AI57" s="4" t="str">
        <f t="shared" si="10"/>
        <v/>
      </c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2" t="s">
        <v>265</v>
      </c>
      <c r="AZ57" s="22" t="s">
        <v>266</v>
      </c>
      <c r="BA57" s="22" t="s">
        <v>141</v>
      </c>
    </row>
    <row r="58" spans="1:53" ht="27" customHeight="1" x14ac:dyDescent="0.2">
      <c r="A58" s="16" t="s">
        <v>12</v>
      </c>
      <c r="B58" s="2">
        <v>125</v>
      </c>
      <c r="C58" s="1" t="s">
        <v>66</v>
      </c>
      <c r="D58" s="1" t="s">
        <v>117</v>
      </c>
      <c r="E58" s="28">
        <v>15.733000000000001</v>
      </c>
      <c r="F58" s="2">
        <v>6.1116999999999998E-2</v>
      </c>
      <c r="G58" s="2">
        <v>0.101643</v>
      </c>
      <c r="H58" s="2">
        <v>8.7248999999999993E-2</v>
      </c>
      <c r="I58" s="2">
        <v>0.118076</v>
      </c>
      <c r="J58" s="2">
        <v>0.46578000000000003</v>
      </c>
      <c r="K58" s="2">
        <v>0.53419099999999997</v>
      </c>
      <c r="L58" s="2">
        <v>9.9985000000000004E-2</v>
      </c>
      <c r="M58" s="2"/>
      <c r="N58" s="2">
        <v>6.5585000000000004E-2</v>
      </c>
      <c r="O58" s="2">
        <v>0.17879400000000001</v>
      </c>
      <c r="P58" s="2">
        <v>0.123585</v>
      </c>
      <c r="Q58" s="2">
        <v>0.14877699999999999</v>
      </c>
      <c r="R58" s="2">
        <v>8.2020999999999997E-2</v>
      </c>
      <c r="S58" s="2">
        <v>4.6781000000000003E-2</v>
      </c>
      <c r="T58" s="2">
        <v>0.110107</v>
      </c>
      <c r="U58" s="2"/>
      <c r="V58" s="2">
        <v>0.16397700000000001</v>
      </c>
      <c r="W58" s="2">
        <v>0.16858400000000001</v>
      </c>
      <c r="X58" s="2">
        <v>0.16872200000000001</v>
      </c>
      <c r="Y58" s="3">
        <f t="shared" si="17"/>
        <v>1.6161957313911193E-2</v>
      </c>
      <c r="Z58" s="2">
        <f t="shared" si="11"/>
        <v>0.20972014285714288</v>
      </c>
      <c r="AA58" s="2">
        <f t="shared" si="12"/>
        <v>0.10794999999999999</v>
      </c>
      <c r="AB58" s="15">
        <f t="shared" si="8"/>
        <v>0.51473358032915961</v>
      </c>
      <c r="AC58" s="29">
        <f t="shared" si="13"/>
        <v>0.23336026355175932</v>
      </c>
      <c r="AD58" s="4" t="str">
        <f t="shared" si="18"/>
        <v>-</v>
      </c>
      <c r="AE58" s="2">
        <f t="shared" si="14"/>
        <v>41</v>
      </c>
      <c r="AF58" s="2">
        <f t="shared" si="15"/>
        <v>41</v>
      </c>
      <c r="AG58" s="2">
        <f t="shared" si="9"/>
        <v>0.43826195837769433</v>
      </c>
      <c r="AH58" s="29">
        <f t="shared" si="16"/>
        <v>0.42780664301586563</v>
      </c>
      <c r="AI58" s="4" t="str">
        <f t="shared" si="10"/>
        <v/>
      </c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2" t="s">
        <v>267</v>
      </c>
      <c r="AZ58" s="22" t="s">
        <v>268</v>
      </c>
      <c r="BA58" s="22" t="s">
        <v>141</v>
      </c>
    </row>
    <row r="59" spans="1:53" ht="27" customHeight="1" x14ac:dyDescent="0.2">
      <c r="A59" s="16" t="s">
        <v>12</v>
      </c>
      <c r="B59" s="2">
        <v>130</v>
      </c>
      <c r="C59" s="1" t="s">
        <v>67</v>
      </c>
      <c r="D59" s="1" t="s">
        <v>117</v>
      </c>
      <c r="E59" s="28">
        <v>15.994</v>
      </c>
      <c r="F59" s="2">
        <v>0.30580600000000002</v>
      </c>
      <c r="G59" s="2">
        <v>0.23685400000000001</v>
      </c>
      <c r="H59" s="2">
        <v>0.22980800000000001</v>
      </c>
      <c r="I59" s="2">
        <v>0.17261899999999999</v>
      </c>
      <c r="J59" s="2">
        <v>0.19639000000000001</v>
      </c>
      <c r="K59" s="2">
        <v>0.18583</v>
      </c>
      <c r="L59" s="2">
        <v>0.31197999999999998</v>
      </c>
      <c r="M59" s="2"/>
      <c r="N59" s="2">
        <v>0.16703999999999999</v>
      </c>
      <c r="O59" s="2">
        <v>0.207262</v>
      </c>
      <c r="P59" s="2">
        <v>0.25902399999999998</v>
      </c>
      <c r="Q59" s="2">
        <v>0.153391</v>
      </c>
      <c r="R59" s="2">
        <v>0.15593099999999999</v>
      </c>
      <c r="S59" s="2">
        <v>0.26635500000000001</v>
      </c>
      <c r="T59" s="2">
        <v>0.19133500000000001</v>
      </c>
      <c r="U59" s="2"/>
      <c r="V59" s="2">
        <v>0.22323299999999999</v>
      </c>
      <c r="W59" s="2">
        <v>0.224747</v>
      </c>
      <c r="X59" s="2">
        <v>0.20957700000000001</v>
      </c>
      <c r="Y59" s="3">
        <f t="shared" si="17"/>
        <v>3.8121612002730822E-2</v>
      </c>
      <c r="Z59" s="2">
        <f t="shared" si="11"/>
        <v>0.23418385714285714</v>
      </c>
      <c r="AA59" s="2">
        <f t="shared" si="12"/>
        <v>0.20004828571428573</v>
      </c>
      <c r="AB59" s="15">
        <f t="shared" si="8"/>
        <v>0.854236018464125</v>
      </c>
      <c r="AC59" s="29">
        <f t="shared" si="13"/>
        <v>0.24042335422848843</v>
      </c>
      <c r="AD59" s="4" t="str">
        <f t="shared" si="18"/>
        <v>-</v>
      </c>
      <c r="AE59" s="2">
        <f t="shared" si="14"/>
        <v>43</v>
      </c>
      <c r="AF59" s="2">
        <f t="shared" si="15"/>
        <v>43</v>
      </c>
      <c r="AG59" s="2">
        <f t="shared" si="9"/>
        <v>0.43052554129287468</v>
      </c>
      <c r="AH59" s="29">
        <f t="shared" si="16"/>
        <v>0.42780664301586563</v>
      </c>
      <c r="AI59" s="4" t="str">
        <f t="shared" si="10"/>
        <v/>
      </c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2" t="s">
        <v>269</v>
      </c>
      <c r="AZ59" s="22" t="s">
        <v>270</v>
      </c>
      <c r="BA59" s="22" t="s">
        <v>271</v>
      </c>
    </row>
    <row r="60" spans="1:53" ht="27" customHeight="1" x14ac:dyDescent="0.2">
      <c r="A60" s="16" t="s">
        <v>12</v>
      </c>
      <c r="B60" s="2">
        <v>132</v>
      </c>
      <c r="C60" s="1" t="s">
        <v>68</v>
      </c>
      <c r="D60" s="1" t="s">
        <v>117</v>
      </c>
      <c r="E60" s="28">
        <v>16.001999999999999</v>
      </c>
      <c r="F60" s="2">
        <v>0.400812</v>
      </c>
      <c r="G60" s="2">
        <v>0.30013099999999998</v>
      </c>
      <c r="H60" s="2">
        <v>0.31997799999999998</v>
      </c>
      <c r="I60" s="2">
        <v>0.28420200000000001</v>
      </c>
      <c r="J60" s="2">
        <v>0.27573999999999999</v>
      </c>
      <c r="K60" s="2">
        <v>0.33982899999999999</v>
      </c>
      <c r="L60" s="2">
        <v>0.29946200000000001</v>
      </c>
      <c r="M60" s="2"/>
      <c r="N60" s="2">
        <v>0.26539299999999999</v>
      </c>
      <c r="O60" s="2">
        <v>0.18184500000000001</v>
      </c>
      <c r="P60" s="2">
        <v>0.26111299999999998</v>
      </c>
      <c r="Q60" s="2">
        <v>0.238952</v>
      </c>
      <c r="R60" s="2">
        <v>0.26149</v>
      </c>
      <c r="S60" s="2">
        <v>0.288101</v>
      </c>
      <c r="T60" s="2">
        <v>0.22734799999999999</v>
      </c>
      <c r="U60" s="2"/>
      <c r="V60" s="2">
        <v>0.28593800000000003</v>
      </c>
      <c r="W60" s="2">
        <v>0.29328500000000002</v>
      </c>
      <c r="X60" s="2">
        <v>0.28897</v>
      </c>
      <c r="Y60" s="3">
        <f t="shared" si="17"/>
        <v>1.275795895624984E-2</v>
      </c>
      <c r="Z60" s="2">
        <f t="shared" si="11"/>
        <v>0.31716485714285714</v>
      </c>
      <c r="AA60" s="2">
        <f t="shared" si="12"/>
        <v>0.24632028571428569</v>
      </c>
      <c r="AB60" s="15">
        <f t="shared" si="8"/>
        <v>0.77663171113355189</v>
      </c>
      <c r="AC60" s="29">
        <f t="shared" si="13"/>
        <v>5.4165191245322819E-3</v>
      </c>
      <c r="AD60" s="4" t="str">
        <f t="shared" si="18"/>
        <v>**</v>
      </c>
      <c r="AE60" s="2">
        <f t="shared" si="14"/>
        <v>15</v>
      </c>
      <c r="AF60" s="2">
        <f t="shared" si="15"/>
        <v>15</v>
      </c>
      <c r="AG60" s="2">
        <f t="shared" si="9"/>
        <v>2.7804798172599048E-2</v>
      </c>
      <c r="AH60" s="29">
        <f t="shared" si="16"/>
        <v>2.6208227133645821E-2</v>
      </c>
      <c r="AI60" s="4" t="str">
        <f t="shared" si="10"/>
        <v>**</v>
      </c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2" t="s">
        <v>272</v>
      </c>
      <c r="AZ60" s="22" t="s">
        <v>273</v>
      </c>
      <c r="BA60" s="22" t="s">
        <v>274</v>
      </c>
    </row>
    <row r="61" spans="1:53" ht="27" customHeight="1" x14ac:dyDescent="0.2">
      <c r="A61" s="16" t="s">
        <v>12</v>
      </c>
      <c r="B61" s="2">
        <v>135</v>
      </c>
      <c r="C61" s="1" t="s">
        <v>69</v>
      </c>
      <c r="D61" s="1" t="s">
        <v>117</v>
      </c>
      <c r="E61" s="28">
        <v>16.045000000000002</v>
      </c>
      <c r="F61" s="2">
        <v>1.0942E-2</v>
      </c>
      <c r="G61" s="2">
        <v>1.1592999999999999E-2</v>
      </c>
      <c r="H61" s="2">
        <v>1.0902999999999999E-2</v>
      </c>
      <c r="I61" s="2">
        <v>8.8240000000000002E-3</v>
      </c>
      <c r="J61" s="2">
        <v>1.2622E-2</v>
      </c>
      <c r="K61" s="2">
        <v>9.8259999999999997E-3</v>
      </c>
      <c r="L61" s="2">
        <v>1.1419E-2</v>
      </c>
      <c r="M61" s="2"/>
      <c r="N61" s="2">
        <v>1.8006000000000001E-2</v>
      </c>
      <c r="O61" s="2">
        <v>1.3651E-2</v>
      </c>
      <c r="P61" s="2">
        <v>1.8800000000000001E-2</v>
      </c>
      <c r="Q61" s="2">
        <v>1.6112000000000001E-2</v>
      </c>
      <c r="R61" s="2">
        <v>1.01E-2</v>
      </c>
      <c r="S61" s="2">
        <v>1.8832000000000002E-2</v>
      </c>
      <c r="T61" s="2">
        <v>1.5061E-2</v>
      </c>
      <c r="U61" s="2"/>
      <c r="V61" s="2">
        <v>1.3263E-2</v>
      </c>
      <c r="W61" s="2">
        <v>1.2304000000000001E-2</v>
      </c>
      <c r="X61" s="2">
        <v>1.1776E-2</v>
      </c>
      <c r="Y61" s="3">
        <f t="shared" si="17"/>
        <v>6.0560619126405375E-2</v>
      </c>
      <c r="Z61" s="2">
        <f t="shared" si="11"/>
        <v>1.0875571428571427E-2</v>
      </c>
      <c r="AA61" s="2">
        <f t="shared" si="12"/>
        <v>1.5794571428571429E-2</v>
      </c>
      <c r="AB61" s="15">
        <f t="shared" si="8"/>
        <v>1.4522980730076582</v>
      </c>
      <c r="AC61" s="29">
        <f t="shared" si="13"/>
        <v>5.4458653784199111E-3</v>
      </c>
      <c r="AD61" s="4" t="str">
        <f t="shared" si="18"/>
        <v>**</v>
      </c>
      <c r="AE61" s="2">
        <f t="shared" si="14"/>
        <v>16</v>
      </c>
      <c r="AF61" s="2">
        <f t="shared" si="15"/>
        <v>16</v>
      </c>
      <c r="AG61" s="2">
        <f t="shared" si="9"/>
        <v>2.6208227133645821E-2</v>
      </c>
      <c r="AH61" s="29">
        <f t="shared" si="16"/>
        <v>2.6208227133645821E-2</v>
      </c>
      <c r="AI61" s="4" t="str">
        <f t="shared" si="10"/>
        <v>**</v>
      </c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2" t="s">
        <v>244</v>
      </c>
      <c r="AZ61" s="22" t="s">
        <v>267</v>
      </c>
      <c r="BA61" s="22" t="s">
        <v>217</v>
      </c>
    </row>
    <row r="62" spans="1:53" ht="27" customHeight="1" x14ac:dyDescent="0.2">
      <c r="A62" s="16" t="s">
        <v>12</v>
      </c>
      <c r="B62" s="2">
        <v>136</v>
      </c>
      <c r="C62" s="1" t="s">
        <v>70</v>
      </c>
      <c r="D62" s="1" t="s">
        <v>117</v>
      </c>
      <c r="E62" s="28">
        <v>16.103999999999999</v>
      </c>
      <c r="F62" s="2">
        <v>1.957E-3</v>
      </c>
      <c r="G62" s="2">
        <v>2.117E-3</v>
      </c>
      <c r="H62" s="2">
        <v>3.372E-3</v>
      </c>
      <c r="I62" s="2">
        <v>2.8809999999999999E-3</v>
      </c>
      <c r="J62" s="2">
        <v>2.4599999999999999E-3</v>
      </c>
      <c r="K62" s="2">
        <v>2.6380000000000002E-3</v>
      </c>
      <c r="L62" s="2">
        <v>1.8129999999999999E-3</v>
      </c>
      <c r="M62" s="2"/>
      <c r="N62" s="2">
        <v>9.3430000000000006E-3</v>
      </c>
      <c r="O62" s="2">
        <v>7.4050000000000001E-3</v>
      </c>
      <c r="P62" s="2">
        <v>6.6150000000000002E-3</v>
      </c>
      <c r="Q62" s="2">
        <v>1.1056E-2</v>
      </c>
      <c r="R62" s="2">
        <v>8.4639999999999993E-3</v>
      </c>
      <c r="S62" s="2">
        <v>5.8019999999999999E-3</v>
      </c>
      <c r="T62" s="2">
        <v>1.0630000000000001E-2</v>
      </c>
      <c r="U62" s="2"/>
      <c r="V62" s="2">
        <v>4.9189999999999998E-3</v>
      </c>
      <c r="W62" s="2">
        <v>4.9789999999999999E-3</v>
      </c>
      <c r="X62" s="2">
        <v>5.4289999999999998E-3</v>
      </c>
      <c r="Y62" s="3">
        <f t="shared" si="17"/>
        <v>5.456003078788943E-2</v>
      </c>
      <c r="Z62" s="2">
        <f t="shared" si="11"/>
        <v>2.4625714285714286E-3</v>
      </c>
      <c r="AA62" s="2">
        <f t="shared" si="12"/>
        <v>8.4735714285714293E-3</v>
      </c>
      <c r="AB62" s="15">
        <f t="shared" si="8"/>
        <v>3.4409444251073213</v>
      </c>
      <c r="AC62" s="29">
        <f t="shared" si="13"/>
        <v>1.2426330705444646E-4</v>
      </c>
      <c r="AD62" s="4" t="str">
        <f t="shared" si="18"/>
        <v>***</v>
      </c>
      <c r="AE62" s="2">
        <f t="shared" si="14"/>
        <v>4</v>
      </c>
      <c r="AF62" s="2">
        <f t="shared" si="15"/>
        <v>4</v>
      </c>
      <c r="AG62" s="2">
        <f t="shared" si="9"/>
        <v>2.3920686607980944E-3</v>
      </c>
      <c r="AH62" s="29">
        <f t="shared" si="16"/>
        <v>2.3920686607980944E-3</v>
      </c>
      <c r="AI62" s="4" t="str">
        <f t="shared" si="10"/>
        <v>**</v>
      </c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2" t="s">
        <v>267</v>
      </c>
      <c r="AZ62" s="22" t="s">
        <v>268</v>
      </c>
      <c r="BA62" s="22" t="s">
        <v>275</v>
      </c>
    </row>
    <row r="63" spans="1:53" ht="27" customHeight="1" x14ac:dyDescent="0.2">
      <c r="A63" s="16" t="s">
        <v>12</v>
      </c>
      <c r="B63" s="2">
        <v>137</v>
      </c>
      <c r="C63" s="1" t="s">
        <v>71</v>
      </c>
      <c r="D63" s="1" t="s">
        <v>117</v>
      </c>
      <c r="E63" s="28">
        <v>16.146000000000001</v>
      </c>
      <c r="F63" s="2">
        <v>1.5920000000000001E-3</v>
      </c>
      <c r="G63" s="2">
        <v>1.3630000000000001E-3</v>
      </c>
      <c r="H63" s="2">
        <v>1.3799999999999999E-3</v>
      </c>
      <c r="I63" s="2">
        <v>1.323E-3</v>
      </c>
      <c r="J63" s="2">
        <v>1.9740000000000001E-3</v>
      </c>
      <c r="K63" s="2">
        <v>1.0120000000000001E-3</v>
      </c>
      <c r="L63" s="2">
        <v>1.513E-3</v>
      </c>
      <c r="M63" s="2"/>
      <c r="N63" s="2">
        <v>1.273E-3</v>
      </c>
      <c r="O63" s="2">
        <v>1.6379999999999999E-3</v>
      </c>
      <c r="P63" s="2">
        <v>1.916E-3</v>
      </c>
      <c r="Q63" s="2">
        <v>1.856E-3</v>
      </c>
      <c r="R63" s="2">
        <v>1.3450000000000001E-3</v>
      </c>
      <c r="S63" s="2">
        <v>1.4940000000000001E-3</v>
      </c>
      <c r="T63" s="2">
        <v>1.369E-3</v>
      </c>
      <c r="U63" s="2"/>
      <c r="V63" s="2">
        <v>1.2600000000000001E-3</v>
      </c>
      <c r="W63" s="2">
        <v>1.6800000000000001E-3</v>
      </c>
      <c r="X63" s="2">
        <v>1.5380000000000001E-3</v>
      </c>
      <c r="Y63" s="3">
        <f t="shared" si="17"/>
        <v>0.14312527265732178</v>
      </c>
      <c r="Z63" s="2">
        <f t="shared" si="11"/>
        <v>1.4510000000000002E-3</v>
      </c>
      <c r="AA63" s="2">
        <f t="shared" si="12"/>
        <v>1.5558571428571431E-3</v>
      </c>
      <c r="AB63" s="15">
        <f t="shared" si="8"/>
        <v>1.0722654327065078</v>
      </c>
      <c r="AC63" s="29">
        <f t="shared" si="13"/>
        <v>0.48987094456831448</v>
      </c>
      <c r="AD63" s="4" t="str">
        <f t="shared" si="18"/>
        <v>-</v>
      </c>
      <c r="AE63" s="2">
        <f t="shared" si="14"/>
        <v>54</v>
      </c>
      <c r="AF63" s="2">
        <f t="shared" si="15"/>
        <v>54</v>
      </c>
      <c r="AG63" s="2">
        <f t="shared" si="9"/>
        <v>0.69851968021778177</v>
      </c>
      <c r="AH63" s="29">
        <f t="shared" si="16"/>
        <v>0.68990664258894596</v>
      </c>
      <c r="AI63" s="4" t="str">
        <f t="shared" si="10"/>
        <v/>
      </c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2" t="s">
        <v>217</v>
      </c>
      <c r="AZ63" s="22" t="s">
        <v>267</v>
      </c>
      <c r="BA63" s="22" t="s">
        <v>244</v>
      </c>
    </row>
    <row r="64" spans="1:53" ht="27" customHeight="1" x14ac:dyDescent="0.2">
      <c r="A64" s="16" t="s">
        <v>12</v>
      </c>
      <c r="B64" s="2">
        <v>138</v>
      </c>
      <c r="C64" s="1" t="s">
        <v>72</v>
      </c>
      <c r="D64" s="1" t="s">
        <v>117</v>
      </c>
      <c r="E64" s="28">
        <v>16.163</v>
      </c>
      <c r="F64" s="2">
        <v>0.303427</v>
      </c>
      <c r="G64" s="2">
        <v>0.27679900000000002</v>
      </c>
      <c r="H64" s="2">
        <v>0.42681000000000002</v>
      </c>
      <c r="I64" s="2">
        <v>0.190668</v>
      </c>
      <c r="J64" s="2">
        <v>0.16631399999999999</v>
      </c>
      <c r="K64" s="2">
        <v>0.18382399999999999</v>
      </c>
      <c r="L64" s="2">
        <v>0.214944</v>
      </c>
      <c r="M64" s="2"/>
      <c r="N64" s="2">
        <v>0.26406600000000002</v>
      </c>
      <c r="O64" s="2">
        <v>0.29512100000000002</v>
      </c>
      <c r="P64" s="2">
        <v>0.32259900000000002</v>
      </c>
      <c r="Q64" s="2">
        <v>0.25127300000000002</v>
      </c>
      <c r="R64" s="2">
        <v>0.15657499999999999</v>
      </c>
      <c r="S64" s="2">
        <v>0.18720400000000001</v>
      </c>
      <c r="T64" s="2">
        <v>0.17209199999999999</v>
      </c>
      <c r="U64" s="2"/>
      <c r="V64" s="2">
        <v>0.24284700000000001</v>
      </c>
      <c r="W64" s="2">
        <v>0.25042500000000001</v>
      </c>
      <c r="X64" s="2">
        <v>0.24201300000000001</v>
      </c>
      <c r="Y64" s="3">
        <f t="shared" si="17"/>
        <v>1.8909863261569258E-2</v>
      </c>
      <c r="Z64" s="2">
        <f t="shared" si="11"/>
        <v>0.25182657142857146</v>
      </c>
      <c r="AA64" s="2">
        <f t="shared" si="12"/>
        <v>0.23556142857142856</v>
      </c>
      <c r="AB64" s="15">
        <f t="shared" si="8"/>
        <v>0.93541133183494751</v>
      </c>
      <c r="AC64" s="29">
        <f t="shared" si="13"/>
        <v>0.7091743178410419</v>
      </c>
      <c r="AD64" s="4" t="str">
        <f t="shared" si="18"/>
        <v>-</v>
      </c>
      <c r="AE64" s="2">
        <f t="shared" si="14"/>
        <v>65</v>
      </c>
      <c r="AF64" s="2">
        <f t="shared" si="15"/>
        <v>65</v>
      </c>
      <c r="AG64" s="2">
        <f t="shared" si="9"/>
        <v>0.84009880728861885</v>
      </c>
      <c r="AH64" s="29">
        <f t="shared" si="16"/>
        <v>0.84009880728861885</v>
      </c>
      <c r="AI64" s="4" t="str">
        <f t="shared" si="10"/>
        <v/>
      </c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2" t="s">
        <v>260</v>
      </c>
      <c r="AZ64" s="22" t="s">
        <v>276</v>
      </c>
      <c r="BA64" s="22" t="s">
        <v>277</v>
      </c>
    </row>
    <row r="65" spans="1:53" ht="27" customHeight="1" x14ac:dyDescent="0.2">
      <c r="A65" s="16" t="s">
        <v>12</v>
      </c>
      <c r="B65" s="2">
        <v>140</v>
      </c>
      <c r="C65" s="1" t="s">
        <v>73</v>
      </c>
      <c r="D65" s="1" t="s">
        <v>117</v>
      </c>
      <c r="E65" s="28">
        <v>16.196999999999999</v>
      </c>
      <c r="F65" s="2">
        <v>5.1720000000000004E-3</v>
      </c>
      <c r="G65" s="2">
        <v>7.6239999999999997E-3</v>
      </c>
      <c r="H65" s="2">
        <v>9.8480000000000009E-3</v>
      </c>
      <c r="I65" s="2">
        <v>5.7910000000000001E-3</v>
      </c>
      <c r="J65" s="2">
        <v>4.594E-3</v>
      </c>
      <c r="K65" s="2">
        <v>6.1650000000000003E-3</v>
      </c>
      <c r="L65" s="2">
        <v>4.1910000000000003E-3</v>
      </c>
      <c r="M65" s="2"/>
      <c r="N65" s="2">
        <v>1.1511E-2</v>
      </c>
      <c r="O65" s="2">
        <v>1.0293999999999999E-2</v>
      </c>
      <c r="P65" s="2">
        <v>9.1149999999999998E-3</v>
      </c>
      <c r="Q65" s="2">
        <v>1.5162999999999999E-2</v>
      </c>
      <c r="R65" s="2">
        <v>1.1165E-2</v>
      </c>
      <c r="S65" s="2">
        <v>1.2427000000000001E-2</v>
      </c>
      <c r="T65" s="2">
        <v>1.1091E-2</v>
      </c>
      <c r="U65" s="2"/>
      <c r="V65" s="2">
        <v>1.0114E-2</v>
      </c>
      <c r="W65" s="2">
        <v>1.2338999999999999E-2</v>
      </c>
      <c r="X65" s="2">
        <v>1.0559000000000001E-2</v>
      </c>
      <c r="Y65" s="3">
        <f t="shared" si="17"/>
        <v>0.1069937598531209</v>
      </c>
      <c r="Z65" s="2">
        <f t="shared" si="11"/>
        <v>6.1978571428571438E-3</v>
      </c>
      <c r="AA65" s="2">
        <f t="shared" si="12"/>
        <v>1.1538000000000001E-2</v>
      </c>
      <c r="AB65" s="15">
        <f t="shared" si="8"/>
        <v>1.8616111559294686</v>
      </c>
      <c r="AC65" s="29">
        <f t="shared" si="13"/>
        <v>2.3521390166498073E-4</v>
      </c>
      <c r="AD65" s="4" t="str">
        <f t="shared" si="18"/>
        <v>***</v>
      </c>
      <c r="AE65" s="2">
        <f t="shared" si="14"/>
        <v>6</v>
      </c>
      <c r="AF65" s="2">
        <f t="shared" si="15"/>
        <v>6</v>
      </c>
      <c r="AG65" s="2">
        <f t="shared" si="9"/>
        <v>3.018578404700586E-3</v>
      </c>
      <c r="AH65" s="29">
        <f t="shared" si="16"/>
        <v>2.9644400132763215E-3</v>
      </c>
      <c r="AI65" s="4" t="str">
        <f t="shared" si="10"/>
        <v>**</v>
      </c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2" t="s">
        <v>278</v>
      </c>
      <c r="AZ65" s="22" t="s">
        <v>279</v>
      </c>
      <c r="BA65" s="22" t="s">
        <v>280</v>
      </c>
    </row>
    <row r="66" spans="1:53" ht="27" customHeight="1" x14ac:dyDescent="0.2">
      <c r="A66" s="16" t="s">
        <v>12</v>
      </c>
      <c r="B66" s="2">
        <v>146</v>
      </c>
      <c r="C66" s="1" t="s">
        <v>74</v>
      </c>
      <c r="D66" s="1" t="s">
        <v>117</v>
      </c>
      <c r="E66" s="28">
        <v>16.777000000000001</v>
      </c>
      <c r="F66" s="2">
        <v>5.9330000000000001E-2</v>
      </c>
      <c r="G66" s="2">
        <v>5.3022E-2</v>
      </c>
      <c r="H66" s="2">
        <v>6.2361E-2</v>
      </c>
      <c r="I66" s="2">
        <v>5.8299999999999998E-2</v>
      </c>
      <c r="J66" s="2">
        <v>5.015E-2</v>
      </c>
      <c r="K66" s="2">
        <v>4.9174000000000002E-2</v>
      </c>
      <c r="L66" s="2">
        <v>5.2760000000000001E-2</v>
      </c>
      <c r="M66" s="2"/>
      <c r="N66" s="2">
        <v>6.6880999999999996E-2</v>
      </c>
      <c r="O66" s="2">
        <v>6.3571000000000003E-2</v>
      </c>
      <c r="P66" s="2">
        <v>6.2773999999999996E-2</v>
      </c>
      <c r="Q66" s="2">
        <v>6.8805000000000005E-2</v>
      </c>
      <c r="R66" s="2">
        <v>5.4274000000000003E-2</v>
      </c>
      <c r="S66" s="2">
        <v>6.6572000000000006E-2</v>
      </c>
      <c r="T66" s="2">
        <v>5.0876999999999999E-2</v>
      </c>
      <c r="U66" s="2"/>
      <c r="V66" s="2">
        <v>6.2244000000000001E-2</v>
      </c>
      <c r="W66" s="2">
        <v>5.7260999999999999E-2</v>
      </c>
      <c r="X66" s="2">
        <v>5.9052E-2</v>
      </c>
      <c r="Y66" s="3">
        <f t="shared" si="17"/>
        <v>4.2408500257977273E-2</v>
      </c>
      <c r="Z66" s="2">
        <f t="shared" si="11"/>
        <v>5.5013857142857149E-2</v>
      </c>
      <c r="AA66" s="2">
        <f t="shared" si="12"/>
        <v>6.1964857142857148E-2</v>
      </c>
      <c r="AB66" s="15">
        <f t="shared" si="8"/>
        <v>1.1263499845493472</v>
      </c>
      <c r="AC66" s="29">
        <f t="shared" si="13"/>
        <v>5.1980345460381536E-2</v>
      </c>
      <c r="AD66" s="4" t="str">
        <f t="shared" si="18"/>
        <v>-</v>
      </c>
      <c r="AE66" s="2">
        <f t="shared" si="14"/>
        <v>26</v>
      </c>
      <c r="AF66" s="2">
        <f t="shared" si="15"/>
        <v>26</v>
      </c>
      <c r="AG66" s="2">
        <f t="shared" si="9"/>
        <v>0.1539417923249761</v>
      </c>
      <c r="AH66" s="29">
        <f t="shared" si="16"/>
        <v>0.15057657629735324</v>
      </c>
      <c r="AI66" s="4" t="str">
        <f t="shared" si="10"/>
        <v/>
      </c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2" t="s">
        <v>281</v>
      </c>
      <c r="AZ66" s="22" t="s">
        <v>282</v>
      </c>
      <c r="BA66" s="22" t="s">
        <v>283</v>
      </c>
    </row>
    <row r="67" spans="1:53" ht="27" customHeight="1" x14ac:dyDescent="0.2">
      <c r="A67" s="16" t="s">
        <v>12</v>
      </c>
      <c r="B67" s="2">
        <v>155</v>
      </c>
      <c r="C67" s="1" t="s">
        <v>75</v>
      </c>
      <c r="D67" s="1" t="s">
        <v>117</v>
      </c>
      <c r="E67" s="28">
        <v>17.39</v>
      </c>
      <c r="F67" s="2">
        <v>1.5171E-2</v>
      </c>
      <c r="G67" s="2">
        <v>1.8245999999999998E-2</v>
      </c>
      <c r="H67" s="2">
        <v>1.0488000000000001E-2</v>
      </c>
      <c r="I67" s="2">
        <v>1.3278999999999999E-2</v>
      </c>
      <c r="J67" s="2">
        <v>1.3077E-2</v>
      </c>
      <c r="K67" s="2">
        <v>1.4933E-2</v>
      </c>
      <c r="L67" s="2">
        <v>1.337E-2</v>
      </c>
      <c r="M67" s="2"/>
      <c r="N67" s="2">
        <v>2.4598999999999999E-2</v>
      </c>
      <c r="O67" s="2">
        <v>2.4573000000000001E-2</v>
      </c>
      <c r="P67" s="2">
        <v>2.1902000000000001E-2</v>
      </c>
      <c r="Q67" s="2">
        <v>2.3331999999999999E-2</v>
      </c>
      <c r="R67" s="2">
        <v>1.8717999999999999E-2</v>
      </c>
      <c r="S67" s="2">
        <v>1.8211999999999999E-2</v>
      </c>
      <c r="T67" s="2">
        <v>1.5719E-2</v>
      </c>
      <c r="U67" s="2"/>
      <c r="V67" s="2">
        <v>1.6899999999999998E-2</v>
      </c>
      <c r="W67" s="2">
        <v>1.6271000000000001E-2</v>
      </c>
      <c r="X67" s="2">
        <v>1.856E-2</v>
      </c>
      <c r="Y67" s="3">
        <f t="shared" si="17"/>
        <v>6.8579680446179819E-2</v>
      </c>
      <c r="Z67" s="2">
        <f t="shared" si="11"/>
        <v>1.408057142857143E-2</v>
      </c>
      <c r="AA67" s="2">
        <f t="shared" si="12"/>
        <v>2.1007857142857141E-2</v>
      </c>
      <c r="AB67" s="15">
        <f t="shared" si="8"/>
        <v>1.4919747575179576</v>
      </c>
      <c r="AC67" s="29">
        <f t="shared" si="13"/>
        <v>1.279425763729257E-3</v>
      </c>
      <c r="AD67" s="4" t="str">
        <f t="shared" si="18"/>
        <v>**</v>
      </c>
      <c r="AE67" s="2">
        <f t="shared" si="14"/>
        <v>13</v>
      </c>
      <c r="AF67" s="2">
        <f t="shared" si="15"/>
        <v>13</v>
      </c>
      <c r="AG67" s="2">
        <f t="shared" si="9"/>
        <v>7.5781372159348295E-3</v>
      </c>
      <c r="AH67" s="29">
        <f t="shared" si="16"/>
        <v>7.5781372159348295E-3</v>
      </c>
      <c r="AI67" s="4" t="str">
        <f t="shared" si="10"/>
        <v>**</v>
      </c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2" t="s">
        <v>284</v>
      </c>
      <c r="AZ67" s="22" t="s">
        <v>285</v>
      </c>
      <c r="BA67" s="22" t="s">
        <v>286</v>
      </c>
    </row>
    <row r="68" spans="1:53" ht="27" customHeight="1" x14ac:dyDescent="0.2">
      <c r="A68" s="16" t="s">
        <v>12</v>
      </c>
      <c r="B68" s="2">
        <v>156</v>
      </c>
      <c r="C68" s="1" t="s">
        <v>76</v>
      </c>
      <c r="D68" s="1" t="s">
        <v>117</v>
      </c>
      <c r="E68" s="28">
        <v>17.422000000000001</v>
      </c>
      <c r="F68" s="2">
        <v>1.9151999999999999E-2</v>
      </c>
      <c r="G68" s="2">
        <v>1.5968E-2</v>
      </c>
      <c r="H68" s="2">
        <v>1.5228999999999999E-2</v>
      </c>
      <c r="I68" s="2">
        <v>1.2753E-2</v>
      </c>
      <c r="J68" s="2">
        <v>1.7284999999999998E-2</v>
      </c>
      <c r="K68" s="2">
        <v>1.4645999999999999E-2</v>
      </c>
      <c r="L68" s="2">
        <v>1.6885000000000001E-2</v>
      </c>
      <c r="M68" s="2"/>
      <c r="N68" s="2">
        <v>1.9269999999999999E-2</v>
      </c>
      <c r="O68" s="2">
        <v>1.3465E-2</v>
      </c>
      <c r="P68" s="2">
        <v>7.7650000000000002E-3</v>
      </c>
      <c r="Q68" s="2">
        <v>1.9845999999999999E-2</v>
      </c>
      <c r="R68" s="2">
        <v>1.434E-2</v>
      </c>
      <c r="S68" s="2">
        <v>2.0142E-2</v>
      </c>
      <c r="T68" s="2">
        <v>1.3551000000000001E-2</v>
      </c>
      <c r="U68" s="2"/>
      <c r="V68" s="2">
        <v>1.5862000000000001E-2</v>
      </c>
      <c r="W68" s="2">
        <v>1.7916000000000001E-2</v>
      </c>
      <c r="X68" s="2">
        <v>1.7548999999999999E-2</v>
      </c>
      <c r="Y68" s="3">
        <f t="shared" si="17"/>
        <v>6.402552502267693E-2</v>
      </c>
      <c r="Z68" s="2">
        <f t="shared" ref="Z68:Z80" si="19">AVERAGE(F68:L68)</f>
        <v>1.5988285714285712E-2</v>
      </c>
      <c r="AA68" s="2">
        <f t="shared" ref="AA68:AA80" si="20">AVERAGE(N68:T68)</f>
        <v>1.5482714285714285E-2</v>
      </c>
      <c r="AB68" s="15">
        <f t="shared" si="8"/>
        <v>0.96837863435729743</v>
      </c>
      <c r="AC68" s="29">
        <f t="shared" ref="AC68:AC80" si="21">TTEST(F68:L68,N68:T68,2,3)</f>
        <v>0.79495186646577953</v>
      </c>
      <c r="AD68" s="4" t="str">
        <f t="shared" si="18"/>
        <v>-</v>
      </c>
      <c r="AE68" s="2">
        <f t="shared" ref="AE68:AE80" si="22">_xlfn.RANK.EQ(AC68,$AC$4:$AC$80,1)</f>
        <v>71</v>
      </c>
      <c r="AF68" s="2">
        <f t="shared" ref="AF68:AF80" si="23">COUNTIF($AE$4:$AE$80,AE68)+AE68-1</f>
        <v>71</v>
      </c>
      <c r="AG68" s="2">
        <f t="shared" si="9"/>
        <v>0.86213089743471871</v>
      </c>
      <c r="AH68" s="29">
        <f t="shared" ref="AH68:AH80" si="24">MIN(AG68,IFERROR(VLOOKUP(AF68+1,$AF$4:$AH$80,3,FALSE),1))</f>
        <v>0.86213089743471871</v>
      </c>
      <c r="AI68" s="4" t="str">
        <f t="shared" si="10"/>
        <v/>
      </c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2" t="s">
        <v>287</v>
      </c>
      <c r="AZ68" s="22" t="s">
        <v>250</v>
      </c>
      <c r="BA68" s="22" t="s">
        <v>288</v>
      </c>
    </row>
    <row r="69" spans="1:53" ht="27" customHeight="1" x14ac:dyDescent="0.2">
      <c r="A69" s="16" t="s">
        <v>12</v>
      </c>
      <c r="B69" s="2">
        <v>158</v>
      </c>
      <c r="C69" s="1" t="s">
        <v>77</v>
      </c>
      <c r="D69" s="1" t="s">
        <v>117</v>
      </c>
      <c r="E69" s="28">
        <v>17.43</v>
      </c>
      <c r="F69" s="2">
        <v>0.32574199999999998</v>
      </c>
      <c r="G69" s="2">
        <v>0.28308100000000003</v>
      </c>
      <c r="H69" s="2">
        <v>0.32220799999999999</v>
      </c>
      <c r="I69" s="2">
        <v>0.399169</v>
      </c>
      <c r="J69" s="2">
        <v>0.36424400000000001</v>
      </c>
      <c r="K69" s="2">
        <v>0.36447600000000002</v>
      </c>
      <c r="L69" s="2">
        <v>0.316608</v>
      </c>
      <c r="M69" s="2"/>
      <c r="N69" s="2">
        <v>0.40650199999999997</v>
      </c>
      <c r="O69" s="2">
        <v>0.327042</v>
      </c>
      <c r="P69" s="2">
        <v>0.56918299999999999</v>
      </c>
      <c r="Q69" s="2">
        <v>0.40097699999999997</v>
      </c>
      <c r="R69" s="2">
        <v>0.30500699999999997</v>
      </c>
      <c r="S69" s="2">
        <v>0.43302299999999999</v>
      </c>
      <c r="T69" s="2">
        <v>0.43379499999999999</v>
      </c>
      <c r="U69" s="2"/>
      <c r="V69" s="2">
        <v>0.39498100000000003</v>
      </c>
      <c r="W69" s="2">
        <v>0.38760899999999998</v>
      </c>
      <c r="X69" s="2">
        <v>0.39033699999999999</v>
      </c>
      <c r="Y69" s="3">
        <f t="shared" si="17"/>
        <v>9.5332447908914562E-3</v>
      </c>
      <c r="Z69" s="2">
        <f t="shared" si="19"/>
        <v>0.33936114285714286</v>
      </c>
      <c r="AA69" s="2">
        <f t="shared" si="20"/>
        <v>0.4107898571428571</v>
      </c>
      <c r="AB69" s="15">
        <f t="shared" ref="AB69:AB80" si="25">AA69/Z69</f>
        <v>1.2104799438272247</v>
      </c>
      <c r="AC69" s="29">
        <f t="shared" si="21"/>
        <v>7.8743118979051743E-2</v>
      </c>
      <c r="AD69" s="4" t="str">
        <f t="shared" si="18"/>
        <v>-</v>
      </c>
      <c r="AE69" s="2">
        <f t="shared" si="22"/>
        <v>31</v>
      </c>
      <c r="AF69" s="2">
        <f t="shared" si="23"/>
        <v>31</v>
      </c>
      <c r="AG69" s="2">
        <f t="shared" ref="AG69:AG80" si="26">MIN(AC69*$AF$3/AF69,1)</f>
        <v>0.19558774714151561</v>
      </c>
      <c r="AH69" s="29">
        <f t="shared" si="24"/>
        <v>0.19217590279205002</v>
      </c>
      <c r="AI69" s="4" t="str">
        <f t="shared" ref="AI69:AI80" si="27">IF(AH69&lt;0.05,"**",IF(AH69&lt;0.1,"*",""))</f>
        <v/>
      </c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2" t="s">
        <v>289</v>
      </c>
      <c r="AZ69" s="22" t="s">
        <v>290</v>
      </c>
      <c r="BA69" s="22" t="s">
        <v>291</v>
      </c>
    </row>
    <row r="70" spans="1:53" ht="27" customHeight="1" x14ac:dyDescent="0.2">
      <c r="A70" s="16" t="s">
        <v>12</v>
      </c>
      <c r="B70" s="2">
        <v>174</v>
      </c>
      <c r="C70" s="1" t="s">
        <v>78</v>
      </c>
      <c r="D70" s="1" t="s">
        <v>117</v>
      </c>
      <c r="E70" s="28">
        <v>18.448</v>
      </c>
      <c r="F70" s="2">
        <v>4.1487999999999997E-2</v>
      </c>
      <c r="G70" s="2">
        <v>3.5535999999999998E-2</v>
      </c>
      <c r="H70" s="2">
        <v>4.6344999999999997E-2</v>
      </c>
      <c r="I70" s="2">
        <v>4.3464000000000003E-2</v>
      </c>
      <c r="J70" s="2">
        <v>3.9099000000000002E-2</v>
      </c>
      <c r="K70" s="2">
        <v>3.2598000000000002E-2</v>
      </c>
      <c r="L70" s="2">
        <v>4.0078000000000003E-2</v>
      </c>
      <c r="M70" s="2"/>
      <c r="N70" s="2">
        <v>4.6196000000000001E-2</v>
      </c>
      <c r="O70" s="2">
        <v>4.2548999999999997E-2</v>
      </c>
      <c r="P70" s="2">
        <v>4.7979000000000001E-2</v>
      </c>
      <c r="Q70" s="2">
        <v>4.6878999999999997E-2</v>
      </c>
      <c r="R70" s="2">
        <v>3.5068000000000002E-2</v>
      </c>
      <c r="S70" s="2">
        <v>5.7770000000000002E-2</v>
      </c>
      <c r="T70" s="2">
        <v>5.0623000000000001E-2</v>
      </c>
      <c r="U70" s="2"/>
      <c r="V70" s="2">
        <v>4.1945000000000003E-2</v>
      </c>
      <c r="W70" s="2">
        <v>4.2403000000000003E-2</v>
      </c>
      <c r="X70" s="2">
        <v>4.1702999999999997E-2</v>
      </c>
      <c r="Y70" s="3">
        <f t="shared" ref="Y70:Y80" si="28">IFERROR(STDEV(V70:X70)/AVERAGE(V70:X70),0)</f>
        <v>8.461120498216148E-3</v>
      </c>
      <c r="Z70" s="2">
        <f t="shared" si="19"/>
        <v>3.9801142857142861E-2</v>
      </c>
      <c r="AA70" s="2">
        <f t="shared" si="20"/>
        <v>4.6723428571428575E-2</v>
      </c>
      <c r="AB70" s="15">
        <f t="shared" si="25"/>
        <v>1.173921782576236</v>
      </c>
      <c r="AC70" s="29">
        <f t="shared" si="21"/>
        <v>5.2799578701669327E-2</v>
      </c>
      <c r="AD70" s="4" t="str">
        <f t="shared" ref="AD70:AD80" si="29">IF(AC70&lt;0.001,"***",IF(AC70&lt;0.01,"**",IF(AC70&lt;0.05,"*","-")))</f>
        <v>-</v>
      </c>
      <c r="AE70" s="2">
        <f t="shared" si="22"/>
        <v>27</v>
      </c>
      <c r="AF70" s="2">
        <f t="shared" si="23"/>
        <v>27</v>
      </c>
      <c r="AG70" s="2">
        <f t="shared" si="26"/>
        <v>0.15057657629735324</v>
      </c>
      <c r="AH70" s="29">
        <f t="shared" si="24"/>
        <v>0.15057657629735324</v>
      </c>
      <c r="AI70" s="4" t="str">
        <f t="shared" si="27"/>
        <v/>
      </c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2" t="s">
        <v>205</v>
      </c>
      <c r="AZ70" s="22" t="s">
        <v>292</v>
      </c>
      <c r="BA70" s="22" t="s">
        <v>293</v>
      </c>
    </row>
    <row r="71" spans="1:53" ht="27" customHeight="1" x14ac:dyDescent="0.2">
      <c r="A71" s="16" t="s">
        <v>12</v>
      </c>
      <c r="B71" s="2">
        <v>181</v>
      </c>
      <c r="C71" s="1" t="s">
        <v>79</v>
      </c>
      <c r="D71" s="1" t="s">
        <v>117</v>
      </c>
      <c r="E71" s="28">
        <v>18.943000000000001</v>
      </c>
      <c r="F71" s="2">
        <v>1.4583E-2</v>
      </c>
      <c r="G71" s="2">
        <v>2.5616E-2</v>
      </c>
      <c r="H71" s="2">
        <v>9.9839999999999998E-3</v>
      </c>
      <c r="I71" s="2">
        <v>1.6271000000000001E-2</v>
      </c>
      <c r="J71" s="2">
        <v>8.2713999999999996E-2</v>
      </c>
      <c r="K71" s="2">
        <v>6.2571000000000002E-2</v>
      </c>
      <c r="L71" s="2">
        <v>6.1317999999999998E-2</v>
      </c>
      <c r="M71" s="2"/>
      <c r="N71" s="2">
        <v>4.4790000000000003E-3</v>
      </c>
      <c r="O71" s="2">
        <v>2.5086000000000001E-2</v>
      </c>
      <c r="P71" s="2">
        <v>2.1802999999999999E-2</v>
      </c>
      <c r="Q71" s="2">
        <v>3.8057000000000001E-2</v>
      </c>
      <c r="R71" s="2">
        <v>6.5115000000000006E-2</v>
      </c>
      <c r="S71" s="2">
        <v>2.261E-3</v>
      </c>
      <c r="T71" s="2">
        <v>1.0134000000000001E-2</v>
      </c>
      <c r="U71" s="2"/>
      <c r="V71" s="2">
        <v>3.1827000000000001E-2</v>
      </c>
      <c r="W71" s="2">
        <v>3.0792E-2</v>
      </c>
      <c r="X71" s="2">
        <v>3.0120999999999998E-2</v>
      </c>
      <c r="Y71" s="3">
        <f t="shared" si="28"/>
        <v>2.7801844647350336E-2</v>
      </c>
      <c r="Z71" s="2">
        <f t="shared" si="19"/>
        <v>3.9008142857142859E-2</v>
      </c>
      <c r="AA71" s="2">
        <f t="shared" si="20"/>
        <v>2.3847857142857146E-2</v>
      </c>
      <c r="AB71" s="15">
        <f t="shared" si="25"/>
        <v>0.61135587075226061</v>
      </c>
      <c r="AC71" s="29">
        <f t="shared" si="21"/>
        <v>0.29616366024213497</v>
      </c>
      <c r="AD71" s="4" t="str">
        <f t="shared" si="29"/>
        <v>-</v>
      </c>
      <c r="AE71" s="2">
        <f t="shared" si="22"/>
        <v>48</v>
      </c>
      <c r="AF71" s="2">
        <f t="shared" si="23"/>
        <v>48</v>
      </c>
      <c r="AG71" s="2">
        <f t="shared" si="26"/>
        <v>0.47509587163842487</v>
      </c>
      <c r="AH71" s="29">
        <f t="shared" si="24"/>
        <v>0.47509587163842487</v>
      </c>
      <c r="AI71" s="4" t="str">
        <f t="shared" si="27"/>
        <v/>
      </c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2" t="s">
        <v>287</v>
      </c>
      <c r="AZ71" s="22" t="s">
        <v>294</v>
      </c>
      <c r="BA71" s="22" t="s">
        <v>295</v>
      </c>
    </row>
    <row r="72" spans="1:53" ht="27" customHeight="1" x14ac:dyDescent="0.2">
      <c r="A72" s="16" t="s">
        <v>12</v>
      </c>
      <c r="B72" s="2">
        <v>183</v>
      </c>
      <c r="C72" s="1" t="s">
        <v>80</v>
      </c>
      <c r="D72" s="1" t="s">
        <v>117</v>
      </c>
      <c r="E72" s="28">
        <v>19.053999999999998</v>
      </c>
      <c r="F72" s="2">
        <v>6.0689E-2</v>
      </c>
      <c r="G72" s="2">
        <v>0.12192500000000001</v>
      </c>
      <c r="H72" s="2">
        <v>4.0722000000000001E-2</v>
      </c>
      <c r="I72" s="2">
        <v>7.603E-2</v>
      </c>
      <c r="J72" s="2">
        <v>0.375668</v>
      </c>
      <c r="K72" s="2">
        <v>0.30996299999999999</v>
      </c>
      <c r="L72" s="2">
        <v>0.32175300000000001</v>
      </c>
      <c r="M72" s="2"/>
      <c r="N72" s="2">
        <v>1.6338999999999999E-2</v>
      </c>
      <c r="O72" s="2">
        <v>0.12216</v>
      </c>
      <c r="P72" s="2">
        <v>9.7444000000000003E-2</v>
      </c>
      <c r="Q72" s="2">
        <v>0.171204</v>
      </c>
      <c r="R72" s="2">
        <v>0.30404500000000001</v>
      </c>
      <c r="S72" s="2">
        <v>7.8820000000000001E-3</v>
      </c>
      <c r="T72" s="2">
        <v>4.5007999999999999E-2</v>
      </c>
      <c r="U72" s="2"/>
      <c r="V72" s="2">
        <v>0.13983999999999999</v>
      </c>
      <c r="W72" s="2">
        <v>0.146845</v>
      </c>
      <c r="X72" s="2">
        <v>0.14024800000000001</v>
      </c>
      <c r="Y72" s="3">
        <f t="shared" si="28"/>
        <v>2.7628608510701844E-2</v>
      </c>
      <c r="Z72" s="2">
        <f t="shared" si="19"/>
        <v>0.18667857142857144</v>
      </c>
      <c r="AA72" s="2">
        <f t="shared" si="20"/>
        <v>0.10915457142857143</v>
      </c>
      <c r="AB72" s="15">
        <f t="shared" si="25"/>
        <v>0.58471934187870667</v>
      </c>
      <c r="AC72" s="29">
        <f t="shared" si="21"/>
        <v>0.27105185868311654</v>
      </c>
      <c r="AD72" s="4" t="str">
        <f t="shared" si="29"/>
        <v>-</v>
      </c>
      <c r="AE72" s="2">
        <f t="shared" si="22"/>
        <v>46</v>
      </c>
      <c r="AF72" s="2">
        <f t="shared" si="23"/>
        <v>46</v>
      </c>
      <c r="AG72" s="2">
        <f t="shared" si="26"/>
        <v>0.45371724170869504</v>
      </c>
      <c r="AH72" s="29">
        <f t="shared" si="24"/>
        <v>0.45371724170869504</v>
      </c>
      <c r="AI72" s="4" t="str">
        <f t="shared" si="27"/>
        <v/>
      </c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2" t="s">
        <v>296</v>
      </c>
      <c r="AZ72" s="22" t="s">
        <v>252</v>
      </c>
      <c r="BA72" s="22" t="s">
        <v>249</v>
      </c>
    </row>
    <row r="73" spans="1:53" ht="27" customHeight="1" x14ac:dyDescent="0.2">
      <c r="A73" s="16" t="s">
        <v>12</v>
      </c>
      <c r="B73" s="2">
        <v>192</v>
      </c>
      <c r="C73" s="1" t="s">
        <v>81</v>
      </c>
      <c r="D73" s="1" t="s">
        <v>117</v>
      </c>
      <c r="E73" s="28">
        <v>20.001999999999999</v>
      </c>
      <c r="F73" s="2">
        <v>1.8363999999999998E-2</v>
      </c>
      <c r="G73" s="2">
        <v>1.9418999999999999E-2</v>
      </c>
      <c r="H73" s="2">
        <v>2.1891000000000001E-2</v>
      </c>
      <c r="I73" s="2">
        <v>1.7520000000000001E-2</v>
      </c>
      <c r="J73" s="2">
        <v>2.2709E-2</v>
      </c>
      <c r="K73" s="2">
        <v>2.3935000000000001E-2</v>
      </c>
      <c r="L73" s="2">
        <v>2.2969E-2</v>
      </c>
      <c r="M73" s="2"/>
      <c r="N73" s="2">
        <v>2.401E-2</v>
      </c>
      <c r="O73" s="2">
        <v>1.8166000000000002E-2</v>
      </c>
      <c r="P73" s="2">
        <v>1.7422E-2</v>
      </c>
      <c r="Q73" s="2">
        <v>1.3211000000000001E-2</v>
      </c>
      <c r="R73" s="2">
        <v>1.2111E-2</v>
      </c>
      <c r="S73" s="2">
        <v>3.2168000000000002E-2</v>
      </c>
      <c r="T73" s="2">
        <v>2.2747E-2</v>
      </c>
      <c r="U73" s="2"/>
      <c r="V73" s="2">
        <v>1.9767E-2</v>
      </c>
      <c r="W73" s="2">
        <v>2.2207999999999999E-2</v>
      </c>
      <c r="X73" s="2">
        <v>2.1690000000000001E-2</v>
      </c>
      <c r="Y73" s="3">
        <f t="shared" si="28"/>
        <v>6.0604423448687897E-2</v>
      </c>
      <c r="Z73" s="2">
        <f t="shared" si="19"/>
        <v>2.0972428571428569E-2</v>
      </c>
      <c r="AA73" s="2">
        <f t="shared" si="20"/>
        <v>1.9976428571428572E-2</v>
      </c>
      <c r="AB73" s="15">
        <f t="shared" si="25"/>
        <v>0.95250907654267181</v>
      </c>
      <c r="AC73" s="29">
        <f t="shared" si="21"/>
        <v>0.73121945077853767</v>
      </c>
      <c r="AD73" s="4" t="str">
        <f t="shared" si="29"/>
        <v>-</v>
      </c>
      <c r="AE73" s="2">
        <f t="shared" si="22"/>
        <v>66</v>
      </c>
      <c r="AF73" s="2">
        <f t="shared" si="23"/>
        <v>66</v>
      </c>
      <c r="AG73" s="2">
        <f t="shared" si="26"/>
        <v>0.85308935924162732</v>
      </c>
      <c r="AH73" s="29">
        <f t="shared" si="24"/>
        <v>0.85308935924162732</v>
      </c>
      <c r="AI73" s="4" t="str">
        <f t="shared" si="27"/>
        <v/>
      </c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2" t="s">
        <v>297</v>
      </c>
      <c r="AZ73" s="22" t="s">
        <v>298</v>
      </c>
      <c r="BA73" s="22" t="s">
        <v>299</v>
      </c>
    </row>
    <row r="74" spans="1:53" ht="27" customHeight="1" x14ac:dyDescent="0.2">
      <c r="A74" s="16" t="s">
        <v>12</v>
      </c>
      <c r="B74" s="2">
        <v>198</v>
      </c>
      <c r="C74" s="1" t="s">
        <v>82</v>
      </c>
      <c r="D74" s="1" t="s">
        <v>117</v>
      </c>
      <c r="E74" s="28">
        <v>20.68</v>
      </c>
      <c r="F74" s="2">
        <v>1.4660000000000001E-3</v>
      </c>
      <c r="G74" s="2">
        <v>9.7199999999999999E-4</v>
      </c>
      <c r="H74" s="2">
        <v>1.4300000000000001E-3</v>
      </c>
      <c r="I74" s="2">
        <v>1.456E-3</v>
      </c>
      <c r="J74" s="2">
        <v>1.3600000000000001E-3</v>
      </c>
      <c r="K74" s="2">
        <v>1.405E-3</v>
      </c>
      <c r="L74" s="2">
        <v>1.353E-3</v>
      </c>
      <c r="M74" s="2"/>
      <c r="N74" s="2">
        <v>1.4270000000000001E-3</v>
      </c>
      <c r="O74" s="2">
        <v>2.2290000000000001E-3</v>
      </c>
      <c r="P74" s="2">
        <v>1.647E-3</v>
      </c>
      <c r="Q74" s="2">
        <v>2.1159999999999998E-3</v>
      </c>
      <c r="R74" s="2">
        <v>1.905E-3</v>
      </c>
      <c r="S74" s="2">
        <v>2.3110000000000001E-3</v>
      </c>
      <c r="T74" s="2">
        <v>1.702E-3</v>
      </c>
      <c r="U74" s="2"/>
      <c r="V74" s="2">
        <v>1.9710000000000001E-3</v>
      </c>
      <c r="W74" s="2">
        <v>1.578E-3</v>
      </c>
      <c r="X74" s="2">
        <v>1.619E-3</v>
      </c>
      <c r="Y74" s="3">
        <f t="shared" si="28"/>
        <v>0.12540894272457931</v>
      </c>
      <c r="Z74" s="2">
        <f t="shared" si="19"/>
        <v>1.3488571428571427E-3</v>
      </c>
      <c r="AA74" s="2">
        <f t="shared" si="20"/>
        <v>1.9052857142857146E-3</v>
      </c>
      <c r="AB74" s="15">
        <f t="shared" si="25"/>
        <v>1.4125185342088544</v>
      </c>
      <c r="AC74" s="29">
        <f t="shared" si="21"/>
        <v>3.2562266513327899E-3</v>
      </c>
      <c r="AD74" s="4" t="str">
        <f t="shared" si="29"/>
        <v>**</v>
      </c>
      <c r="AE74" s="2">
        <f t="shared" si="22"/>
        <v>14</v>
      </c>
      <c r="AF74" s="2">
        <f t="shared" si="23"/>
        <v>14</v>
      </c>
      <c r="AG74" s="2">
        <f t="shared" si="26"/>
        <v>1.7909246582330344E-2</v>
      </c>
      <c r="AH74" s="29">
        <f t="shared" si="24"/>
        <v>1.7909246582330344E-2</v>
      </c>
      <c r="AI74" s="4" t="str">
        <f t="shared" si="27"/>
        <v>**</v>
      </c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2" t="s">
        <v>296</v>
      </c>
      <c r="AZ74" s="22" t="s">
        <v>252</v>
      </c>
      <c r="BA74" s="22" t="s">
        <v>249</v>
      </c>
    </row>
    <row r="75" spans="1:53" ht="27" customHeight="1" x14ac:dyDescent="0.2">
      <c r="A75" s="16" t="s">
        <v>12</v>
      </c>
      <c r="B75" s="2">
        <v>199</v>
      </c>
      <c r="C75" s="1" t="s">
        <v>83</v>
      </c>
      <c r="D75" s="1" t="s">
        <v>117</v>
      </c>
      <c r="E75" s="28">
        <v>20.837</v>
      </c>
      <c r="F75" s="2">
        <v>1.4186000000000001E-2</v>
      </c>
      <c r="G75" s="2">
        <v>1.4548E-2</v>
      </c>
      <c r="H75" s="2">
        <v>2.1974E-2</v>
      </c>
      <c r="I75" s="2">
        <v>1.3729E-2</v>
      </c>
      <c r="J75" s="2">
        <v>1.3946E-2</v>
      </c>
      <c r="K75" s="2">
        <v>1.3408E-2</v>
      </c>
      <c r="L75" s="2">
        <v>1.4167000000000001E-2</v>
      </c>
      <c r="M75" s="2"/>
      <c r="N75" s="2">
        <v>1.1383000000000001E-2</v>
      </c>
      <c r="O75" s="2">
        <v>1.0975E-2</v>
      </c>
      <c r="P75" s="2">
        <v>1.132E-2</v>
      </c>
      <c r="Q75" s="2">
        <v>1.2069E-2</v>
      </c>
      <c r="R75" s="2">
        <v>1.0436000000000001E-2</v>
      </c>
      <c r="S75" s="2">
        <v>1.7958999999999999E-2</v>
      </c>
      <c r="T75" s="2">
        <v>1.1490999999999999E-2</v>
      </c>
      <c r="U75" s="2"/>
      <c r="V75" s="2">
        <v>1.3115E-2</v>
      </c>
      <c r="W75" s="2">
        <v>1.4951000000000001E-2</v>
      </c>
      <c r="X75" s="2">
        <v>1.4494999999999999E-2</v>
      </c>
      <c r="Y75" s="3">
        <f t="shared" si="28"/>
        <v>6.7383275295033074E-2</v>
      </c>
      <c r="Z75" s="2">
        <f t="shared" si="19"/>
        <v>1.5136857142857145E-2</v>
      </c>
      <c r="AA75" s="2">
        <f t="shared" si="20"/>
        <v>1.2233285714285714E-2</v>
      </c>
      <c r="AB75" s="15">
        <f t="shared" si="25"/>
        <v>0.80817871231997573</v>
      </c>
      <c r="AC75" s="29">
        <f t="shared" si="21"/>
        <v>7.8232938622740708E-2</v>
      </c>
      <c r="AD75" s="4" t="str">
        <f t="shared" si="29"/>
        <v>-</v>
      </c>
      <c r="AE75" s="2">
        <f t="shared" si="22"/>
        <v>30</v>
      </c>
      <c r="AF75" s="2">
        <f t="shared" si="23"/>
        <v>30</v>
      </c>
      <c r="AG75" s="2">
        <f t="shared" si="26"/>
        <v>0.2007978757983678</v>
      </c>
      <c r="AH75" s="29">
        <f t="shared" si="24"/>
        <v>0.19217590279205002</v>
      </c>
      <c r="AI75" s="4" t="str">
        <f t="shared" si="27"/>
        <v/>
      </c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2" t="s">
        <v>300</v>
      </c>
      <c r="AZ75" s="22" t="s">
        <v>301</v>
      </c>
      <c r="BA75" s="22" t="s">
        <v>302</v>
      </c>
    </row>
    <row r="76" spans="1:53" ht="27" customHeight="1" x14ac:dyDescent="0.2">
      <c r="A76" s="16" t="s">
        <v>12</v>
      </c>
      <c r="B76" s="2">
        <v>204</v>
      </c>
      <c r="C76" s="1" t="s">
        <v>84</v>
      </c>
      <c r="D76" s="1" t="s">
        <v>117</v>
      </c>
      <c r="E76" s="28">
        <v>21.263000000000002</v>
      </c>
      <c r="F76" s="2">
        <v>0.18565100000000001</v>
      </c>
      <c r="G76" s="2">
        <v>0.19934099999999999</v>
      </c>
      <c r="H76" s="2">
        <v>0.33389999999999997</v>
      </c>
      <c r="I76" s="2">
        <v>0.13289100000000001</v>
      </c>
      <c r="J76" s="2">
        <v>0.20116000000000001</v>
      </c>
      <c r="K76" s="2">
        <v>0.24154300000000001</v>
      </c>
      <c r="L76" s="2">
        <v>0.188081</v>
      </c>
      <c r="M76" s="2"/>
      <c r="N76" s="2">
        <v>0.19087799999999999</v>
      </c>
      <c r="O76" s="2">
        <v>0.13608100000000001</v>
      </c>
      <c r="P76" s="2">
        <v>9.6958000000000003E-2</v>
      </c>
      <c r="Q76" s="2">
        <v>9.2975000000000002E-2</v>
      </c>
      <c r="R76" s="2">
        <v>0.12651299999999999</v>
      </c>
      <c r="S76" s="2">
        <v>0.477657</v>
      </c>
      <c r="T76" s="2">
        <v>0.192801</v>
      </c>
      <c r="U76" s="2"/>
      <c r="V76" s="2">
        <v>0.19459000000000001</v>
      </c>
      <c r="W76" s="2">
        <v>0.19750100000000001</v>
      </c>
      <c r="X76" s="2">
        <v>0.21218500000000001</v>
      </c>
      <c r="Y76" s="3">
        <f t="shared" si="28"/>
        <v>4.6821988425712641E-2</v>
      </c>
      <c r="Z76" s="2">
        <f t="shared" si="19"/>
        <v>0.21179528571428571</v>
      </c>
      <c r="AA76" s="2">
        <f t="shared" si="20"/>
        <v>0.1876947142857143</v>
      </c>
      <c r="AB76" s="15">
        <f t="shared" si="25"/>
        <v>0.88620817811269248</v>
      </c>
      <c r="AC76" s="29">
        <f t="shared" si="21"/>
        <v>0.67711415373369066</v>
      </c>
      <c r="AD76" s="4" t="str">
        <f t="shared" si="29"/>
        <v>-</v>
      </c>
      <c r="AE76" s="2">
        <f t="shared" si="22"/>
        <v>64</v>
      </c>
      <c r="AF76" s="2">
        <f t="shared" si="23"/>
        <v>64</v>
      </c>
      <c r="AG76" s="2">
        <f t="shared" si="26"/>
        <v>0.8146529662108466</v>
      </c>
      <c r="AH76" s="29">
        <f t="shared" si="24"/>
        <v>0.8146529662108466</v>
      </c>
      <c r="AI76" s="4" t="str">
        <f t="shared" si="27"/>
        <v/>
      </c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2" t="s">
        <v>154</v>
      </c>
      <c r="AZ76" s="22" t="s">
        <v>303</v>
      </c>
      <c r="BA76" s="22" t="s">
        <v>304</v>
      </c>
    </row>
    <row r="77" spans="1:53" ht="27" customHeight="1" x14ac:dyDescent="0.2">
      <c r="A77" s="16" t="s">
        <v>12</v>
      </c>
      <c r="B77" s="2">
        <v>207</v>
      </c>
      <c r="C77" s="1" t="s">
        <v>85</v>
      </c>
      <c r="D77" s="1" t="s">
        <v>117</v>
      </c>
      <c r="E77" s="28">
        <v>21.611000000000001</v>
      </c>
      <c r="F77" s="2">
        <v>9.2040000000000004E-3</v>
      </c>
      <c r="G77" s="2">
        <v>1.1733E-2</v>
      </c>
      <c r="H77" s="2">
        <v>1.3857E-2</v>
      </c>
      <c r="I77" s="2">
        <v>1.17E-2</v>
      </c>
      <c r="J77" s="2">
        <v>1.8051000000000001E-2</v>
      </c>
      <c r="K77" s="2">
        <v>1.4886999999999999E-2</v>
      </c>
      <c r="L77" s="2">
        <v>1.3351999999999999E-2</v>
      </c>
      <c r="M77" s="2"/>
      <c r="N77" s="2">
        <v>1.1967E-2</v>
      </c>
      <c r="O77" s="2">
        <v>1.2437E-2</v>
      </c>
      <c r="P77" s="2">
        <v>9.2020000000000001E-3</v>
      </c>
      <c r="Q77" s="2">
        <v>1.1171E-2</v>
      </c>
      <c r="R77" s="2">
        <v>9.1830000000000002E-3</v>
      </c>
      <c r="S77" s="2">
        <v>1.9710999999999999E-2</v>
      </c>
      <c r="T77" s="2">
        <v>1.251E-2</v>
      </c>
      <c r="U77" s="2"/>
      <c r="V77" s="2">
        <v>1.4858E-2</v>
      </c>
      <c r="W77" s="2">
        <v>1.2838E-2</v>
      </c>
      <c r="X77" s="2">
        <v>1.3675E-2</v>
      </c>
      <c r="Y77" s="3">
        <f t="shared" si="28"/>
        <v>7.3596971009639953E-2</v>
      </c>
      <c r="Z77" s="2">
        <f t="shared" si="19"/>
        <v>1.3254857142857143E-2</v>
      </c>
      <c r="AA77" s="2">
        <f t="shared" si="20"/>
        <v>1.231157142857143E-2</v>
      </c>
      <c r="AB77" s="15">
        <f t="shared" si="25"/>
        <v>0.92883471288153141</v>
      </c>
      <c r="AC77" s="29">
        <f t="shared" si="21"/>
        <v>0.59194248910879299</v>
      </c>
      <c r="AD77" s="4" t="str">
        <f t="shared" si="29"/>
        <v>-</v>
      </c>
      <c r="AE77" s="2">
        <f t="shared" si="22"/>
        <v>59</v>
      </c>
      <c r="AF77" s="2">
        <f t="shared" si="23"/>
        <v>59</v>
      </c>
      <c r="AG77" s="2">
        <f t="shared" si="26"/>
        <v>0.7725351129046959</v>
      </c>
      <c r="AH77" s="29">
        <f t="shared" si="24"/>
        <v>0.7725351129046959</v>
      </c>
      <c r="AI77" s="4" t="str">
        <f t="shared" si="27"/>
        <v/>
      </c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2" t="s">
        <v>305</v>
      </c>
      <c r="AZ77" s="22" t="s">
        <v>306</v>
      </c>
      <c r="BA77" s="22" t="s">
        <v>307</v>
      </c>
    </row>
    <row r="78" spans="1:53" ht="27" customHeight="1" x14ac:dyDescent="0.2">
      <c r="A78" s="16" t="s">
        <v>12</v>
      </c>
      <c r="B78" s="2">
        <v>211</v>
      </c>
      <c r="C78" s="1" t="s">
        <v>86</v>
      </c>
      <c r="D78" s="1" t="s">
        <v>117</v>
      </c>
      <c r="E78" s="28">
        <v>22.029</v>
      </c>
      <c r="F78" s="2">
        <v>1.9916E-2</v>
      </c>
      <c r="G78" s="2">
        <v>2.0489E-2</v>
      </c>
      <c r="H78" s="2">
        <v>3.3334999999999997E-2</v>
      </c>
      <c r="I78" s="2">
        <v>1.6088999999999999E-2</v>
      </c>
      <c r="J78" s="2">
        <v>2.1596000000000001E-2</v>
      </c>
      <c r="K78" s="2">
        <v>2.2675000000000001E-2</v>
      </c>
      <c r="L78" s="2">
        <v>2.1443E-2</v>
      </c>
      <c r="M78" s="2"/>
      <c r="N78" s="2">
        <v>2.2307E-2</v>
      </c>
      <c r="O78" s="2">
        <v>1.7847999999999999E-2</v>
      </c>
      <c r="P78" s="2">
        <v>1.4694E-2</v>
      </c>
      <c r="Q78" s="2">
        <v>1.6261000000000001E-2</v>
      </c>
      <c r="R78" s="2">
        <v>1.728E-2</v>
      </c>
      <c r="S78" s="2">
        <v>4.0701000000000001E-2</v>
      </c>
      <c r="T78" s="2">
        <v>2.0101000000000001E-2</v>
      </c>
      <c r="U78" s="2"/>
      <c r="V78" s="2">
        <v>2.0582E-2</v>
      </c>
      <c r="W78" s="2">
        <v>2.2155000000000001E-2</v>
      </c>
      <c r="X78" s="2">
        <v>2.2938E-2</v>
      </c>
      <c r="Y78" s="3">
        <f t="shared" si="28"/>
        <v>5.4809522590364729E-2</v>
      </c>
      <c r="Z78" s="2">
        <f t="shared" si="19"/>
        <v>2.2220428571428568E-2</v>
      </c>
      <c r="AA78" s="2">
        <f t="shared" si="20"/>
        <v>2.131314285714286E-2</v>
      </c>
      <c r="AB78" s="15">
        <f t="shared" si="25"/>
        <v>0.95916884719980999</v>
      </c>
      <c r="AC78" s="29">
        <f t="shared" si="21"/>
        <v>0.82188290708862743</v>
      </c>
      <c r="AD78" s="4" t="str">
        <f t="shared" si="29"/>
        <v>-</v>
      </c>
      <c r="AE78" s="2">
        <f t="shared" si="22"/>
        <v>73</v>
      </c>
      <c r="AF78" s="2">
        <f t="shared" si="23"/>
        <v>73</v>
      </c>
      <c r="AG78" s="2">
        <f t="shared" si="26"/>
        <v>0.86691758692910015</v>
      </c>
      <c r="AH78" s="29">
        <f t="shared" si="24"/>
        <v>0.86540431965582476</v>
      </c>
      <c r="AI78" s="4" t="str">
        <f t="shared" si="27"/>
        <v/>
      </c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2" t="s">
        <v>308</v>
      </c>
      <c r="AZ78" s="22" t="s">
        <v>309</v>
      </c>
      <c r="BA78" s="22" t="s">
        <v>310</v>
      </c>
    </row>
    <row r="79" spans="1:53" ht="27" customHeight="1" x14ac:dyDescent="0.2">
      <c r="A79" s="16" t="s">
        <v>12</v>
      </c>
      <c r="B79" s="2">
        <v>214</v>
      </c>
      <c r="C79" s="1" t="s">
        <v>87</v>
      </c>
      <c r="D79" s="1" t="s">
        <v>117</v>
      </c>
      <c r="E79" s="28">
        <v>22.56</v>
      </c>
      <c r="F79" s="2">
        <v>1.1391E-2</v>
      </c>
      <c r="G79" s="2">
        <v>6.5859999999999998E-3</v>
      </c>
      <c r="H79" s="2">
        <v>1.0269E-2</v>
      </c>
      <c r="I79" s="2">
        <v>1.0430999999999999E-2</v>
      </c>
      <c r="J79" s="2">
        <v>9.6369999999999997E-3</v>
      </c>
      <c r="K79" s="2">
        <v>9.3130000000000001E-3</v>
      </c>
      <c r="L79" s="2">
        <v>8.6180000000000007E-3</v>
      </c>
      <c r="M79" s="2"/>
      <c r="N79" s="2">
        <v>9.0740000000000005E-3</v>
      </c>
      <c r="O79" s="2">
        <v>1.4617E-2</v>
      </c>
      <c r="P79" s="2">
        <v>1.3984E-2</v>
      </c>
      <c r="Q79" s="2">
        <v>1.4796999999999999E-2</v>
      </c>
      <c r="R79" s="2">
        <v>1.4053E-2</v>
      </c>
      <c r="S79" s="2">
        <v>1.1367E-2</v>
      </c>
      <c r="T79" s="2">
        <v>9.2580000000000006E-3</v>
      </c>
      <c r="U79" s="2"/>
      <c r="V79" s="2">
        <v>1.1318999999999999E-2</v>
      </c>
      <c r="W79" s="2">
        <v>1.0474000000000001E-2</v>
      </c>
      <c r="X79" s="2">
        <v>8.3789999999999993E-3</v>
      </c>
      <c r="Y79" s="3">
        <f t="shared" si="28"/>
        <v>0.15050120188098765</v>
      </c>
      <c r="Z79" s="2">
        <f t="shared" si="19"/>
        <v>9.4635714285714288E-3</v>
      </c>
      <c r="AA79" s="2">
        <f t="shared" si="20"/>
        <v>1.2450000000000001E-2</v>
      </c>
      <c r="AB79" s="15">
        <f t="shared" si="25"/>
        <v>1.3155709864895464</v>
      </c>
      <c r="AC79" s="29">
        <f t="shared" si="21"/>
        <v>2.3222763656164269E-2</v>
      </c>
      <c r="AD79" s="4" t="str">
        <f t="shared" si="29"/>
        <v>*</v>
      </c>
      <c r="AE79" s="2">
        <f t="shared" si="22"/>
        <v>20</v>
      </c>
      <c r="AF79" s="2">
        <f t="shared" si="23"/>
        <v>20</v>
      </c>
      <c r="AG79" s="2">
        <f t="shared" si="26"/>
        <v>8.9407640076232434E-2</v>
      </c>
      <c r="AH79" s="29">
        <f t="shared" si="24"/>
        <v>8.9407640076232434E-2</v>
      </c>
      <c r="AI79" s="4" t="str">
        <f t="shared" si="27"/>
        <v>*</v>
      </c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2" t="s">
        <v>311</v>
      </c>
      <c r="AZ79" s="22" t="s">
        <v>312</v>
      </c>
      <c r="BA79" s="22" t="s">
        <v>313</v>
      </c>
    </row>
    <row r="80" spans="1:53" ht="27" customHeight="1" x14ac:dyDescent="0.2">
      <c r="A80" s="16" t="s">
        <v>12</v>
      </c>
      <c r="B80" s="2">
        <v>217</v>
      </c>
      <c r="C80" s="1" t="s">
        <v>88</v>
      </c>
      <c r="D80" s="1" t="s">
        <v>117</v>
      </c>
      <c r="E80" s="28">
        <v>24.173999999999999</v>
      </c>
      <c r="F80" s="2">
        <v>5.1398659999999996</v>
      </c>
      <c r="G80" s="2">
        <v>4.4419709999999997</v>
      </c>
      <c r="H80" s="2">
        <v>5.9562569999999999</v>
      </c>
      <c r="I80" s="2">
        <v>4.682499</v>
      </c>
      <c r="J80" s="2">
        <v>5.2910820000000003</v>
      </c>
      <c r="K80" s="2">
        <v>5.4983399999999998</v>
      </c>
      <c r="L80" s="2">
        <v>5.4496469999999997</v>
      </c>
      <c r="M80" s="2"/>
      <c r="N80" s="2">
        <v>5.9450620000000001</v>
      </c>
      <c r="O80" s="2">
        <v>5.3350400000000002</v>
      </c>
      <c r="P80" s="2">
        <v>8.4862179999999992</v>
      </c>
      <c r="Q80" s="2">
        <v>6.1080949999999996</v>
      </c>
      <c r="R80" s="2">
        <v>4.4345429999999997</v>
      </c>
      <c r="S80" s="2">
        <v>7.2310720000000002</v>
      </c>
      <c r="T80" s="2">
        <v>6.3862769999999998</v>
      </c>
      <c r="U80" s="2"/>
      <c r="V80" s="2">
        <v>5.2658040000000002</v>
      </c>
      <c r="W80" s="2">
        <v>5.9105610000000004</v>
      </c>
      <c r="X80" s="2">
        <v>6.0691949999999997</v>
      </c>
      <c r="Y80" s="3">
        <f t="shared" si="28"/>
        <v>7.4019458438267238E-2</v>
      </c>
      <c r="Z80" s="2">
        <f t="shared" si="19"/>
        <v>5.2085231428571435</v>
      </c>
      <c r="AA80" s="2">
        <f t="shared" si="20"/>
        <v>6.2751867142857138</v>
      </c>
      <c r="AB80" s="15">
        <f t="shared" si="25"/>
        <v>1.2047919423937608</v>
      </c>
      <c r="AC80" s="29">
        <f t="shared" si="21"/>
        <v>7.9865310251241564E-2</v>
      </c>
      <c r="AD80" s="4" t="str">
        <f t="shared" si="29"/>
        <v>-</v>
      </c>
      <c r="AE80" s="2">
        <f t="shared" si="22"/>
        <v>32</v>
      </c>
      <c r="AF80" s="2">
        <f t="shared" si="23"/>
        <v>32</v>
      </c>
      <c r="AG80" s="2">
        <f t="shared" si="26"/>
        <v>0.19217590279205002</v>
      </c>
      <c r="AH80" s="29">
        <f t="shared" si="24"/>
        <v>0.19217590279205002</v>
      </c>
      <c r="AI80" s="4" t="str">
        <f t="shared" si="27"/>
        <v/>
      </c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2" t="s">
        <v>294</v>
      </c>
      <c r="AZ80" s="22" t="s">
        <v>314</v>
      </c>
      <c r="BA80" s="22" t="s">
        <v>315</v>
      </c>
    </row>
    <row r="82" spans="3:34" ht="14.4" customHeight="1" x14ac:dyDescent="0.3">
      <c r="C82" s="7" t="s">
        <v>136</v>
      </c>
      <c r="G82" s="17"/>
      <c r="AC82" s="22" t="s">
        <v>128</v>
      </c>
      <c r="AH82" s="22" t="s">
        <v>131</v>
      </c>
    </row>
    <row r="83" spans="3:34" x14ac:dyDescent="0.2">
      <c r="C83" s="7" t="s">
        <v>401</v>
      </c>
      <c r="AC83" s="22" t="s">
        <v>130</v>
      </c>
      <c r="AH83" s="22" t="s">
        <v>132</v>
      </c>
    </row>
    <row r="84" spans="3:34" x14ac:dyDescent="0.2">
      <c r="C84" s="7" t="s">
        <v>137</v>
      </c>
      <c r="AC84" s="22" t="s">
        <v>134</v>
      </c>
      <c r="AH84" s="22" t="s">
        <v>133</v>
      </c>
    </row>
    <row r="85" spans="3:34" x14ac:dyDescent="0.2">
      <c r="G85" s="7"/>
      <c r="H85" s="7"/>
      <c r="AC85" s="22" t="s">
        <v>135</v>
      </c>
    </row>
    <row r="86" spans="3:34" x14ac:dyDescent="0.2">
      <c r="F86" s="7"/>
      <c r="G86" s="7"/>
      <c r="H86" s="7"/>
    </row>
  </sheetData>
  <autoFilter ref="A3:AI3" xr:uid="{97D5E2D7-5867-4C51-A944-D315829BC7DF}"/>
  <sortState xmlns:xlrd2="http://schemas.microsoft.com/office/spreadsheetml/2017/richdata2" ref="A4:AD80">
    <sortCondition ref="A4:A80"/>
    <sortCondition ref="D4:D80"/>
  </sortState>
  <mergeCells count="82">
    <mergeCell ref="AJ76:AX76"/>
    <mergeCell ref="AJ79:AX79"/>
    <mergeCell ref="AJ80:AX80"/>
    <mergeCell ref="AJ77:AX77"/>
    <mergeCell ref="AJ78:AX78"/>
    <mergeCell ref="AJ74:AX74"/>
    <mergeCell ref="AJ75:AX75"/>
    <mergeCell ref="AJ70:AX70"/>
    <mergeCell ref="AJ71:AX71"/>
    <mergeCell ref="AJ72:AX72"/>
    <mergeCell ref="AJ73:AX73"/>
    <mergeCell ref="AJ67:AX67"/>
    <mergeCell ref="AJ68:AX68"/>
    <mergeCell ref="AJ69:AX69"/>
    <mergeCell ref="Z2:AA2"/>
    <mergeCell ref="AC2:AD2"/>
    <mergeCell ref="AJ33:AX33"/>
    <mergeCell ref="AJ34:AX34"/>
    <mergeCell ref="AJ35:AX35"/>
    <mergeCell ref="AJ36:AX36"/>
    <mergeCell ref="AJ37:AX37"/>
    <mergeCell ref="AJ38:AX38"/>
    <mergeCell ref="AJ39:AX39"/>
    <mergeCell ref="AJ40:AX40"/>
    <mergeCell ref="AJ41:AX41"/>
    <mergeCell ref="AJ42:AX42"/>
    <mergeCell ref="AJ43:AX43"/>
    <mergeCell ref="AJ1:AP1"/>
    <mergeCell ref="AR1:AX1"/>
    <mergeCell ref="AJ60:AX60"/>
    <mergeCell ref="AJ61:AX61"/>
    <mergeCell ref="AJ23:AX23"/>
    <mergeCell ref="AJ24:AX24"/>
    <mergeCell ref="AJ25:AX25"/>
    <mergeCell ref="AJ21:AX21"/>
    <mergeCell ref="AJ22:AX22"/>
    <mergeCell ref="AJ26:AX26"/>
    <mergeCell ref="AJ27:AX27"/>
    <mergeCell ref="AJ28:AX28"/>
    <mergeCell ref="AJ29:AX29"/>
    <mergeCell ref="AJ30:AX30"/>
    <mergeCell ref="AJ31:AX31"/>
    <mergeCell ref="AJ32:AX32"/>
    <mergeCell ref="AJ44:AX44"/>
    <mergeCell ref="AJ45:AX45"/>
    <mergeCell ref="AJ46:AX46"/>
    <mergeCell ref="AJ47:AX47"/>
    <mergeCell ref="AJ48:AX48"/>
    <mergeCell ref="AJ58:AX58"/>
    <mergeCell ref="AJ49:AX49"/>
    <mergeCell ref="AJ50:AX50"/>
    <mergeCell ref="AJ51:AX51"/>
    <mergeCell ref="AJ52:AX52"/>
    <mergeCell ref="AJ53:AX53"/>
    <mergeCell ref="AJ66:AX66"/>
    <mergeCell ref="AJ15:AX15"/>
    <mergeCell ref="AJ16:AX16"/>
    <mergeCell ref="AJ17:AX17"/>
    <mergeCell ref="AJ18:AX18"/>
    <mergeCell ref="AJ19:AX19"/>
    <mergeCell ref="AJ20:AX20"/>
    <mergeCell ref="AJ59:AX59"/>
    <mergeCell ref="AJ62:AX62"/>
    <mergeCell ref="AJ63:AX63"/>
    <mergeCell ref="AJ64:AX64"/>
    <mergeCell ref="AJ65:AX65"/>
    <mergeCell ref="AJ54:AX54"/>
    <mergeCell ref="AJ55:AX55"/>
    <mergeCell ref="AJ56:AX56"/>
    <mergeCell ref="AJ57:AX57"/>
    <mergeCell ref="AJ14:AX14"/>
    <mergeCell ref="AH2:AI2"/>
    <mergeCell ref="AJ9:AX9"/>
    <mergeCell ref="AJ10:AX10"/>
    <mergeCell ref="AJ11:AX11"/>
    <mergeCell ref="AJ12:AX12"/>
    <mergeCell ref="AJ13:AX13"/>
    <mergeCell ref="AJ4:AX4"/>
    <mergeCell ref="AJ5:AX5"/>
    <mergeCell ref="AJ6:AX6"/>
    <mergeCell ref="AJ7:AX7"/>
    <mergeCell ref="AJ8:AX8"/>
  </mergeCells>
  <phoneticPr fontId="1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AEF48A07-5D63-47E3-8A69-3C3132446DDA}">
          <x14:colorSeries theme="5" tint="-0.24997711111789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'GC-MS'!F4:T4</xm:f>
              <xm:sqref>AJ4</xm:sqref>
            </x14:sparkline>
            <x14:sparkline>
              <xm:f>'GC-MS'!F5:T5</xm:f>
              <xm:sqref>AJ5</xm:sqref>
            </x14:sparkline>
            <x14:sparkline>
              <xm:f>'GC-MS'!F6:T6</xm:f>
              <xm:sqref>AJ6</xm:sqref>
            </x14:sparkline>
            <x14:sparkline>
              <xm:f>'GC-MS'!F7:T7</xm:f>
              <xm:sqref>AJ7</xm:sqref>
            </x14:sparkline>
            <x14:sparkline>
              <xm:f>'GC-MS'!F8:T8</xm:f>
              <xm:sqref>AJ8</xm:sqref>
            </x14:sparkline>
            <x14:sparkline>
              <xm:f>'GC-MS'!F9:T9</xm:f>
              <xm:sqref>AJ9</xm:sqref>
            </x14:sparkline>
            <x14:sparkline>
              <xm:f>'GC-MS'!F10:T10</xm:f>
              <xm:sqref>AJ10</xm:sqref>
            </x14:sparkline>
            <x14:sparkline>
              <xm:f>'GC-MS'!F11:T11</xm:f>
              <xm:sqref>AJ11</xm:sqref>
            </x14:sparkline>
            <x14:sparkline>
              <xm:f>'GC-MS'!F12:T12</xm:f>
              <xm:sqref>AJ12</xm:sqref>
            </x14:sparkline>
            <x14:sparkline>
              <xm:f>'GC-MS'!F13:T13</xm:f>
              <xm:sqref>AJ13</xm:sqref>
            </x14:sparkline>
            <x14:sparkline>
              <xm:f>'GC-MS'!F14:T14</xm:f>
              <xm:sqref>AJ14</xm:sqref>
            </x14:sparkline>
            <x14:sparkline>
              <xm:f>'GC-MS'!F15:T15</xm:f>
              <xm:sqref>AJ15</xm:sqref>
            </x14:sparkline>
            <x14:sparkline>
              <xm:f>'GC-MS'!F16:T16</xm:f>
              <xm:sqref>AJ16</xm:sqref>
            </x14:sparkline>
            <x14:sparkline>
              <xm:f>'GC-MS'!F17:T17</xm:f>
              <xm:sqref>AJ17</xm:sqref>
            </x14:sparkline>
            <x14:sparkline>
              <xm:f>'GC-MS'!F18:T18</xm:f>
              <xm:sqref>AJ18</xm:sqref>
            </x14:sparkline>
            <x14:sparkline>
              <xm:f>'GC-MS'!F19:T19</xm:f>
              <xm:sqref>AJ19</xm:sqref>
            </x14:sparkline>
            <x14:sparkline>
              <xm:f>'GC-MS'!F20:T20</xm:f>
              <xm:sqref>AJ20</xm:sqref>
            </x14:sparkline>
            <x14:sparkline>
              <xm:f>'GC-MS'!F21:T21</xm:f>
              <xm:sqref>AJ21</xm:sqref>
            </x14:sparkline>
            <x14:sparkline>
              <xm:f>'GC-MS'!F22:T22</xm:f>
              <xm:sqref>AJ22</xm:sqref>
            </x14:sparkline>
            <x14:sparkline>
              <xm:f>'GC-MS'!F23:T23</xm:f>
              <xm:sqref>AJ23</xm:sqref>
            </x14:sparkline>
            <x14:sparkline>
              <xm:f>'GC-MS'!F24:T24</xm:f>
              <xm:sqref>AJ24</xm:sqref>
            </x14:sparkline>
            <x14:sparkline>
              <xm:f>'GC-MS'!F25:T25</xm:f>
              <xm:sqref>AJ25</xm:sqref>
            </x14:sparkline>
            <x14:sparkline>
              <xm:f>'GC-MS'!F26:T26</xm:f>
              <xm:sqref>AJ26</xm:sqref>
            </x14:sparkline>
            <x14:sparkline>
              <xm:f>'GC-MS'!F27:T27</xm:f>
              <xm:sqref>AJ27</xm:sqref>
            </x14:sparkline>
            <x14:sparkline>
              <xm:f>'GC-MS'!F28:T28</xm:f>
              <xm:sqref>AJ28</xm:sqref>
            </x14:sparkline>
            <x14:sparkline>
              <xm:f>'GC-MS'!F29:T29</xm:f>
              <xm:sqref>AJ29</xm:sqref>
            </x14:sparkline>
            <x14:sparkline>
              <xm:f>'GC-MS'!F30:T30</xm:f>
              <xm:sqref>AJ30</xm:sqref>
            </x14:sparkline>
            <x14:sparkline>
              <xm:f>'GC-MS'!F31:T31</xm:f>
              <xm:sqref>AJ31</xm:sqref>
            </x14:sparkline>
            <x14:sparkline>
              <xm:f>'GC-MS'!F32:T32</xm:f>
              <xm:sqref>AJ32</xm:sqref>
            </x14:sparkline>
            <x14:sparkline>
              <xm:f>'GC-MS'!F33:T33</xm:f>
              <xm:sqref>AJ33</xm:sqref>
            </x14:sparkline>
            <x14:sparkline>
              <xm:f>'GC-MS'!F34:T34</xm:f>
              <xm:sqref>AJ34</xm:sqref>
            </x14:sparkline>
            <x14:sparkline>
              <xm:f>'GC-MS'!F35:T35</xm:f>
              <xm:sqref>AJ35</xm:sqref>
            </x14:sparkline>
            <x14:sparkline>
              <xm:f>'GC-MS'!F36:T36</xm:f>
              <xm:sqref>AJ36</xm:sqref>
            </x14:sparkline>
            <x14:sparkline>
              <xm:f>'GC-MS'!F37:T37</xm:f>
              <xm:sqref>AJ37</xm:sqref>
            </x14:sparkline>
            <x14:sparkline>
              <xm:f>'GC-MS'!F38:T38</xm:f>
              <xm:sqref>AJ38</xm:sqref>
            </x14:sparkline>
            <x14:sparkline>
              <xm:f>'GC-MS'!F39:T39</xm:f>
              <xm:sqref>AJ39</xm:sqref>
            </x14:sparkline>
            <x14:sparkline>
              <xm:f>'GC-MS'!F40:T40</xm:f>
              <xm:sqref>AJ40</xm:sqref>
            </x14:sparkline>
            <x14:sparkline>
              <xm:f>'GC-MS'!F41:T41</xm:f>
              <xm:sqref>AJ41</xm:sqref>
            </x14:sparkline>
            <x14:sparkline>
              <xm:f>'GC-MS'!F42:T42</xm:f>
              <xm:sqref>AJ42</xm:sqref>
            </x14:sparkline>
            <x14:sparkline>
              <xm:f>'GC-MS'!F43:T43</xm:f>
              <xm:sqref>AJ43</xm:sqref>
            </x14:sparkline>
            <x14:sparkline>
              <xm:f>'GC-MS'!F44:T44</xm:f>
              <xm:sqref>AJ44</xm:sqref>
            </x14:sparkline>
            <x14:sparkline>
              <xm:f>'GC-MS'!F45:T45</xm:f>
              <xm:sqref>AJ45</xm:sqref>
            </x14:sparkline>
            <x14:sparkline>
              <xm:f>'GC-MS'!F46:T46</xm:f>
              <xm:sqref>AJ46</xm:sqref>
            </x14:sparkline>
            <x14:sparkline>
              <xm:f>'GC-MS'!F47:T47</xm:f>
              <xm:sqref>AJ47</xm:sqref>
            </x14:sparkline>
            <x14:sparkline>
              <xm:f>'GC-MS'!F48:T48</xm:f>
              <xm:sqref>AJ48</xm:sqref>
            </x14:sparkline>
            <x14:sparkline>
              <xm:f>'GC-MS'!F49:T49</xm:f>
              <xm:sqref>AJ49</xm:sqref>
            </x14:sparkline>
            <x14:sparkline>
              <xm:f>'GC-MS'!F50:T50</xm:f>
              <xm:sqref>AJ50</xm:sqref>
            </x14:sparkline>
            <x14:sparkline>
              <xm:f>'GC-MS'!F51:T51</xm:f>
              <xm:sqref>AJ51</xm:sqref>
            </x14:sparkline>
            <x14:sparkline>
              <xm:f>'GC-MS'!F52:T52</xm:f>
              <xm:sqref>AJ52</xm:sqref>
            </x14:sparkline>
            <x14:sparkline>
              <xm:f>'GC-MS'!F53:T53</xm:f>
              <xm:sqref>AJ53</xm:sqref>
            </x14:sparkline>
            <x14:sparkline>
              <xm:f>'GC-MS'!F54:T54</xm:f>
              <xm:sqref>AJ54</xm:sqref>
            </x14:sparkline>
            <x14:sparkline>
              <xm:f>'GC-MS'!F55:T55</xm:f>
              <xm:sqref>AJ55</xm:sqref>
            </x14:sparkline>
            <x14:sparkline>
              <xm:f>'GC-MS'!F56:T56</xm:f>
              <xm:sqref>AJ56</xm:sqref>
            </x14:sparkline>
            <x14:sparkline>
              <xm:f>'GC-MS'!F57:T57</xm:f>
              <xm:sqref>AJ57</xm:sqref>
            </x14:sparkline>
            <x14:sparkline>
              <xm:f>'GC-MS'!F58:T58</xm:f>
              <xm:sqref>AJ58</xm:sqref>
            </x14:sparkline>
            <x14:sparkline>
              <xm:f>'GC-MS'!F59:T59</xm:f>
              <xm:sqref>AJ59</xm:sqref>
            </x14:sparkline>
            <x14:sparkline>
              <xm:f>'GC-MS'!F60:T60</xm:f>
              <xm:sqref>AJ60</xm:sqref>
            </x14:sparkline>
            <x14:sparkline>
              <xm:f>'GC-MS'!F61:T61</xm:f>
              <xm:sqref>AJ61</xm:sqref>
            </x14:sparkline>
            <x14:sparkline>
              <xm:f>'GC-MS'!F62:T62</xm:f>
              <xm:sqref>AJ62</xm:sqref>
            </x14:sparkline>
            <x14:sparkline>
              <xm:f>'GC-MS'!F63:T63</xm:f>
              <xm:sqref>AJ63</xm:sqref>
            </x14:sparkline>
            <x14:sparkline>
              <xm:f>'GC-MS'!F64:T64</xm:f>
              <xm:sqref>AJ64</xm:sqref>
            </x14:sparkline>
            <x14:sparkline>
              <xm:f>'GC-MS'!F65:T65</xm:f>
              <xm:sqref>AJ65</xm:sqref>
            </x14:sparkline>
            <x14:sparkline>
              <xm:f>'GC-MS'!F66:T66</xm:f>
              <xm:sqref>AJ66</xm:sqref>
            </x14:sparkline>
            <x14:sparkline>
              <xm:f>'GC-MS'!F67:T67</xm:f>
              <xm:sqref>AJ67</xm:sqref>
            </x14:sparkline>
            <x14:sparkline>
              <xm:f>'GC-MS'!F68:T68</xm:f>
              <xm:sqref>AJ68</xm:sqref>
            </x14:sparkline>
            <x14:sparkline>
              <xm:f>'GC-MS'!F69:T69</xm:f>
              <xm:sqref>AJ69</xm:sqref>
            </x14:sparkline>
            <x14:sparkline>
              <xm:f>'GC-MS'!F70:T70</xm:f>
              <xm:sqref>AJ70</xm:sqref>
            </x14:sparkline>
            <x14:sparkline>
              <xm:f>'GC-MS'!F71:T71</xm:f>
              <xm:sqref>AJ71</xm:sqref>
            </x14:sparkline>
            <x14:sparkline>
              <xm:f>'GC-MS'!F72:T72</xm:f>
              <xm:sqref>AJ72</xm:sqref>
            </x14:sparkline>
            <x14:sparkline>
              <xm:f>'GC-MS'!F73:T73</xm:f>
              <xm:sqref>AJ73</xm:sqref>
            </x14:sparkline>
            <x14:sparkline>
              <xm:f>'GC-MS'!F74:T74</xm:f>
              <xm:sqref>AJ74</xm:sqref>
            </x14:sparkline>
            <x14:sparkline>
              <xm:f>'GC-MS'!F75:T75</xm:f>
              <xm:sqref>AJ75</xm:sqref>
            </x14:sparkline>
            <x14:sparkline>
              <xm:f>'GC-MS'!F76:T76</xm:f>
              <xm:sqref>AJ76</xm:sqref>
            </x14:sparkline>
            <x14:sparkline>
              <xm:f>'GC-MS'!F77:T77</xm:f>
              <xm:sqref>AJ77</xm:sqref>
            </x14:sparkline>
            <x14:sparkline>
              <xm:f>'GC-MS'!F78:T78</xm:f>
              <xm:sqref>AJ78</xm:sqref>
            </x14:sparkline>
            <x14:sparkline>
              <xm:f>'GC-MS'!F79:T79</xm:f>
              <xm:sqref>AJ79</xm:sqref>
            </x14:sparkline>
            <x14:sparkline>
              <xm:f>'GC-MS'!F80:T80</xm:f>
              <xm:sqref>AJ80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611D-B429-4BFC-9AA6-76DB65C2DB83}">
  <dimension ref="A1:BA39"/>
  <sheetViews>
    <sheetView zoomScale="75" zoomScaleNormal="75" workbookViewId="0">
      <pane xSplit="4" ySplit="3" topLeftCell="E4" activePane="bottomRight" state="frozen"/>
      <selection pane="topRight" activeCell="H1" sqref="H1"/>
      <selection pane="bottomLeft" activeCell="A4" sqref="A4"/>
      <selection pane="bottomRight"/>
    </sheetView>
  </sheetViews>
  <sheetFormatPr defaultColWidth="8.88671875" defaultRowHeight="14.4" outlineLevelCol="1" x14ac:dyDescent="0.2"/>
  <cols>
    <col min="1" max="1" width="9.33203125" style="12" customWidth="1"/>
    <col min="2" max="2" width="7.6640625" style="6" hidden="1" customWidth="1"/>
    <col min="3" max="3" width="29.109375" style="7" customWidth="1"/>
    <col min="4" max="4" width="15.33203125" style="7" hidden="1" customWidth="1"/>
    <col min="5" max="5" width="8.88671875" style="7" customWidth="1"/>
    <col min="6" max="12" width="8.88671875" style="6"/>
    <col min="13" max="13" width="1.6640625" style="6" customWidth="1"/>
    <col min="14" max="20" width="8.88671875" style="6"/>
    <col min="21" max="21" width="1.6640625" style="6" customWidth="1"/>
    <col min="22" max="25" width="8.88671875" style="6"/>
    <col min="26" max="27" width="8.88671875" style="6" customWidth="1"/>
    <col min="28" max="28" width="13.6640625" style="6" customWidth="1"/>
    <col min="29" max="29" width="10.109375" style="22" customWidth="1"/>
    <col min="30" max="30" width="13.33203125" style="6" customWidth="1"/>
    <col min="31" max="32" width="9.6640625" style="6" hidden="1" customWidth="1" outlineLevel="1"/>
    <col min="33" max="33" width="0.109375" style="6" hidden="1" customWidth="1" outlineLevel="1"/>
    <col min="34" max="34" width="10" style="22" customWidth="1" collapsed="1"/>
    <col min="35" max="35" width="13.33203125" style="6" customWidth="1"/>
    <col min="36" max="50" width="1.6640625" style="6" customWidth="1"/>
    <col min="51" max="51" width="20.21875" style="6" bestFit="1" customWidth="1"/>
    <col min="52" max="53" width="16.88671875" style="6" bestFit="1" customWidth="1"/>
    <col min="54" max="16384" width="8.88671875" style="6"/>
  </cols>
  <sheetData>
    <row r="1" spans="1:53" s="5" customFormat="1" x14ac:dyDescent="0.2">
      <c r="A1" s="11"/>
      <c r="B1" s="8"/>
      <c r="C1" s="8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9"/>
      <c r="P1" s="9"/>
      <c r="Q1" s="9"/>
      <c r="R1" s="9"/>
      <c r="S1" s="9"/>
      <c r="T1" s="9"/>
      <c r="U1" s="4"/>
      <c r="V1" s="4"/>
      <c r="W1" s="4"/>
      <c r="X1" s="4"/>
      <c r="Y1" s="4"/>
      <c r="Z1" s="14"/>
      <c r="AA1" s="14"/>
      <c r="AB1" s="14"/>
      <c r="AC1" s="21"/>
      <c r="AD1" s="10">
        <v>3</v>
      </c>
      <c r="AE1" s="10"/>
      <c r="AF1" s="10"/>
      <c r="AG1" s="10"/>
      <c r="AH1" s="21"/>
      <c r="AI1" s="10"/>
      <c r="AJ1" s="25" t="s">
        <v>5</v>
      </c>
      <c r="AK1" s="25"/>
      <c r="AL1" s="25"/>
      <c r="AM1" s="25"/>
      <c r="AN1" s="25"/>
      <c r="AO1" s="25"/>
      <c r="AP1" s="25"/>
      <c r="AQ1" s="4"/>
      <c r="AR1" s="25" t="s">
        <v>6</v>
      </c>
      <c r="AS1" s="25"/>
      <c r="AT1" s="25"/>
      <c r="AU1" s="25"/>
      <c r="AV1" s="25"/>
      <c r="AW1" s="25"/>
      <c r="AX1" s="25"/>
    </row>
    <row r="2" spans="1:53" s="5" customFormat="1" x14ac:dyDescent="0.2">
      <c r="A2" s="11"/>
      <c r="B2" s="8"/>
      <c r="C2" s="8"/>
      <c r="D2" s="1"/>
      <c r="E2" s="1"/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/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/>
      <c r="V2" s="4" t="s">
        <v>7</v>
      </c>
      <c r="W2" s="4" t="s">
        <v>7</v>
      </c>
      <c r="X2" s="4" t="s">
        <v>7</v>
      </c>
      <c r="Y2" s="4" t="s">
        <v>7</v>
      </c>
      <c r="Z2" s="25" t="s">
        <v>123</v>
      </c>
      <c r="AA2" s="25"/>
      <c r="AB2" s="4"/>
      <c r="AC2" s="25" t="s">
        <v>4</v>
      </c>
      <c r="AD2" s="25"/>
      <c r="AE2" s="4"/>
      <c r="AF2" s="4"/>
      <c r="AG2" s="4" t="s">
        <v>398</v>
      </c>
      <c r="AH2" s="26" t="s">
        <v>129</v>
      </c>
      <c r="AI2" s="27"/>
      <c r="AJ2" s="4">
        <v>1</v>
      </c>
      <c r="AK2" s="4">
        <v>2</v>
      </c>
      <c r="AL2" s="4">
        <v>3</v>
      </c>
      <c r="AM2" s="4">
        <v>4</v>
      </c>
      <c r="AN2" s="4">
        <v>5</v>
      </c>
      <c r="AO2" s="4">
        <v>6</v>
      </c>
      <c r="AP2" s="4">
        <v>7</v>
      </c>
      <c r="AQ2" s="4"/>
      <c r="AR2" s="4">
        <v>8</v>
      </c>
      <c r="AS2" s="4">
        <v>9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</row>
    <row r="3" spans="1:53" s="5" customFormat="1" x14ac:dyDescent="0.2">
      <c r="A3" s="18" t="s">
        <v>115</v>
      </c>
      <c r="B3" s="19" t="s">
        <v>2</v>
      </c>
      <c r="C3" s="20" t="s">
        <v>119</v>
      </c>
      <c r="D3" s="20" t="s">
        <v>120</v>
      </c>
      <c r="E3" s="20" t="s">
        <v>397</v>
      </c>
      <c r="F3" s="19">
        <v>1</v>
      </c>
      <c r="G3" s="19">
        <v>2</v>
      </c>
      <c r="H3" s="19">
        <v>3</v>
      </c>
      <c r="I3" s="19">
        <v>4</v>
      </c>
      <c r="J3" s="19">
        <v>5</v>
      </c>
      <c r="K3" s="19">
        <v>6</v>
      </c>
      <c r="L3" s="19">
        <v>7</v>
      </c>
      <c r="M3" s="19"/>
      <c r="N3" s="19">
        <v>8</v>
      </c>
      <c r="O3" s="19">
        <v>9</v>
      </c>
      <c r="P3" s="19">
        <v>10</v>
      </c>
      <c r="Q3" s="19">
        <v>11</v>
      </c>
      <c r="R3" s="19">
        <v>12</v>
      </c>
      <c r="S3" s="19">
        <v>13</v>
      </c>
      <c r="T3" s="19">
        <v>14</v>
      </c>
      <c r="U3" s="19"/>
      <c r="V3" s="19" t="s">
        <v>9</v>
      </c>
      <c r="W3" s="19" t="s">
        <v>10</v>
      </c>
      <c r="X3" s="19" t="s">
        <v>11</v>
      </c>
      <c r="Y3" s="19" t="s">
        <v>8</v>
      </c>
      <c r="Z3" s="19" t="s">
        <v>0</v>
      </c>
      <c r="AA3" s="19" t="s">
        <v>1</v>
      </c>
      <c r="AB3" s="19" t="s">
        <v>126</v>
      </c>
      <c r="AC3" s="19" t="s">
        <v>121</v>
      </c>
      <c r="AD3" s="19" t="s">
        <v>122</v>
      </c>
      <c r="AE3" s="19" t="s">
        <v>124</v>
      </c>
      <c r="AF3" s="19">
        <f>COUNT(AF4:AF33)</f>
        <v>30</v>
      </c>
      <c r="AG3" s="19" t="s">
        <v>125</v>
      </c>
      <c r="AH3" s="19" t="s">
        <v>138</v>
      </c>
      <c r="AI3" s="19" t="s">
        <v>127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0</v>
      </c>
      <c r="AU3" s="4">
        <v>1</v>
      </c>
      <c r="AV3" s="4">
        <v>2</v>
      </c>
      <c r="AW3" s="4">
        <v>3</v>
      </c>
      <c r="AX3" s="4">
        <v>4</v>
      </c>
      <c r="AY3" s="22" t="s">
        <v>399</v>
      </c>
      <c r="AZ3" s="22" t="s">
        <v>396</v>
      </c>
      <c r="BA3" s="22" t="s">
        <v>396</v>
      </c>
    </row>
    <row r="4" spans="1:53" ht="27" customHeight="1" x14ac:dyDescent="0.2">
      <c r="A4" s="13" t="s">
        <v>89</v>
      </c>
      <c r="B4" s="2">
        <v>1</v>
      </c>
      <c r="C4" s="1" t="s">
        <v>90</v>
      </c>
      <c r="D4" s="1" t="s">
        <v>118</v>
      </c>
      <c r="E4" s="28">
        <v>5.2679999999999998</v>
      </c>
      <c r="F4" s="2">
        <v>6.2822444553218273E-3</v>
      </c>
      <c r="G4" s="2">
        <v>5.7533419006211648E-3</v>
      </c>
      <c r="H4" s="2">
        <v>5.9245199651408124E-3</v>
      </c>
      <c r="I4" s="2">
        <v>6.0518535921575672E-3</v>
      </c>
      <c r="J4" s="2">
        <v>6.967892237618155E-3</v>
      </c>
      <c r="K4" s="2">
        <v>6.6621558582161617E-3</v>
      </c>
      <c r="L4" s="2">
        <v>6.0423226214992428E-3</v>
      </c>
      <c r="M4" s="2"/>
      <c r="N4" s="2">
        <v>1.2114776936980189E-2</v>
      </c>
      <c r="O4" s="2">
        <v>1.2596875327470515E-2</v>
      </c>
      <c r="P4" s="2">
        <v>1.4535279086906966E-2</v>
      </c>
      <c r="Q4" s="2">
        <v>1.7400643411558305E-2</v>
      </c>
      <c r="R4" s="2">
        <v>1.0562070215799739E-2</v>
      </c>
      <c r="S4" s="2">
        <v>1.127999006916313E-2</v>
      </c>
      <c r="T4" s="2">
        <v>1.2511723518753395E-2</v>
      </c>
      <c r="U4" s="2"/>
      <c r="V4" s="2">
        <v>8.6236930508758313E-3</v>
      </c>
      <c r="W4" s="2">
        <v>1.0319390726579893E-2</v>
      </c>
      <c r="X4" s="2">
        <v>1.0109577969110897E-2</v>
      </c>
      <c r="Y4" s="3">
        <f t="shared" ref="Y4:Y32" si="0">IFERROR(STDEV(V4:X4)/AVERAGE(V4:X4),0)</f>
        <v>9.5455866852785287E-2</v>
      </c>
      <c r="Z4" s="2">
        <f t="shared" ref="Z4:Z33" si="1">AVERAGE(F4:L4)</f>
        <v>6.2406186615107046E-3</v>
      </c>
      <c r="AA4" s="2">
        <f t="shared" ref="AA4:AA33" si="2">AVERAGE(N4:T4)</f>
        <v>1.3000194080947462E-2</v>
      </c>
      <c r="AB4" s="15">
        <f t="shared" ref="AB4:AB33" si="3">AA4/Z4</f>
        <v>2.0831579024571303</v>
      </c>
      <c r="AC4" s="29">
        <f t="shared" ref="AC4:AC33" si="4">TTEST(F4:L4,N4:T4,2,3)</f>
        <v>1.8922267823336491E-4</v>
      </c>
      <c r="AD4" s="4" t="str">
        <f t="shared" ref="AD4:AD32" si="5">IF(AC4&lt;0.001,"***",IF(AC4&lt;0.01,"**",IF(AC4&lt;0.05,"*","-")))</f>
        <v>***</v>
      </c>
      <c r="AE4" s="2">
        <f t="shared" ref="AE4:AE33" si="6">_xlfn.RANK.EQ(AC4,$AC$4:$AC$33,1)</f>
        <v>1</v>
      </c>
      <c r="AF4" s="2">
        <f t="shared" ref="AF4:AF33" si="7">COUNTIF($AE$4:$AE$33,AE4)+AE4-1</f>
        <v>1</v>
      </c>
      <c r="AG4" s="2">
        <f t="shared" ref="AG4:AG33" si="8">MIN(AC4*$AF$3/AF4,1)</f>
        <v>5.676680347000947E-3</v>
      </c>
      <c r="AH4" s="29">
        <f t="shared" ref="AH4:AH33" si="9">MIN(AG4,IFERROR(VLOOKUP(AF4+1,$AF$4:$AH$33,3,FALSE),1))</f>
        <v>5.676680347000947E-3</v>
      </c>
      <c r="AI4" s="4" t="str">
        <f t="shared" ref="AI4:AI33" si="10">IF(AH4&lt;0.05,"**",IF(AH4&lt;0.1,"*",""))</f>
        <v>**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6" t="s">
        <v>316</v>
      </c>
      <c r="AZ4" s="6" t="s">
        <v>317</v>
      </c>
      <c r="BA4" s="6" t="s">
        <v>318</v>
      </c>
    </row>
    <row r="5" spans="1:53" ht="27" customHeight="1" x14ac:dyDescent="0.2">
      <c r="A5" s="13" t="s">
        <v>89</v>
      </c>
      <c r="B5" s="2">
        <v>12</v>
      </c>
      <c r="C5" s="1" t="s">
        <v>91</v>
      </c>
      <c r="D5" s="1" t="s">
        <v>118</v>
      </c>
      <c r="E5" s="28">
        <v>9.843</v>
      </c>
      <c r="F5" s="2">
        <v>4.8081822651291253E-2</v>
      </c>
      <c r="G5" s="2">
        <v>9.241141245542675E-2</v>
      </c>
      <c r="H5" s="2">
        <v>5.6527294746097738E-2</v>
      </c>
      <c r="I5" s="2">
        <v>8.4280112979130767E-2</v>
      </c>
      <c r="J5" s="2">
        <v>0.15969941011722841</v>
      </c>
      <c r="K5" s="2">
        <v>0.14553067150283114</v>
      </c>
      <c r="L5" s="2">
        <v>0.14895793202626345</v>
      </c>
      <c r="M5" s="2"/>
      <c r="N5" s="2">
        <v>2.99733693656721E-2</v>
      </c>
      <c r="O5" s="2">
        <v>8.3809579956512684E-2</v>
      </c>
      <c r="P5" s="2">
        <v>0.13343582587875255</v>
      </c>
      <c r="Q5" s="2">
        <v>0.10286067971779761</v>
      </c>
      <c r="R5" s="2">
        <v>0.11874099981507627</v>
      </c>
      <c r="S5" s="2">
        <v>2.9239346658856323E-2</v>
      </c>
      <c r="T5" s="2">
        <v>6.0050046894075011E-2</v>
      </c>
      <c r="U5" s="2"/>
      <c r="V5" s="2">
        <v>7.6061890263472889E-2</v>
      </c>
      <c r="W5" s="2">
        <v>9.1851639440607313E-2</v>
      </c>
      <c r="X5" s="2">
        <v>9.6055597917363608E-2</v>
      </c>
      <c r="Y5" s="3">
        <f t="shared" si="0"/>
        <v>0.11980364416074729</v>
      </c>
      <c r="Z5" s="2">
        <f t="shared" si="1"/>
        <v>0.10506980806832424</v>
      </c>
      <c r="AA5" s="2">
        <f t="shared" si="2"/>
        <v>7.9729978326677498E-2</v>
      </c>
      <c r="AB5" s="15">
        <f t="shared" si="3"/>
        <v>0.75882862824714703</v>
      </c>
      <c r="AC5" s="29">
        <f t="shared" si="4"/>
        <v>0.3015211056011522</v>
      </c>
      <c r="AD5" s="4" t="str">
        <f t="shared" si="5"/>
        <v>-</v>
      </c>
      <c r="AE5" s="2">
        <f t="shared" si="6"/>
        <v>19</v>
      </c>
      <c r="AF5" s="2">
        <f t="shared" si="7"/>
        <v>19</v>
      </c>
      <c r="AG5" s="2">
        <f t="shared" si="8"/>
        <v>0.47608595621234562</v>
      </c>
      <c r="AH5" s="29">
        <f t="shared" si="9"/>
        <v>0.46612509208520569</v>
      </c>
      <c r="AI5" s="4" t="str">
        <f t="shared" si="10"/>
        <v/>
      </c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6" t="s">
        <v>319</v>
      </c>
      <c r="AZ5" s="6" t="s">
        <v>320</v>
      </c>
      <c r="BA5" s="6" t="s">
        <v>321</v>
      </c>
    </row>
    <row r="6" spans="1:53" ht="27" customHeight="1" x14ac:dyDescent="0.2">
      <c r="A6" s="13" t="s">
        <v>89</v>
      </c>
      <c r="B6" s="2">
        <v>13</v>
      </c>
      <c r="C6" s="1" t="s">
        <v>30</v>
      </c>
      <c r="D6" s="1" t="s">
        <v>118</v>
      </c>
      <c r="E6" s="28">
        <v>11.366</v>
      </c>
      <c r="F6" s="2">
        <v>1.8849860957635092</v>
      </c>
      <c r="G6" s="2">
        <v>2.272078306242348</v>
      </c>
      <c r="H6" s="2">
        <v>2.4215152844949555</v>
      </c>
      <c r="I6" s="2">
        <v>2.2803619604559922</v>
      </c>
      <c r="J6" s="2">
        <v>2.5268661221459516</v>
      </c>
      <c r="K6" s="2">
        <v>2.181221372564853</v>
      </c>
      <c r="L6" s="2">
        <v>2.3480776511355708</v>
      </c>
      <c r="M6" s="2"/>
      <c r="N6" s="2">
        <v>2.0945625948962361</v>
      </c>
      <c r="O6" s="2">
        <v>1.9186611006774965</v>
      </c>
      <c r="P6" s="2">
        <v>1.762582952563631</v>
      </c>
      <c r="Q6" s="2">
        <v>2.4170727548780984</v>
      </c>
      <c r="R6" s="2">
        <v>1.9110414503984579</v>
      </c>
      <c r="S6" s="2">
        <v>2.1750454183556864</v>
      </c>
      <c r="T6" s="2">
        <v>1.9832854763885583</v>
      </c>
      <c r="U6" s="2"/>
      <c r="V6" s="2">
        <v>2.1966546696488245</v>
      </c>
      <c r="W6" s="2">
        <v>2.144233549494853</v>
      </c>
      <c r="X6" s="2">
        <v>2.1127520433873865</v>
      </c>
      <c r="Y6" s="3">
        <f t="shared" si="0"/>
        <v>1.970263287102714E-2</v>
      </c>
      <c r="Z6" s="2">
        <f t="shared" si="1"/>
        <v>2.2735866846861685</v>
      </c>
      <c r="AA6" s="2">
        <f t="shared" si="2"/>
        <v>2.0374645354511665</v>
      </c>
      <c r="AB6" s="15">
        <f t="shared" si="3"/>
        <v>0.89614552599845343</v>
      </c>
      <c r="AC6" s="29">
        <f t="shared" si="4"/>
        <v>5.6595210310150489E-2</v>
      </c>
      <c r="AD6" s="4" t="str">
        <f t="shared" si="5"/>
        <v>-</v>
      </c>
      <c r="AE6" s="2">
        <f t="shared" si="6"/>
        <v>9</v>
      </c>
      <c r="AF6" s="2">
        <f t="shared" si="7"/>
        <v>9</v>
      </c>
      <c r="AG6" s="2">
        <f t="shared" si="8"/>
        <v>0.18865070103383497</v>
      </c>
      <c r="AH6" s="29">
        <f t="shared" si="9"/>
        <v>0.18865070103383497</v>
      </c>
      <c r="AI6" s="4" t="str">
        <f>IF(AH6&lt;0.05,"**",IF(AH6&lt;0.1,"*",""))</f>
        <v/>
      </c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6" t="s">
        <v>322</v>
      </c>
      <c r="AZ6" s="6" t="s">
        <v>323</v>
      </c>
      <c r="BA6" s="6" t="s">
        <v>324</v>
      </c>
    </row>
    <row r="7" spans="1:53" ht="27" customHeight="1" x14ac:dyDescent="0.2">
      <c r="A7" s="13" t="s">
        <v>89</v>
      </c>
      <c r="B7" s="2">
        <v>14</v>
      </c>
      <c r="C7" s="1" t="s">
        <v>92</v>
      </c>
      <c r="D7" s="1" t="s">
        <v>118</v>
      </c>
      <c r="E7" s="28">
        <v>11.558</v>
      </c>
      <c r="F7" s="2">
        <v>2.1411409354043218E-2</v>
      </c>
      <c r="G7" s="2">
        <v>1.839523392043297E-2</v>
      </c>
      <c r="H7" s="2">
        <v>1.7529886975425426E-2</v>
      </c>
      <c r="I7" s="2">
        <v>1.6935683498350982E-2</v>
      </c>
      <c r="J7" s="2">
        <v>2.1402088845279593E-2</v>
      </c>
      <c r="K7" s="2">
        <v>2.059049472465949E-2</v>
      </c>
      <c r="L7" s="2">
        <v>2.1118842232431437E-2</v>
      </c>
      <c r="M7" s="2"/>
      <c r="N7" s="2">
        <v>2.7712733727856469E-2</v>
      </c>
      <c r="O7" s="2">
        <v>2.3759863855604465E-2</v>
      </c>
      <c r="P7" s="2">
        <v>4.8500310994799546E-2</v>
      </c>
      <c r="Q7" s="2">
        <v>2.947119317158995E-2</v>
      </c>
      <c r="R7" s="2">
        <v>2.2968765705802453E-2</v>
      </c>
      <c r="S7" s="2">
        <v>2.4955466558117239E-2</v>
      </c>
      <c r="T7" s="2">
        <v>2.7222708994674213E-2</v>
      </c>
      <c r="U7" s="2"/>
      <c r="V7" s="2">
        <v>2.2259607578574279E-2</v>
      </c>
      <c r="W7" s="2">
        <v>2.5304565738944018E-2</v>
      </c>
      <c r="X7" s="2">
        <v>2.6229934413462056E-2</v>
      </c>
      <c r="Y7" s="3">
        <f t="shared" si="0"/>
        <v>8.4450681375339939E-2</v>
      </c>
      <c r="Z7" s="2">
        <f t="shared" si="1"/>
        <v>1.9626234221517585E-2</v>
      </c>
      <c r="AA7" s="2">
        <f t="shared" si="2"/>
        <v>2.9227291858349189E-2</v>
      </c>
      <c r="AB7" s="15">
        <f t="shared" si="3"/>
        <v>1.4891951012337001</v>
      </c>
      <c r="AC7" s="29">
        <f t="shared" si="4"/>
        <v>2.7591620163145848E-2</v>
      </c>
      <c r="AD7" s="4" t="str">
        <f t="shared" si="5"/>
        <v>*</v>
      </c>
      <c r="AE7" s="2">
        <f t="shared" si="6"/>
        <v>6</v>
      </c>
      <c r="AF7" s="2">
        <f t="shared" si="7"/>
        <v>6</v>
      </c>
      <c r="AG7" s="2">
        <f t="shared" si="8"/>
        <v>0.13795810081572923</v>
      </c>
      <c r="AH7" s="29">
        <f t="shared" si="9"/>
        <v>0.13795810081572923</v>
      </c>
      <c r="AI7" s="4" t="str">
        <f t="shared" si="10"/>
        <v/>
      </c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6" t="s">
        <v>325</v>
      </c>
      <c r="AZ7" s="6" t="s">
        <v>326</v>
      </c>
      <c r="BA7" s="6" t="s">
        <v>327</v>
      </c>
    </row>
    <row r="8" spans="1:53" ht="27" customHeight="1" x14ac:dyDescent="0.2">
      <c r="A8" s="13" t="s">
        <v>89</v>
      </c>
      <c r="B8" s="2">
        <v>15</v>
      </c>
      <c r="C8" s="1" t="s">
        <v>37</v>
      </c>
      <c r="D8" s="1" t="s">
        <v>118</v>
      </c>
      <c r="E8" s="28">
        <v>11.435</v>
      </c>
      <c r="F8" s="2">
        <v>1.6184682144164031</v>
      </c>
      <c r="G8" s="2">
        <v>1.672659149752693</v>
      </c>
      <c r="H8" s="2">
        <v>1.5575189451729268</v>
      </c>
      <c r="I8" s="2">
        <v>2.204172526803545</v>
      </c>
      <c r="J8" s="2">
        <v>2.0345126522648411</v>
      </c>
      <c r="K8" s="2">
        <v>1.8335206503021995</v>
      </c>
      <c r="L8" s="2">
        <v>1.4381035572577372</v>
      </c>
      <c r="M8" s="2"/>
      <c r="N8" s="2">
        <v>1.7252710975344563</v>
      </c>
      <c r="O8" s="2">
        <v>2.090892990005079</v>
      </c>
      <c r="P8" s="2">
        <v>2.2266738521109066</v>
      </c>
      <c r="Q8" s="2">
        <v>1.4816925365474567</v>
      </c>
      <c r="R8" s="2">
        <v>1.3310394451100309</v>
      </c>
      <c r="S8" s="2">
        <v>1.7563249987654523</v>
      </c>
      <c r="T8" s="2">
        <v>1.8188816695428451</v>
      </c>
      <c r="U8" s="2"/>
      <c r="V8" s="2">
        <v>1.7334544677616068</v>
      </c>
      <c r="W8" s="2">
        <v>1.7715869634524304</v>
      </c>
      <c r="X8" s="2">
        <v>1.749238802911151</v>
      </c>
      <c r="Y8" s="3">
        <f t="shared" si="0"/>
        <v>1.0939749723830125E-2</v>
      </c>
      <c r="Z8" s="2">
        <f t="shared" si="1"/>
        <v>1.7655650994243348</v>
      </c>
      <c r="AA8" s="2">
        <f t="shared" si="2"/>
        <v>1.7758252270880324</v>
      </c>
      <c r="AB8" s="15">
        <f t="shared" si="3"/>
        <v>1.0058112429085979</v>
      </c>
      <c r="AC8" s="29">
        <f t="shared" si="4"/>
        <v>0.94914984872238517</v>
      </c>
      <c r="AD8" s="4" t="str">
        <f t="shared" si="5"/>
        <v>-</v>
      </c>
      <c r="AE8" s="2">
        <f t="shared" si="6"/>
        <v>28</v>
      </c>
      <c r="AF8" s="2">
        <f t="shared" si="7"/>
        <v>28</v>
      </c>
      <c r="AG8" s="2">
        <f t="shared" si="8"/>
        <v>1</v>
      </c>
      <c r="AH8" s="29">
        <f t="shared" si="9"/>
        <v>0.96426660088336547</v>
      </c>
      <c r="AI8" s="4" t="str">
        <f t="shared" si="10"/>
        <v/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6" t="s">
        <v>191</v>
      </c>
      <c r="AZ8" s="6" t="s">
        <v>328</v>
      </c>
      <c r="BA8" s="6" t="s">
        <v>329</v>
      </c>
    </row>
    <row r="9" spans="1:53" ht="27" customHeight="1" x14ac:dyDescent="0.2">
      <c r="A9" s="13" t="s">
        <v>89</v>
      </c>
      <c r="B9" s="2">
        <v>19</v>
      </c>
      <c r="C9" s="1" t="s">
        <v>93</v>
      </c>
      <c r="D9" s="1" t="s">
        <v>118</v>
      </c>
      <c r="E9" s="28">
        <v>13.797000000000001</v>
      </c>
      <c r="F9" s="2">
        <v>0.32261856064146788</v>
      </c>
      <c r="G9" s="2">
        <v>0.67215672725674303</v>
      </c>
      <c r="H9" s="2">
        <v>9.4184691826255246E-2</v>
      </c>
      <c r="I9" s="2">
        <v>0.20275284119183784</v>
      </c>
      <c r="J9" s="2">
        <v>1.315412305560508</v>
      </c>
      <c r="K9" s="2">
        <v>1.2544712307464969</v>
      </c>
      <c r="L9" s="2">
        <v>1.4208522575496039</v>
      </c>
      <c r="M9" s="2"/>
      <c r="N9" s="2">
        <v>9.6742280374700187E-2</v>
      </c>
      <c r="O9" s="2">
        <v>0.5479615302879457</v>
      </c>
      <c r="P9" s="2">
        <v>0.46538596453923758</v>
      </c>
      <c r="Q9" s="2">
        <v>0.50988554252447293</v>
      </c>
      <c r="R9" s="2">
        <v>0.8997010199614649</v>
      </c>
      <c r="S9" s="2">
        <v>3.8505105828883911E-2</v>
      </c>
      <c r="T9" s="2">
        <v>0.24198328753065118</v>
      </c>
      <c r="U9" s="2"/>
      <c r="V9" s="2">
        <v>0.44611323053531576</v>
      </c>
      <c r="W9" s="2">
        <v>0.5201951721464072</v>
      </c>
      <c r="X9" s="2">
        <v>0.55443009910532526</v>
      </c>
      <c r="Y9" s="3">
        <f t="shared" si="0"/>
        <v>0.1092229569418561</v>
      </c>
      <c r="Z9" s="2">
        <f t="shared" si="1"/>
        <v>0.75463551639613047</v>
      </c>
      <c r="AA9" s="2">
        <f t="shared" si="2"/>
        <v>0.40002353300676524</v>
      </c>
      <c r="AB9" s="15">
        <f t="shared" si="3"/>
        <v>0.53008839938667962</v>
      </c>
      <c r="AC9" s="29">
        <f t="shared" si="4"/>
        <v>0.17804086684279702</v>
      </c>
      <c r="AD9" s="4" t="str">
        <f t="shared" si="5"/>
        <v>-</v>
      </c>
      <c r="AE9" s="2">
        <f t="shared" si="6"/>
        <v>15</v>
      </c>
      <c r="AF9" s="2">
        <f t="shared" si="7"/>
        <v>15</v>
      </c>
      <c r="AG9" s="2">
        <f t="shared" si="8"/>
        <v>0.35608173368559404</v>
      </c>
      <c r="AH9" s="29">
        <f t="shared" si="9"/>
        <v>0.35608173368559404</v>
      </c>
      <c r="AI9" s="4" t="str">
        <f t="shared" si="10"/>
        <v/>
      </c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6" t="s">
        <v>319</v>
      </c>
      <c r="AZ9" s="6" t="s">
        <v>321</v>
      </c>
      <c r="BA9" s="6" t="s">
        <v>330</v>
      </c>
    </row>
    <row r="10" spans="1:53" ht="27" customHeight="1" x14ac:dyDescent="0.2">
      <c r="A10" s="13" t="s">
        <v>89</v>
      </c>
      <c r="B10" s="2">
        <v>21</v>
      </c>
      <c r="C10" s="1" t="s">
        <v>94</v>
      </c>
      <c r="D10" s="1" t="s">
        <v>118</v>
      </c>
      <c r="E10" s="28">
        <v>14.430999999999999</v>
      </c>
      <c r="F10" s="2">
        <v>0.10021344296515637</v>
      </c>
      <c r="G10" s="2">
        <v>0.19406010766692339</v>
      </c>
      <c r="H10" s="2">
        <v>5.3580026359191207E-2</v>
      </c>
      <c r="I10" s="2">
        <v>9.8683206987065508E-2</v>
      </c>
      <c r="J10" s="2">
        <v>0.48333399999093735</v>
      </c>
      <c r="K10" s="2">
        <v>0.37080243805375457</v>
      </c>
      <c r="L10" s="2">
        <v>0.41224679657524732</v>
      </c>
      <c r="M10" s="2"/>
      <c r="N10" s="2">
        <v>3.9799279740391644E-2</v>
      </c>
      <c r="O10" s="2">
        <v>0.17786215210188422</v>
      </c>
      <c r="P10" s="2">
        <v>0.17924273200940888</v>
      </c>
      <c r="Q10" s="2">
        <v>0.24288533935845902</v>
      </c>
      <c r="R10" s="2">
        <v>0.32708620282588985</v>
      </c>
      <c r="S10" s="2">
        <v>2.0548564874021073E-2</v>
      </c>
      <c r="T10" s="2">
        <v>8.3998356084239181E-2</v>
      </c>
      <c r="U10" s="2"/>
      <c r="V10" s="2">
        <v>0.1774109411795802</v>
      </c>
      <c r="W10" s="2">
        <v>0.2156578854405081</v>
      </c>
      <c r="X10" s="2">
        <v>0.21319697095837925</v>
      </c>
      <c r="Y10" s="3">
        <f t="shared" si="0"/>
        <v>0.10592814810101471</v>
      </c>
      <c r="Z10" s="2">
        <f t="shared" si="1"/>
        <v>0.24470285979975367</v>
      </c>
      <c r="AA10" s="2">
        <f t="shared" si="2"/>
        <v>0.15306037528489913</v>
      </c>
      <c r="AB10" s="15">
        <f t="shared" si="3"/>
        <v>0.62549483651377091</v>
      </c>
      <c r="AC10" s="29">
        <f t="shared" si="4"/>
        <v>0.26799915515728684</v>
      </c>
      <c r="AD10" s="4" t="str">
        <f t="shared" si="5"/>
        <v>-</v>
      </c>
      <c r="AE10" s="2">
        <f t="shared" si="6"/>
        <v>17</v>
      </c>
      <c r="AF10" s="2">
        <f t="shared" si="7"/>
        <v>17</v>
      </c>
      <c r="AG10" s="2">
        <f t="shared" si="8"/>
        <v>0.4729396855716827</v>
      </c>
      <c r="AH10" s="29">
        <f t="shared" si="9"/>
        <v>0.4515244041831637</v>
      </c>
      <c r="AI10" s="4" t="str">
        <f t="shared" si="10"/>
        <v/>
      </c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6" t="s">
        <v>319</v>
      </c>
      <c r="AZ10" s="6" t="s">
        <v>321</v>
      </c>
      <c r="BA10" s="6" t="s">
        <v>331</v>
      </c>
    </row>
    <row r="11" spans="1:53" ht="27" customHeight="1" x14ac:dyDescent="0.2">
      <c r="A11" s="13" t="s">
        <v>89</v>
      </c>
      <c r="B11" s="2">
        <v>22</v>
      </c>
      <c r="C11" s="1" t="s">
        <v>95</v>
      </c>
      <c r="D11" s="1" t="s">
        <v>118</v>
      </c>
      <c r="E11" s="28">
        <v>15.076000000000001</v>
      </c>
      <c r="F11" s="2">
        <v>0.17627325171611785</v>
      </c>
      <c r="G11" s="2">
        <v>0.35712750460349241</v>
      </c>
      <c r="H11" s="2">
        <v>0.11170550452367037</v>
      </c>
      <c r="I11" s="2">
        <v>0.22396824795941925</v>
      </c>
      <c r="J11" s="2">
        <v>0.69221618079389113</v>
      </c>
      <c r="K11" s="2">
        <v>0.5994697511492546</v>
      </c>
      <c r="L11" s="2">
        <v>0.67879636120597653</v>
      </c>
      <c r="M11" s="2"/>
      <c r="N11" s="2">
        <v>5.0891032503311888E-2</v>
      </c>
      <c r="O11" s="2">
        <v>0.35445808230797282</v>
      </c>
      <c r="P11" s="2">
        <v>0.33054360767608182</v>
      </c>
      <c r="Q11" s="2">
        <v>0.44101628276413679</v>
      </c>
      <c r="R11" s="2">
        <v>0.51916516191061401</v>
      </c>
      <c r="S11" s="2">
        <v>1.8559055867516893E-2</v>
      </c>
      <c r="T11" s="2">
        <v>0.1616325433629556</v>
      </c>
      <c r="U11" s="2"/>
      <c r="V11" s="2">
        <v>0.28756395507631816</v>
      </c>
      <c r="W11" s="2">
        <v>0.35316101335261624</v>
      </c>
      <c r="X11" s="2">
        <v>0.38713066313089312</v>
      </c>
      <c r="Y11" s="3">
        <f t="shared" si="0"/>
        <v>0.14772590766022306</v>
      </c>
      <c r="Z11" s="2">
        <f t="shared" si="1"/>
        <v>0.40565097170740316</v>
      </c>
      <c r="AA11" s="2">
        <f t="shared" si="2"/>
        <v>0.26803796662751284</v>
      </c>
      <c r="AB11" s="15">
        <f t="shared" si="3"/>
        <v>0.66076007534094883</v>
      </c>
      <c r="AC11" s="29">
        <f t="shared" si="4"/>
        <v>0.27091464250989822</v>
      </c>
      <c r="AD11" s="4" t="str">
        <f t="shared" si="5"/>
        <v>-</v>
      </c>
      <c r="AE11" s="2">
        <f t="shared" si="6"/>
        <v>18</v>
      </c>
      <c r="AF11" s="2">
        <f t="shared" si="7"/>
        <v>18</v>
      </c>
      <c r="AG11" s="2">
        <f t="shared" si="8"/>
        <v>0.4515244041831637</v>
      </c>
      <c r="AH11" s="29">
        <f t="shared" si="9"/>
        <v>0.4515244041831637</v>
      </c>
      <c r="AI11" s="4" t="str">
        <f t="shared" si="10"/>
        <v/>
      </c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6" t="s">
        <v>319</v>
      </c>
      <c r="AZ11" s="6" t="s">
        <v>321</v>
      </c>
      <c r="BA11" s="6" t="s">
        <v>331</v>
      </c>
    </row>
    <row r="12" spans="1:53" ht="27" customHeight="1" x14ac:dyDescent="0.2">
      <c r="A12" s="13" t="s">
        <v>89</v>
      </c>
      <c r="B12" s="2">
        <v>23</v>
      </c>
      <c r="C12" s="1" t="s">
        <v>32</v>
      </c>
      <c r="D12" s="1" t="s">
        <v>118</v>
      </c>
      <c r="E12" s="28">
        <v>15.787000000000001</v>
      </c>
      <c r="F12" s="2">
        <v>7.3639299906057901E-2</v>
      </c>
      <c r="G12" s="2">
        <v>6.1075794031604631E-2</v>
      </c>
      <c r="H12" s="2">
        <v>4.6869756411794417E-2</v>
      </c>
      <c r="I12" s="2">
        <v>8.5749430836563473E-2</v>
      </c>
      <c r="J12" s="2">
        <v>9.2063850346353893E-2</v>
      </c>
      <c r="K12" s="2">
        <v>8.0397560031398446E-2</v>
      </c>
      <c r="L12" s="2">
        <v>5.347344938541685E-2</v>
      </c>
      <c r="M12" s="2"/>
      <c r="N12" s="2">
        <v>7.3549107935051455E-2</v>
      </c>
      <c r="O12" s="2">
        <v>7.7181908549474806E-2</v>
      </c>
      <c r="P12" s="2">
        <v>7.7069405935072624E-2</v>
      </c>
      <c r="Q12" s="2">
        <v>6.1591068000233937E-2</v>
      </c>
      <c r="R12" s="2">
        <v>6.0377819336653871E-2</v>
      </c>
      <c r="S12" s="2">
        <v>7.5530270673473857E-2</v>
      </c>
      <c r="T12" s="2">
        <v>5.8414190163533213E-2</v>
      </c>
      <c r="U12" s="2"/>
      <c r="V12" s="2">
        <v>6.8852697850102521E-2</v>
      </c>
      <c r="W12" s="2">
        <v>6.990504384499463E-2</v>
      </c>
      <c r="X12" s="2">
        <v>6.7775359885358086E-2</v>
      </c>
      <c r="Y12" s="3">
        <f t="shared" si="0"/>
        <v>1.5467734879959406E-2</v>
      </c>
      <c r="Z12" s="2">
        <f t="shared" si="1"/>
        <v>7.046702013559851E-2</v>
      </c>
      <c r="AA12" s="2">
        <f t="shared" si="2"/>
        <v>6.9101967227641961E-2</v>
      </c>
      <c r="AB12" s="15">
        <f t="shared" si="3"/>
        <v>0.9806284854201327</v>
      </c>
      <c r="AC12" s="29">
        <f t="shared" si="4"/>
        <v>0.85397620515156225</v>
      </c>
      <c r="AD12" s="4" t="str">
        <f t="shared" si="5"/>
        <v>-</v>
      </c>
      <c r="AE12" s="2">
        <f t="shared" si="6"/>
        <v>26</v>
      </c>
      <c r="AF12" s="2">
        <f t="shared" si="7"/>
        <v>26</v>
      </c>
      <c r="AG12" s="2">
        <f t="shared" si="8"/>
        <v>0.98535715979026406</v>
      </c>
      <c r="AH12" s="29">
        <f t="shared" si="9"/>
        <v>0.95755654087667197</v>
      </c>
      <c r="AI12" s="4" t="str">
        <f t="shared" si="10"/>
        <v/>
      </c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6" t="s">
        <v>332</v>
      </c>
      <c r="AZ12" s="6" t="s">
        <v>333</v>
      </c>
      <c r="BA12" s="6" t="s">
        <v>334</v>
      </c>
    </row>
    <row r="13" spans="1:53" ht="27" customHeight="1" x14ac:dyDescent="0.2">
      <c r="A13" s="13" t="s">
        <v>89</v>
      </c>
      <c r="B13" s="2">
        <v>25</v>
      </c>
      <c r="C13" s="1" t="s">
        <v>96</v>
      </c>
      <c r="D13" s="1" t="s">
        <v>118</v>
      </c>
      <c r="E13" s="28">
        <v>16.846</v>
      </c>
      <c r="F13" s="2">
        <v>1.287232498723411E-2</v>
      </c>
      <c r="G13" s="2">
        <v>1.3450144025161806E-2</v>
      </c>
      <c r="H13" s="2">
        <v>1.2867072392654543E-2</v>
      </c>
      <c r="I13" s="2">
        <v>1.3081623164041559E-2</v>
      </c>
      <c r="J13" s="2">
        <v>1.4536200110987897E-2</v>
      </c>
      <c r="K13" s="2">
        <v>1.4849953470477531E-2</v>
      </c>
      <c r="L13" s="2">
        <v>1.2744475327767932E-2</v>
      </c>
      <c r="M13" s="2"/>
      <c r="N13" s="2">
        <v>1.7108262852813961E-2</v>
      </c>
      <c r="O13" s="2">
        <v>1.7094381420061852E-2</v>
      </c>
      <c r="P13" s="2">
        <v>2.0003933071190996E-2</v>
      </c>
      <c r="Q13" s="2">
        <v>2.1403711575251016E-2</v>
      </c>
      <c r="R13" s="2">
        <v>1.3910061613655723E-2</v>
      </c>
      <c r="S13" s="2">
        <v>1.5388341638115305E-2</v>
      </c>
      <c r="T13" s="2">
        <v>1.6924627271429783E-2</v>
      </c>
      <c r="U13" s="2"/>
      <c r="V13" s="2">
        <v>1.2321979904418233E-2</v>
      </c>
      <c r="W13" s="2">
        <v>1.5250080659862265E-2</v>
      </c>
      <c r="X13" s="2">
        <v>1.608203874439192E-2</v>
      </c>
      <c r="Y13" s="3">
        <f t="shared" si="0"/>
        <v>0.13572672530522431</v>
      </c>
      <c r="Z13" s="2">
        <f t="shared" si="1"/>
        <v>1.3485970496903626E-2</v>
      </c>
      <c r="AA13" s="2">
        <f t="shared" si="2"/>
        <v>1.7404759920359805E-2</v>
      </c>
      <c r="AB13" s="15">
        <f t="shared" si="3"/>
        <v>1.2905826780768896</v>
      </c>
      <c r="AC13" s="29">
        <f t="shared" si="4"/>
        <v>5.8814062051179925E-3</v>
      </c>
      <c r="AD13" s="4" t="str">
        <f t="shared" si="5"/>
        <v>**</v>
      </c>
      <c r="AE13" s="2">
        <f t="shared" si="6"/>
        <v>3</v>
      </c>
      <c r="AF13" s="2">
        <f t="shared" si="7"/>
        <v>3</v>
      </c>
      <c r="AG13" s="2">
        <f t="shared" si="8"/>
        <v>5.8814062051179922E-2</v>
      </c>
      <c r="AH13" s="29">
        <f t="shared" si="9"/>
        <v>5.8814062051179922E-2</v>
      </c>
      <c r="AI13" s="4" t="str">
        <f t="shared" si="10"/>
        <v>*</v>
      </c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6" t="s">
        <v>335</v>
      </c>
      <c r="AZ13" s="6" t="s">
        <v>336</v>
      </c>
      <c r="BA13" s="6" t="s">
        <v>337</v>
      </c>
    </row>
    <row r="14" spans="1:53" ht="27" customHeight="1" x14ac:dyDescent="0.2">
      <c r="A14" s="13" t="s">
        <v>89</v>
      </c>
      <c r="B14" s="2">
        <v>26</v>
      </c>
      <c r="C14" s="1" t="s">
        <v>97</v>
      </c>
      <c r="D14" s="1" t="s">
        <v>118</v>
      </c>
      <c r="E14" s="28">
        <v>17.977</v>
      </c>
      <c r="F14" s="2">
        <v>1.1166235324545521</v>
      </c>
      <c r="G14" s="2">
        <v>1.296954328520965</v>
      </c>
      <c r="H14" s="2">
        <v>1.6511930026275112</v>
      </c>
      <c r="I14" s="2">
        <v>1.350571249762254</v>
      </c>
      <c r="J14" s="2">
        <v>1.3261479053406184</v>
      </c>
      <c r="K14" s="2">
        <v>1.473603015178564</v>
      </c>
      <c r="L14" s="2">
        <v>1.3668524272276641</v>
      </c>
      <c r="M14" s="2"/>
      <c r="N14" s="2">
        <v>1.7508204390602424</v>
      </c>
      <c r="O14" s="2">
        <v>1.2607201905181977</v>
      </c>
      <c r="P14" s="2">
        <v>2.8718551645530921</v>
      </c>
      <c r="Q14" s="2">
        <v>1.4151286435689725</v>
      </c>
      <c r="R14" s="2">
        <v>0.97051960662230397</v>
      </c>
      <c r="S14" s="2">
        <v>2.1199981175469991</v>
      </c>
      <c r="T14" s="2">
        <v>1.8735008781498641</v>
      </c>
      <c r="U14" s="2"/>
      <c r="V14" s="2">
        <v>1.3836950898863818</v>
      </c>
      <c r="W14" s="2">
        <v>1.5890507047909646</v>
      </c>
      <c r="X14" s="2">
        <v>1.6811442472236051</v>
      </c>
      <c r="Y14" s="3">
        <f t="shared" si="0"/>
        <v>9.8160557720738534E-2</v>
      </c>
      <c r="Z14" s="2">
        <f t="shared" si="1"/>
        <v>1.3688493515874469</v>
      </c>
      <c r="AA14" s="2">
        <f t="shared" si="2"/>
        <v>1.7517918628599531</v>
      </c>
      <c r="AB14" s="15">
        <f t="shared" si="3"/>
        <v>1.2797550445039185</v>
      </c>
      <c r="AC14" s="29">
        <f t="shared" si="4"/>
        <v>0.16392461588363394</v>
      </c>
      <c r="AD14" s="4" t="str">
        <f t="shared" si="5"/>
        <v>-</v>
      </c>
      <c r="AE14" s="2">
        <f t="shared" si="6"/>
        <v>14</v>
      </c>
      <c r="AF14" s="2">
        <f t="shared" si="7"/>
        <v>14</v>
      </c>
      <c r="AG14" s="2">
        <f t="shared" si="8"/>
        <v>0.35126703403635845</v>
      </c>
      <c r="AH14" s="29">
        <f t="shared" si="9"/>
        <v>0.35126703403635845</v>
      </c>
      <c r="AI14" s="4" t="str">
        <f t="shared" si="10"/>
        <v/>
      </c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6" t="s">
        <v>338</v>
      </c>
      <c r="AZ14" s="6" t="s">
        <v>339</v>
      </c>
      <c r="BA14" s="6" t="s">
        <v>340</v>
      </c>
    </row>
    <row r="15" spans="1:53" ht="27" customHeight="1" x14ac:dyDescent="0.2">
      <c r="A15" s="13" t="s">
        <v>89</v>
      </c>
      <c r="B15" s="2">
        <v>27</v>
      </c>
      <c r="C15" s="1" t="s">
        <v>98</v>
      </c>
      <c r="D15" s="1" t="s">
        <v>118</v>
      </c>
      <c r="E15" s="28">
        <v>18.446999999999999</v>
      </c>
      <c r="F15" s="2">
        <v>4.4829978533102652E-3</v>
      </c>
      <c r="G15" s="2">
        <v>4.9652994708628689E-3</v>
      </c>
      <c r="H15" s="2">
        <v>3.3307359534539035E-3</v>
      </c>
      <c r="I15" s="2">
        <v>3.3634457493311128E-3</v>
      </c>
      <c r="J15" s="2">
        <v>4.0447697907415566E-3</v>
      </c>
      <c r="K15" s="2">
        <v>3.4536533328227074E-3</v>
      </c>
      <c r="L15" s="2">
        <v>3.3355100081797632E-3</v>
      </c>
      <c r="M15" s="2"/>
      <c r="N15" s="2">
        <v>2.7369477950518772E-3</v>
      </c>
      <c r="O15" s="2">
        <v>4.8815735437622533E-3</v>
      </c>
      <c r="P15" s="2">
        <v>2.8195145592506275E-3</v>
      </c>
      <c r="Q15" s="2">
        <v>3.4819548936725411E-3</v>
      </c>
      <c r="R15" s="2">
        <v>2.0535884585858345E-3</v>
      </c>
      <c r="S15" s="2">
        <v>2.6422721715153551E-3</v>
      </c>
      <c r="T15" s="2">
        <v>2.6715211315358894E-3</v>
      </c>
      <c r="U15" s="2"/>
      <c r="V15" s="2">
        <v>3.1274897640411678E-3</v>
      </c>
      <c r="W15" s="2">
        <v>3.5119056827444674E-3</v>
      </c>
      <c r="X15" s="2">
        <v>3.4949486973773615E-3</v>
      </c>
      <c r="Y15" s="3">
        <f t="shared" si="0"/>
        <v>6.4300098218753571E-2</v>
      </c>
      <c r="Z15" s="2">
        <f t="shared" si="1"/>
        <v>3.8537731655288827E-3</v>
      </c>
      <c r="AA15" s="2">
        <f t="shared" si="2"/>
        <v>3.041053221910625E-3</v>
      </c>
      <c r="AB15" s="15">
        <f t="shared" si="3"/>
        <v>0.78911059143598505</v>
      </c>
      <c r="AC15" s="29">
        <f t="shared" si="4"/>
        <v>8.2725302556720129E-2</v>
      </c>
      <c r="AD15" s="4" t="str">
        <f t="shared" si="5"/>
        <v>-</v>
      </c>
      <c r="AE15" s="2">
        <f t="shared" si="6"/>
        <v>11</v>
      </c>
      <c r="AF15" s="2">
        <f t="shared" si="7"/>
        <v>11</v>
      </c>
      <c r="AG15" s="2">
        <f t="shared" si="8"/>
        <v>0.22561446151832765</v>
      </c>
      <c r="AH15" s="29">
        <f t="shared" si="9"/>
        <v>0.22561446151832765</v>
      </c>
      <c r="AI15" s="4" t="str">
        <f t="shared" si="10"/>
        <v/>
      </c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6" t="s">
        <v>341</v>
      </c>
      <c r="AZ15" s="6" t="s">
        <v>342</v>
      </c>
      <c r="BA15" s="6" t="s">
        <v>343</v>
      </c>
    </row>
    <row r="16" spans="1:53" ht="27" customHeight="1" x14ac:dyDescent="0.2">
      <c r="A16" s="13" t="s">
        <v>89</v>
      </c>
      <c r="B16" s="2">
        <v>30</v>
      </c>
      <c r="C16" s="1" t="s">
        <v>99</v>
      </c>
      <c r="D16" s="1" t="s">
        <v>118</v>
      </c>
      <c r="E16" s="28">
        <v>23.11</v>
      </c>
      <c r="F16" s="2">
        <v>8.8529551993376757E-3</v>
      </c>
      <c r="G16" s="2">
        <v>9.4226736764087306E-3</v>
      </c>
      <c r="H16" s="2">
        <v>7.9853329208238472E-3</v>
      </c>
      <c r="I16" s="2">
        <v>8.3476975985013104E-3</v>
      </c>
      <c r="J16" s="2">
        <v>1.2481884109350494E-2</v>
      </c>
      <c r="K16" s="2">
        <v>1.2600858582123819E-2</v>
      </c>
      <c r="L16" s="2">
        <v>9.5133725356948695E-3</v>
      </c>
      <c r="M16" s="2"/>
      <c r="N16" s="2">
        <v>1.2337978691620868E-2</v>
      </c>
      <c r="O16" s="2">
        <v>1.5183983063128521E-2</v>
      </c>
      <c r="P16" s="2">
        <v>1.4539057028462411E-2</v>
      </c>
      <c r="Q16" s="2">
        <v>1.3930198793716663E-2</v>
      </c>
      <c r="R16" s="2">
        <v>1.1206144345260377E-2</v>
      </c>
      <c r="S16" s="2">
        <v>1.1122314518663204E-2</v>
      </c>
      <c r="T16" s="2">
        <v>1.4154311909881458E-2</v>
      </c>
      <c r="U16" s="2"/>
      <c r="V16" s="2">
        <v>8.4313715618443228E-3</v>
      </c>
      <c r="W16" s="2">
        <v>1.1815589306615448E-2</v>
      </c>
      <c r="X16" s="2">
        <v>1.3652819235265868E-2</v>
      </c>
      <c r="Y16" s="3">
        <f t="shared" si="0"/>
        <v>0.23439470880934815</v>
      </c>
      <c r="Z16" s="2">
        <f t="shared" si="1"/>
        <v>9.8863963746058225E-3</v>
      </c>
      <c r="AA16" s="2">
        <f t="shared" si="2"/>
        <v>1.3210569764390501E-2</v>
      </c>
      <c r="AB16" s="15">
        <f t="shared" si="3"/>
        <v>1.3362371144983771</v>
      </c>
      <c r="AC16" s="29">
        <f t="shared" si="4"/>
        <v>4.4422795232042251E-3</v>
      </c>
      <c r="AD16" s="4" t="str">
        <f t="shared" si="5"/>
        <v>**</v>
      </c>
      <c r="AE16" s="2">
        <f t="shared" si="6"/>
        <v>2</v>
      </c>
      <c r="AF16" s="2">
        <f t="shared" si="7"/>
        <v>2</v>
      </c>
      <c r="AG16" s="2">
        <f t="shared" si="8"/>
        <v>6.6634192848063378E-2</v>
      </c>
      <c r="AH16" s="29">
        <f t="shared" si="9"/>
        <v>5.8814062051179922E-2</v>
      </c>
      <c r="AI16" s="4" t="str">
        <f t="shared" si="10"/>
        <v>*</v>
      </c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6" t="s">
        <v>344</v>
      </c>
      <c r="AZ16" s="6" t="s">
        <v>345</v>
      </c>
      <c r="BA16" s="6" t="s">
        <v>346</v>
      </c>
    </row>
    <row r="17" spans="1:53" ht="27" customHeight="1" x14ac:dyDescent="0.2">
      <c r="A17" s="13" t="s">
        <v>89</v>
      </c>
      <c r="B17" s="2">
        <v>31</v>
      </c>
      <c r="C17" s="1" t="s">
        <v>100</v>
      </c>
      <c r="D17" s="1" t="s">
        <v>118</v>
      </c>
      <c r="E17" s="28">
        <v>25.082000000000001</v>
      </c>
      <c r="F17" s="2">
        <v>0.13095455323764815</v>
      </c>
      <c r="G17" s="2">
        <v>0.15473423884023632</v>
      </c>
      <c r="H17" s="2">
        <v>9.3463857832842223E-2</v>
      </c>
      <c r="I17" s="2">
        <v>0.16439987594890917</v>
      </c>
      <c r="J17" s="2">
        <v>0.18051660063822442</v>
      </c>
      <c r="K17" s="2">
        <v>0.17315193013428745</v>
      </c>
      <c r="L17" s="2">
        <v>0.16105528515632875</v>
      </c>
      <c r="M17" s="2"/>
      <c r="N17" s="2">
        <v>0.1481166263045107</v>
      </c>
      <c r="O17" s="2">
        <v>0.18473900590330469</v>
      </c>
      <c r="P17" s="2">
        <v>0.26309314183917148</v>
      </c>
      <c r="Q17" s="2">
        <v>0.16996221189305358</v>
      </c>
      <c r="R17" s="2">
        <v>0.16274188633704248</v>
      </c>
      <c r="S17" s="2">
        <v>7.3532376644562802E-2</v>
      </c>
      <c r="T17" s="2">
        <v>0.18507986530610851</v>
      </c>
      <c r="U17" s="2"/>
      <c r="V17" s="2">
        <v>0.12456003942087066</v>
      </c>
      <c r="W17" s="2">
        <v>0.17206854628998924</v>
      </c>
      <c r="X17" s="2">
        <v>0.17705356643364317</v>
      </c>
      <c r="Y17" s="3">
        <f t="shared" si="0"/>
        <v>0.1835123234492817</v>
      </c>
      <c r="Z17" s="2">
        <f t="shared" si="1"/>
        <v>0.15118233454121091</v>
      </c>
      <c r="AA17" s="2">
        <f t="shared" si="2"/>
        <v>0.16960930203253635</v>
      </c>
      <c r="AB17" s="15">
        <f t="shared" si="3"/>
        <v>1.1218857186406419</v>
      </c>
      <c r="AC17" s="29">
        <f t="shared" si="4"/>
        <v>0.46308003947292931</v>
      </c>
      <c r="AD17" s="4" t="str">
        <f t="shared" si="5"/>
        <v>-</v>
      </c>
      <c r="AE17" s="2">
        <f t="shared" si="6"/>
        <v>22</v>
      </c>
      <c r="AF17" s="2">
        <f t="shared" si="7"/>
        <v>22</v>
      </c>
      <c r="AG17" s="2">
        <f t="shared" si="8"/>
        <v>0.63147278109944904</v>
      </c>
      <c r="AH17" s="29">
        <f t="shared" si="9"/>
        <v>0.62415472589169163</v>
      </c>
      <c r="AI17" s="4" t="str">
        <f t="shared" si="10"/>
        <v/>
      </c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6" t="s">
        <v>347</v>
      </c>
      <c r="AZ17" s="6" t="s">
        <v>348</v>
      </c>
      <c r="BA17" s="6" t="s">
        <v>349</v>
      </c>
    </row>
    <row r="18" spans="1:53" ht="27" customHeight="1" x14ac:dyDescent="0.2">
      <c r="A18" s="13" t="s">
        <v>89</v>
      </c>
      <c r="B18" s="2">
        <v>33</v>
      </c>
      <c r="C18" s="1" t="s">
        <v>60</v>
      </c>
      <c r="D18" s="1" t="s">
        <v>118</v>
      </c>
      <c r="E18" s="28">
        <v>26.001999999999999</v>
      </c>
      <c r="F18" s="2">
        <v>0.8180749134909796</v>
      </c>
      <c r="G18" s="2">
        <v>0.64197253056837511</v>
      </c>
      <c r="H18" s="2">
        <v>0.87517467588566777</v>
      </c>
      <c r="I18" s="2">
        <v>0.910166389725515</v>
      </c>
      <c r="J18" s="2">
        <v>0.64150505272674863</v>
      </c>
      <c r="K18" s="2">
        <v>0.58795282824792383</v>
      </c>
      <c r="L18" s="2">
        <v>0.51950900775217046</v>
      </c>
      <c r="M18" s="2"/>
      <c r="N18" s="2">
        <v>1.1762620191144331</v>
      </c>
      <c r="O18" s="2">
        <v>1.5636000790790654</v>
      </c>
      <c r="P18" s="2">
        <v>1.4918226287866843</v>
      </c>
      <c r="Q18" s="2">
        <v>0.93192591382024992</v>
      </c>
      <c r="R18" s="2">
        <v>0.66640681312853611</v>
      </c>
      <c r="S18" s="2">
        <v>0.87709624013119991</v>
      </c>
      <c r="T18" s="2">
        <v>0.91825314735156249</v>
      </c>
      <c r="U18" s="2"/>
      <c r="V18" s="2">
        <v>0.78481783580427011</v>
      </c>
      <c r="W18" s="2">
        <v>0.91356229198088656</v>
      </c>
      <c r="X18" s="2">
        <v>0.94137824473363241</v>
      </c>
      <c r="Y18" s="3">
        <f t="shared" si="0"/>
        <v>9.4925127543165039E-2</v>
      </c>
      <c r="Z18" s="2">
        <f t="shared" si="1"/>
        <v>0.71347934262819734</v>
      </c>
      <c r="AA18" s="2">
        <f t="shared" si="2"/>
        <v>1.0893381202016759</v>
      </c>
      <c r="AB18" s="15">
        <f t="shared" si="3"/>
        <v>1.5267970004414593</v>
      </c>
      <c r="AC18" s="29">
        <f t="shared" si="4"/>
        <v>2.5816446359933309E-2</v>
      </c>
      <c r="AD18" s="4" t="str">
        <f t="shared" si="5"/>
        <v>*</v>
      </c>
      <c r="AE18" s="2">
        <f t="shared" si="6"/>
        <v>5</v>
      </c>
      <c r="AF18" s="2">
        <f t="shared" si="7"/>
        <v>5</v>
      </c>
      <c r="AG18" s="2">
        <f t="shared" si="8"/>
        <v>0.15489867815959985</v>
      </c>
      <c r="AH18" s="29">
        <f t="shared" si="9"/>
        <v>0.13795810081572923</v>
      </c>
      <c r="AI18" s="4" t="str">
        <f t="shared" si="10"/>
        <v/>
      </c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6" t="s">
        <v>350</v>
      </c>
      <c r="AZ18" s="6" t="s">
        <v>351</v>
      </c>
      <c r="BA18" s="6" t="s">
        <v>352</v>
      </c>
    </row>
    <row r="19" spans="1:53" ht="27" customHeight="1" x14ac:dyDescent="0.2">
      <c r="A19" s="13" t="s">
        <v>89</v>
      </c>
      <c r="B19" s="2">
        <v>34</v>
      </c>
      <c r="C19" s="1" t="s">
        <v>101</v>
      </c>
      <c r="D19" s="1" t="s">
        <v>118</v>
      </c>
      <c r="E19" s="28">
        <v>26.2</v>
      </c>
      <c r="F19" s="2">
        <v>1.018825611720182E-3</v>
      </c>
      <c r="G19" s="2">
        <v>9.9999731412447565E-4</v>
      </c>
      <c r="H19" s="2">
        <v>1.3203074504994168E-3</v>
      </c>
      <c r="I19" s="2">
        <v>1.2220095292599638E-3</v>
      </c>
      <c r="J19" s="2">
        <v>1.3813015158033548E-3</v>
      </c>
      <c r="K19" s="2">
        <v>1.0668028391638115E-3</v>
      </c>
      <c r="L19" s="2">
        <v>1.0823264946280102E-3</v>
      </c>
      <c r="M19" s="2"/>
      <c r="N19" s="2">
        <v>1.4463267211668697E-3</v>
      </c>
      <c r="O19" s="2">
        <v>1.1443314863546171E-3</v>
      </c>
      <c r="P19" s="2">
        <v>2.0059198003856043E-3</v>
      </c>
      <c r="Q19" s="2">
        <v>1.1457225676930413E-3</v>
      </c>
      <c r="R19" s="2">
        <v>1.1074574932871169E-3</v>
      </c>
      <c r="S19" s="2">
        <v>1.4761971182008452E-3</v>
      </c>
      <c r="T19" s="2">
        <v>1.7080719626526206E-3</v>
      </c>
      <c r="U19" s="2"/>
      <c r="V19" s="2">
        <v>1.0693162895546021E-3</v>
      </c>
      <c r="W19" s="2">
        <v>1.3710980442754464E-3</v>
      </c>
      <c r="X19" s="2">
        <v>1.1190576131313952E-3</v>
      </c>
      <c r="Y19" s="3">
        <f t="shared" si="0"/>
        <v>0.13636653037831056</v>
      </c>
      <c r="Z19" s="2">
        <f t="shared" si="1"/>
        <v>1.1559386793141735E-3</v>
      </c>
      <c r="AA19" s="2">
        <f t="shared" si="2"/>
        <v>1.4334324499629594E-3</v>
      </c>
      <c r="AB19" s="15">
        <f t="shared" si="3"/>
        <v>1.2400592484831676</v>
      </c>
      <c r="AC19" s="29">
        <f t="shared" si="4"/>
        <v>8.020932005144793E-2</v>
      </c>
      <c r="AD19" s="4" t="str">
        <f t="shared" si="5"/>
        <v>-</v>
      </c>
      <c r="AE19" s="2">
        <f t="shared" si="6"/>
        <v>10</v>
      </c>
      <c r="AF19" s="2">
        <f t="shared" si="7"/>
        <v>10</v>
      </c>
      <c r="AG19" s="2">
        <f t="shared" si="8"/>
        <v>0.24062796015434379</v>
      </c>
      <c r="AH19" s="29">
        <f t="shared" si="9"/>
        <v>0.22561446151832765</v>
      </c>
      <c r="AI19" s="4" t="str">
        <f t="shared" si="10"/>
        <v/>
      </c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6" t="s">
        <v>353</v>
      </c>
      <c r="AZ19" s="6" t="s">
        <v>354</v>
      </c>
      <c r="BA19" s="6" t="s">
        <v>355</v>
      </c>
    </row>
    <row r="20" spans="1:53" ht="27" customHeight="1" x14ac:dyDescent="0.2">
      <c r="A20" s="13" t="s">
        <v>89</v>
      </c>
      <c r="B20" s="2">
        <v>35</v>
      </c>
      <c r="C20" s="1" t="s">
        <v>102</v>
      </c>
      <c r="D20" s="1" t="s">
        <v>118</v>
      </c>
      <c r="E20" s="28">
        <v>26.449000000000002</v>
      </c>
      <c r="F20" s="2">
        <v>0.11683560648296679</v>
      </c>
      <c r="G20" s="2">
        <v>6.8609085294955977E-2</v>
      </c>
      <c r="H20" s="2">
        <v>1.8628889918505687E-2</v>
      </c>
      <c r="I20" s="2">
        <v>4.0616267816516442E-2</v>
      </c>
      <c r="J20" s="2">
        <v>7.202246019997055E-2</v>
      </c>
      <c r="K20" s="2">
        <v>6.7456438175448108E-2</v>
      </c>
      <c r="L20" s="2">
        <v>5.2719273856305683E-2</v>
      </c>
      <c r="M20" s="2"/>
      <c r="N20" s="2">
        <v>7.9309023119675248E-2</v>
      </c>
      <c r="O20" s="2">
        <v>7.8957699644931295E-2</v>
      </c>
      <c r="P20" s="2">
        <v>3.4288029194327552E-2</v>
      </c>
      <c r="Q20" s="2">
        <v>0.10904793525103317</v>
      </c>
      <c r="R20" s="2">
        <v>6.4193553421003732E-2</v>
      </c>
      <c r="S20" s="2">
        <v>9.1630503808037819E-2</v>
      </c>
      <c r="T20" s="2">
        <v>5.5405927982482762E-2</v>
      </c>
      <c r="U20" s="2"/>
      <c r="V20" s="2">
        <v>6.6073727852506536E-2</v>
      </c>
      <c r="W20" s="2">
        <v>7.5291129073801505E-2</v>
      </c>
      <c r="X20" s="2">
        <v>7.624124733507176E-2</v>
      </c>
      <c r="Y20" s="3">
        <f t="shared" si="0"/>
        <v>7.7425306419306894E-2</v>
      </c>
      <c r="Z20" s="2">
        <f t="shared" si="1"/>
        <v>6.2412574534952754E-2</v>
      </c>
      <c r="AA20" s="2">
        <f t="shared" si="2"/>
        <v>7.3261810345927367E-2</v>
      </c>
      <c r="AB20" s="15">
        <f t="shared" si="3"/>
        <v>1.173830928972474</v>
      </c>
      <c r="AC20" s="29">
        <f t="shared" si="4"/>
        <v>0.47851862318363025</v>
      </c>
      <c r="AD20" s="4" t="str">
        <f t="shared" si="5"/>
        <v>-</v>
      </c>
      <c r="AE20" s="2">
        <f t="shared" si="6"/>
        <v>23</v>
      </c>
      <c r="AF20" s="2">
        <f t="shared" si="7"/>
        <v>23</v>
      </c>
      <c r="AG20" s="2">
        <f t="shared" si="8"/>
        <v>0.62415472589169163</v>
      </c>
      <c r="AH20" s="29">
        <f t="shared" si="9"/>
        <v>0.62415472589169163</v>
      </c>
      <c r="AI20" s="4" t="str">
        <f t="shared" si="10"/>
        <v/>
      </c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6" t="s">
        <v>356</v>
      </c>
      <c r="AZ20" s="6" t="s">
        <v>357</v>
      </c>
      <c r="BA20" s="6" t="s">
        <v>358</v>
      </c>
    </row>
    <row r="21" spans="1:53" ht="27" customHeight="1" x14ac:dyDescent="0.2">
      <c r="A21" s="13" t="s">
        <v>89</v>
      </c>
      <c r="B21" s="2">
        <v>36</v>
      </c>
      <c r="C21" s="1" t="s">
        <v>59</v>
      </c>
      <c r="D21" s="1" t="s">
        <v>118</v>
      </c>
      <c r="E21" s="28">
        <v>26.44</v>
      </c>
      <c r="F21" s="2">
        <v>7.9400427305187038E-2</v>
      </c>
      <c r="G21" s="2">
        <v>5.6610624236122259E-2</v>
      </c>
      <c r="H21" s="2">
        <v>4.030914859507808E-2</v>
      </c>
      <c r="I21" s="2">
        <v>6.6137640944260528E-2</v>
      </c>
      <c r="J21" s="2">
        <v>6.0191096994704263E-2</v>
      </c>
      <c r="K21" s="2">
        <v>5.837669349006188E-2</v>
      </c>
      <c r="L21" s="2">
        <v>5.6678483041553387E-2</v>
      </c>
      <c r="M21" s="2"/>
      <c r="N21" s="2">
        <v>8.2112918535553858E-2</v>
      </c>
      <c r="O21" s="2">
        <v>0.10910827550689542</v>
      </c>
      <c r="P21" s="2">
        <v>6.8868364079090971E-2</v>
      </c>
      <c r="Q21" s="2">
        <v>6.5571276370307185E-2</v>
      </c>
      <c r="R21" s="2">
        <v>5.6427072606793457E-2</v>
      </c>
      <c r="S21" s="2">
        <v>5.9803681563210753E-2</v>
      </c>
      <c r="T21" s="2">
        <v>7.2730346363847703E-2</v>
      </c>
      <c r="U21" s="2"/>
      <c r="V21" s="2">
        <v>6.0150244870063423E-2</v>
      </c>
      <c r="W21" s="2">
        <v>6.7784427088508306E-2</v>
      </c>
      <c r="X21" s="2">
        <v>6.5415125148610212E-2</v>
      </c>
      <c r="Y21" s="3">
        <f t="shared" si="0"/>
        <v>6.0629105185591253E-2</v>
      </c>
      <c r="Z21" s="2">
        <f t="shared" si="1"/>
        <v>5.9672016372423919E-2</v>
      </c>
      <c r="AA21" s="2">
        <f t="shared" si="2"/>
        <v>7.3517419289385613E-2</v>
      </c>
      <c r="AB21" s="15">
        <f t="shared" si="3"/>
        <v>1.2320250556064674</v>
      </c>
      <c r="AC21" s="29">
        <f t="shared" si="4"/>
        <v>0.11570330204009134</v>
      </c>
      <c r="AD21" s="4" t="str">
        <f t="shared" si="5"/>
        <v>-</v>
      </c>
      <c r="AE21" s="2">
        <f t="shared" si="6"/>
        <v>13</v>
      </c>
      <c r="AF21" s="2">
        <f t="shared" si="7"/>
        <v>13</v>
      </c>
      <c r="AG21" s="2">
        <f t="shared" si="8"/>
        <v>0.26700762009251849</v>
      </c>
      <c r="AH21" s="29">
        <f t="shared" si="9"/>
        <v>0.26700762009251849</v>
      </c>
      <c r="AI21" s="4" t="str">
        <f t="shared" si="10"/>
        <v/>
      </c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6" t="s">
        <v>359</v>
      </c>
      <c r="AZ21" s="6" t="s">
        <v>360</v>
      </c>
      <c r="BA21" s="6" t="s">
        <v>361</v>
      </c>
    </row>
    <row r="22" spans="1:53" ht="27" customHeight="1" x14ac:dyDescent="0.2">
      <c r="A22" s="13" t="s">
        <v>89</v>
      </c>
      <c r="B22" s="2">
        <v>38</v>
      </c>
      <c r="C22" s="1" t="s">
        <v>103</v>
      </c>
      <c r="D22" s="1" t="s">
        <v>118</v>
      </c>
      <c r="E22" s="28">
        <v>26.803999999999998</v>
      </c>
      <c r="F22" s="2">
        <v>2.8251709924273657E-2</v>
      </c>
      <c r="G22" s="2">
        <v>3.4582186841162106E-2</v>
      </c>
      <c r="H22" s="2">
        <v>1.3317581740445887E-2</v>
      </c>
      <c r="I22" s="2">
        <v>3.3562584228020442E-2</v>
      </c>
      <c r="J22" s="2">
        <v>3.2494977981880412E-2</v>
      </c>
      <c r="K22" s="2">
        <v>3.5834944471326492E-2</v>
      </c>
      <c r="L22" s="2">
        <v>3.3102510408788553E-2</v>
      </c>
      <c r="M22" s="2"/>
      <c r="N22" s="2">
        <v>2.9899420475582993E-2</v>
      </c>
      <c r="O22" s="2">
        <v>2.8723726543851302E-2</v>
      </c>
      <c r="P22" s="2">
        <v>4.8086810276589453E-2</v>
      </c>
      <c r="Q22" s="2">
        <v>3.1696663206403394E-2</v>
      </c>
      <c r="R22" s="2">
        <v>3.112287875516951E-2</v>
      </c>
      <c r="S22" s="2">
        <v>1.0812996920871256E-2</v>
      </c>
      <c r="T22" s="2">
        <v>2.8874241329210314E-2</v>
      </c>
      <c r="U22" s="2"/>
      <c r="V22" s="2">
        <v>2.1323424832882947E-2</v>
      </c>
      <c r="W22" s="2">
        <v>3.1031407985477877E-2</v>
      </c>
      <c r="X22" s="2">
        <v>3.4548361666533939E-2</v>
      </c>
      <c r="Y22" s="3">
        <f t="shared" si="0"/>
        <v>0.23646071781520137</v>
      </c>
      <c r="Z22" s="2">
        <f t="shared" si="1"/>
        <v>3.0163785085128226E-2</v>
      </c>
      <c r="AA22" s="2">
        <f t="shared" si="2"/>
        <v>2.9888105358239745E-2</v>
      </c>
      <c r="AB22" s="15">
        <f t="shared" si="3"/>
        <v>0.99086057250075021</v>
      </c>
      <c r="AC22" s="29">
        <f t="shared" si="4"/>
        <v>0.9573701242241438</v>
      </c>
      <c r="AD22" s="4" t="str">
        <f t="shared" si="5"/>
        <v>-</v>
      </c>
      <c r="AE22" s="2">
        <f t="shared" si="6"/>
        <v>29</v>
      </c>
      <c r="AF22" s="2">
        <f t="shared" si="7"/>
        <v>29</v>
      </c>
      <c r="AG22" s="2">
        <f t="shared" si="8"/>
        <v>0.9903828871284247</v>
      </c>
      <c r="AH22" s="29">
        <f t="shared" si="9"/>
        <v>0.96426660088336547</v>
      </c>
      <c r="AI22" s="4" t="str">
        <f t="shared" si="10"/>
        <v/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6" t="s">
        <v>362</v>
      </c>
      <c r="AZ22" s="6" t="s">
        <v>363</v>
      </c>
      <c r="BA22" s="6" t="s">
        <v>141</v>
      </c>
    </row>
    <row r="23" spans="1:53" ht="27" customHeight="1" x14ac:dyDescent="0.2">
      <c r="A23" s="13" t="s">
        <v>89</v>
      </c>
      <c r="B23" s="2">
        <v>39</v>
      </c>
      <c r="C23" s="1" t="s">
        <v>104</v>
      </c>
      <c r="D23" s="1" t="s">
        <v>118</v>
      </c>
      <c r="E23" s="28">
        <v>27.102</v>
      </c>
      <c r="F23" s="2">
        <v>0.20659691568705904</v>
      </c>
      <c r="G23" s="2">
        <v>0.18903139533002236</v>
      </c>
      <c r="H23" s="2">
        <v>0.16027040586992836</v>
      </c>
      <c r="I23" s="2">
        <v>0.19069430492778983</v>
      </c>
      <c r="J23" s="2">
        <v>0.20610523403805725</v>
      </c>
      <c r="K23" s="2">
        <v>0.20997651666905812</v>
      </c>
      <c r="L23" s="2">
        <v>0.20152941544274849</v>
      </c>
      <c r="M23" s="2"/>
      <c r="N23" s="2">
        <v>0.26588971936202627</v>
      </c>
      <c r="O23" s="2">
        <v>0.25342053225273015</v>
      </c>
      <c r="P23" s="2">
        <v>0.39169390462228809</v>
      </c>
      <c r="Q23" s="2">
        <v>0.29015084023566745</v>
      </c>
      <c r="R23" s="2">
        <v>0.18506544069877542</v>
      </c>
      <c r="S23" s="2">
        <v>0.23467285974314231</v>
      </c>
      <c r="T23" s="2">
        <v>0.26150725230554633</v>
      </c>
      <c r="U23" s="2"/>
      <c r="V23" s="2">
        <v>0.18520902375447293</v>
      </c>
      <c r="W23" s="2">
        <v>0.2344977645695315</v>
      </c>
      <c r="X23" s="2">
        <v>0.24280974170868083</v>
      </c>
      <c r="Y23" s="3">
        <f t="shared" si="0"/>
        <v>0.14098494693193417</v>
      </c>
      <c r="Z23" s="2">
        <f t="shared" si="1"/>
        <v>0.19488631256638048</v>
      </c>
      <c r="AA23" s="2">
        <f t="shared" si="2"/>
        <v>0.26891436417431086</v>
      </c>
      <c r="AB23" s="15">
        <f t="shared" si="3"/>
        <v>1.3798524926306233</v>
      </c>
      <c r="AC23" s="29">
        <f t="shared" si="4"/>
        <v>2.0742008799936932E-2</v>
      </c>
      <c r="AD23" s="4" t="str">
        <f t="shared" si="5"/>
        <v>*</v>
      </c>
      <c r="AE23" s="2">
        <f t="shared" si="6"/>
        <v>4</v>
      </c>
      <c r="AF23" s="2">
        <f t="shared" si="7"/>
        <v>4</v>
      </c>
      <c r="AG23" s="2">
        <f t="shared" si="8"/>
        <v>0.15556506599952699</v>
      </c>
      <c r="AH23" s="29">
        <f t="shared" si="9"/>
        <v>0.13795810081572923</v>
      </c>
      <c r="AI23" s="4" t="str">
        <f t="shared" si="10"/>
        <v/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6" t="s">
        <v>364</v>
      </c>
      <c r="AZ23" s="6" t="s">
        <v>365</v>
      </c>
      <c r="BA23" s="6" t="s">
        <v>366</v>
      </c>
    </row>
    <row r="24" spans="1:53" ht="27" customHeight="1" x14ac:dyDescent="0.2">
      <c r="A24" s="13" t="s">
        <v>89</v>
      </c>
      <c r="B24" s="2">
        <v>40</v>
      </c>
      <c r="C24" s="1" t="s">
        <v>105</v>
      </c>
      <c r="D24" s="1" t="s">
        <v>118</v>
      </c>
      <c r="E24" s="28">
        <v>27.954000000000001</v>
      </c>
      <c r="F24" s="2">
        <v>0.65345607772816472</v>
      </c>
      <c r="G24" s="2">
        <v>1.3413550608871605</v>
      </c>
      <c r="H24" s="2">
        <v>0.89363762708391503</v>
      </c>
      <c r="I24" s="2">
        <v>1.5724529095616504</v>
      </c>
      <c r="J24" s="2">
        <v>2.4068687966002225</v>
      </c>
      <c r="K24" s="2">
        <v>2.536280051917549</v>
      </c>
      <c r="L24" s="2">
        <v>2.0588504536830019</v>
      </c>
      <c r="M24" s="2"/>
      <c r="N24" s="2">
        <v>0.40903834824248786</v>
      </c>
      <c r="O24" s="2">
        <v>1.1695230763793578</v>
      </c>
      <c r="P24" s="2">
        <v>2.3873190483010829</v>
      </c>
      <c r="Q24" s="2">
        <v>1.1661901851877989</v>
      </c>
      <c r="R24" s="2">
        <v>2.0350810173799876</v>
      </c>
      <c r="S24" s="2">
        <v>0.14843148100040557</v>
      </c>
      <c r="T24" s="2">
        <v>1.3880800431736473</v>
      </c>
      <c r="U24" s="2"/>
      <c r="V24" s="2">
        <v>1.2078075539047681</v>
      </c>
      <c r="W24" s="2">
        <v>1.4907235337169389</v>
      </c>
      <c r="X24" s="2">
        <v>1.5970367344074319</v>
      </c>
      <c r="Y24" s="3">
        <f t="shared" si="0"/>
        <v>0.14050381449217941</v>
      </c>
      <c r="Z24" s="2">
        <f t="shared" si="1"/>
        <v>1.6375572824945233</v>
      </c>
      <c r="AA24" s="2">
        <f t="shared" si="2"/>
        <v>1.2433804570949667</v>
      </c>
      <c r="AB24" s="15">
        <f t="shared" si="3"/>
        <v>0.75928974844831121</v>
      </c>
      <c r="AC24" s="29">
        <f t="shared" si="4"/>
        <v>0.35527391141439302</v>
      </c>
      <c r="AD24" s="4" t="str">
        <f t="shared" si="5"/>
        <v>-</v>
      </c>
      <c r="AE24" s="2">
        <f t="shared" si="6"/>
        <v>21</v>
      </c>
      <c r="AF24" s="2">
        <f t="shared" si="7"/>
        <v>21</v>
      </c>
      <c r="AG24" s="2">
        <f t="shared" si="8"/>
        <v>0.5075341591634186</v>
      </c>
      <c r="AH24" s="29">
        <f t="shared" si="9"/>
        <v>0.5075341591634186</v>
      </c>
      <c r="AI24" s="4" t="str">
        <f t="shared" si="10"/>
        <v/>
      </c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6" t="s">
        <v>367</v>
      </c>
      <c r="AZ24" s="6" t="s">
        <v>368</v>
      </c>
      <c r="BA24" s="6" t="s">
        <v>369</v>
      </c>
    </row>
    <row r="25" spans="1:53" ht="27" customHeight="1" x14ac:dyDescent="0.2">
      <c r="A25" s="13" t="s">
        <v>89</v>
      </c>
      <c r="B25" s="2">
        <v>41</v>
      </c>
      <c r="C25" s="1" t="s">
        <v>106</v>
      </c>
      <c r="D25" s="1" t="s">
        <v>118</v>
      </c>
      <c r="E25" s="28">
        <v>27.966000000000001</v>
      </c>
      <c r="F25" s="2">
        <v>4.6316460568634721</v>
      </c>
      <c r="G25" s="2">
        <v>4.3239470499948212</v>
      </c>
      <c r="H25" s="2">
        <v>3.6337435784808765</v>
      </c>
      <c r="I25" s="2">
        <v>4.0517295607490489</v>
      </c>
      <c r="J25" s="2">
        <v>4.2927740477008021</v>
      </c>
      <c r="K25" s="2">
        <v>4.0158820497076642</v>
      </c>
      <c r="L25" s="2">
        <v>4.762556527638135</v>
      </c>
      <c r="M25" s="2"/>
      <c r="N25" s="2">
        <v>4.5311211580938222</v>
      </c>
      <c r="O25" s="2">
        <v>4.750783899786267</v>
      </c>
      <c r="P25" s="2">
        <v>4.0900170803078035</v>
      </c>
      <c r="Q25" s="2">
        <v>5.1875263783852708</v>
      </c>
      <c r="R25" s="2">
        <v>3.646254643705293</v>
      </c>
      <c r="S25" s="2">
        <v>3.0998521884537191</v>
      </c>
      <c r="T25" s="2">
        <v>5.0831989318845707</v>
      </c>
      <c r="U25" s="2"/>
      <c r="V25" s="2">
        <v>3.7111512480129085</v>
      </c>
      <c r="W25" s="2">
        <v>4.3715822745746236</v>
      </c>
      <c r="X25" s="2">
        <v>4.5739074024211686</v>
      </c>
      <c r="Y25" s="3">
        <f t="shared" si="0"/>
        <v>0.10694623784718002</v>
      </c>
      <c r="Z25" s="2">
        <f t="shared" si="1"/>
        <v>4.2446112673049745</v>
      </c>
      <c r="AA25" s="2">
        <f t="shared" si="2"/>
        <v>4.3412506115166787</v>
      </c>
      <c r="AB25" s="15">
        <f t="shared" si="3"/>
        <v>1.0227675370312681</v>
      </c>
      <c r="AC25" s="29">
        <f t="shared" si="4"/>
        <v>0.77334521424312652</v>
      </c>
      <c r="AD25" s="4" t="str">
        <f t="shared" si="5"/>
        <v>-</v>
      </c>
      <c r="AE25" s="2">
        <f t="shared" si="6"/>
        <v>25</v>
      </c>
      <c r="AF25" s="2">
        <f t="shared" si="7"/>
        <v>25</v>
      </c>
      <c r="AG25" s="2">
        <f t="shared" si="8"/>
        <v>0.92801425709175178</v>
      </c>
      <c r="AH25" s="29">
        <f t="shared" si="9"/>
        <v>0.92801425709175178</v>
      </c>
      <c r="AI25" s="4" t="str">
        <f t="shared" si="10"/>
        <v/>
      </c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6" t="s">
        <v>370</v>
      </c>
      <c r="AZ25" s="6" t="s">
        <v>371</v>
      </c>
      <c r="BA25" s="6" t="s">
        <v>372</v>
      </c>
    </row>
    <row r="26" spans="1:53" ht="27" customHeight="1" x14ac:dyDescent="0.2">
      <c r="A26" s="13" t="s">
        <v>89</v>
      </c>
      <c r="B26" s="2">
        <v>42</v>
      </c>
      <c r="C26" s="1" t="s">
        <v>107</v>
      </c>
      <c r="D26" s="1" t="s">
        <v>118</v>
      </c>
      <c r="E26" s="28">
        <v>28.577000000000002</v>
      </c>
      <c r="F26" s="2">
        <v>0.78966957138527094</v>
      </c>
      <c r="G26" s="2">
        <v>0.77680800202239875</v>
      </c>
      <c r="H26" s="2">
        <v>0.5515889044931922</v>
      </c>
      <c r="I26" s="2">
        <v>0.60615720648070504</v>
      </c>
      <c r="J26" s="2">
        <v>0.66372303920106446</v>
      </c>
      <c r="K26" s="2">
        <v>0.61865969905911722</v>
      </c>
      <c r="L26" s="2">
        <v>0.68901791259985701</v>
      </c>
      <c r="M26" s="2"/>
      <c r="N26" s="2">
        <v>0.7791772572963227</v>
      </c>
      <c r="O26" s="2">
        <v>0.71841960395339766</v>
      </c>
      <c r="P26" s="2">
        <v>0.89479780122464148</v>
      </c>
      <c r="Q26" s="2">
        <v>0.58120800216238855</v>
      </c>
      <c r="R26" s="2">
        <v>0.36869480047159026</v>
      </c>
      <c r="S26" s="2">
        <v>0.68051393813499528</v>
      </c>
      <c r="T26" s="2">
        <v>0.76309156284634083</v>
      </c>
      <c r="U26" s="2"/>
      <c r="V26" s="2">
        <v>0.47290170710494484</v>
      </c>
      <c r="W26" s="2">
        <v>0.67657205393740538</v>
      </c>
      <c r="X26" s="2">
        <v>0.750270669195226</v>
      </c>
      <c r="Y26" s="3">
        <f t="shared" si="0"/>
        <v>0.22687809085007288</v>
      </c>
      <c r="Z26" s="2">
        <f t="shared" si="1"/>
        <v>0.67080347646308647</v>
      </c>
      <c r="AA26" s="2">
        <f t="shared" si="2"/>
        <v>0.68370042372709683</v>
      </c>
      <c r="AB26" s="15">
        <f t="shared" si="3"/>
        <v>1.0192261187017269</v>
      </c>
      <c r="AC26" s="29">
        <f t="shared" si="4"/>
        <v>0.86180088678900479</v>
      </c>
      <c r="AD26" s="4" t="str">
        <f t="shared" si="5"/>
        <v>-</v>
      </c>
      <c r="AE26" s="2">
        <f t="shared" si="6"/>
        <v>27</v>
      </c>
      <c r="AF26" s="2">
        <f t="shared" si="7"/>
        <v>27</v>
      </c>
      <c r="AG26" s="2">
        <f t="shared" si="8"/>
        <v>0.95755654087667197</v>
      </c>
      <c r="AH26" s="29">
        <f t="shared" si="9"/>
        <v>0.95755654087667197</v>
      </c>
      <c r="AI26" s="4" t="str">
        <f t="shared" si="10"/>
        <v/>
      </c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6" t="s">
        <v>373</v>
      </c>
      <c r="AZ26" s="6" t="s">
        <v>374</v>
      </c>
      <c r="BA26" s="6" t="s">
        <v>375</v>
      </c>
    </row>
    <row r="27" spans="1:53" ht="27" customHeight="1" x14ac:dyDescent="0.2">
      <c r="A27" s="13" t="s">
        <v>89</v>
      </c>
      <c r="B27" s="2">
        <v>43</v>
      </c>
      <c r="C27" s="1" t="s">
        <v>108</v>
      </c>
      <c r="D27" s="1" t="s">
        <v>118</v>
      </c>
      <c r="E27" s="28">
        <v>28.718</v>
      </c>
      <c r="F27" s="2">
        <v>9.2870764844014738E-3</v>
      </c>
      <c r="G27" s="2">
        <v>1.0408062448047142E-2</v>
      </c>
      <c r="H27" s="2">
        <v>7.1023993247721854E-3</v>
      </c>
      <c r="I27" s="2">
        <v>8.2488267534140784E-3</v>
      </c>
      <c r="J27" s="2">
        <v>1.1468140759097098E-2</v>
      </c>
      <c r="K27" s="2">
        <v>1.1279425183085199E-2</v>
      </c>
      <c r="L27" s="2">
        <v>1.0529774824408198E-2</v>
      </c>
      <c r="M27" s="2"/>
      <c r="N27" s="2">
        <v>8.888030668785761E-3</v>
      </c>
      <c r="O27" s="2">
        <v>1.1330036108760568E-2</v>
      </c>
      <c r="P27" s="2">
        <v>6.5603453613631187E-3</v>
      </c>
      <c r="Q27" s="2">
        <v>1.166556809979139E-2</v>
      </c>
      <c r="R27" s="2">
        <v>6.7978582710913667E-3</v>
      </c>
      <c r="S27" s="2">
        <v>7.3901441394634056E-3</v>
      </c>
      <c r="T27" s="2">
        <v>8.2973879513515217E-3</v>
      </c>
      <c r="U27" s="2"/>
      <c r="V27" s="2">
        <v>6.3855013763321217E-3</v>
      </c>
      <c r="W27" s="2">
        <v>9.5969526759856257E-3</v>
      </c>
      <c r="X27" s="2">
        <v>9.0736765439281119E-3</v>
      </c>
      <c r="Y27" s="3">
        <f t="shared" si="0"/>
        <v>0.20630347155365975</v>
      </c>
      <c r="Z27" s="2">
        <f t="shared" si="1"/>
        <v>9.7605293967464833E-3</v>
      </c>
      <c r="AA27" s="2">
        <f t="shared" si="2"/>
        <v>8.7041958000867344E-3</v>
      </c>
      <c r="AB27" s="15">
        <f t="shared" si="3"/>
        <v>0.89177496898765951</v>
      </c>
      <c r="AC27" s="29">
        <f t="shared" si="4"/>
        <v>0.31075006139013711</v>
      </c>
      <c r="AD27" s="4" t="str">
        <f t="shared" si="5"/>
        <v>-</v>
      </c>
      <c r="AE27" s="2">
        <f t="shared" si="6"/>
        <v>20</v>
      </c>
      <c r="AF27" s="2">
        <f t="shared" si="7"/>
        <v>20</v>
      </c>
      <c r="AG27" s="2">
        <f t="shared" si="8"/>
        <v>0.46612509208520569</v>
      </c>
      <c r="AH27" s="29">
        <f t="shared" si="9"/>
        <v>0.46612509208520569</v>
      </c>
      <c r="AI27" s="4" t="str">
        <f t="shared" si="10"/>
        <v/>
      </c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6" t="s">
        <v>376</v>
      </c>
      <c r="AZ27" s="6" t="s">
        <v>377</v>
      </c>
      <c r="BA27" s="6" t="s">
        <v>378</v>
      </c>
    </row>
    <row r="28" spans="1:53" ht="27" customHeight="1" x14ac:dyDescent="0.2">
      <c r="A28" s="13" t="s">
        <v>89</v>
      </c>
      <c r="B28" s="2">
        <v>44</v>
      </c>
      <c r="C28" s="1" t="s">
        <v>109</v>
      </c>
      <c r="D28" s="1" t="s">
        <v>118</v>
      </c>
      <c r="E28" s="28">
        <v>28.689</v>
      </c>
      <c r="F28" s="2">
        <v>4.4929393196714721E-3</v>
      </c>
      <c r="G28" s="2">
        <v>5.1568810067395164E-3</v>
      </c>
      <c r="H28" s="2">
        <v>5.6168194471550061E-3</v>
      </c>
      <c r="I28" s="2">
        <v>4.3064256142539871E-3</v>
      </c>
      <c r="J28" s="2">
        <v>5.9823473630366622E-3</v>
      </c>
      <c r="K28" s="2">
        <v>5.8301107424050804E-3</v>
      </c>
      <c r="L28" s="2">
        <v>5.2482920224099176E-3</v>
      </c>
      <c r="M28" s="2"/>
      <c r="N28" s="2">
        <v>7.0677974523123228E-3</v>
      </c>
      <c r="O28" s="2">
        <v>5.3924699876890378E-3</v>
      </c>
      <c r="P28" s="2">
        <v>7.0769203611257435E-3</v>
      </c>
      <c r="Q28" s="2">
        <v>5.48143127257706E-3</v>
      </c>
      <c r="R28" s="2">
        <v>4.9746505386890835E-3</v>
      </c>
      <c r="S28" s="2">
        <v>9.5547485031652075E-3</v>
      </c>
      <c r="T28" s="2">
        <v>7.3176627017080467E-3</v>
      </c>
      <c r="U28" s="2"/>
      <c r="V28" s="2">
        <v>5.5150515479488434E-3</v>
      </c>
      <c r="W28" s="2">
        <v>5.8295828956117044E-3</v>
      </c>
      <c r="X28" s="2">
        <v>6.0326005183509984E-3</v>
      </c>
      <c r="Y28" s="3">
        <f t="shared" si="0"/>
        <v>4.5019085287201437E-2</v>
      </c>
      <c r="Z28" s="2">
        <f t="shared" si="1"/>
        <v>5.2334022165245195E-3</v>
      </c>
      <c r="AA28" s="2">
        <f t="shared" si="2"/>
        <v>6.6950972596095002E-3</v>
      </c>
      <c r="AB28" s="15">
        <f t="shared" si="3"/>
        <v>1.2793011090318387</v>
      </c>
      <c r="AC28" s="29">
        <f t="shared" si="4"/>
        <v>5.3394964515973635E-2</v>
      </c>
      <c r="AD28" s="4" t="str">
        <f t="shared" si="5"/>
        <v>-</v>
      </c>
      <c r="AE28" s="2">
        <f t="shared" si="6"/>
        <v>8</v>
      </c>
      <c r="AF28" s="2">
        <f t="shared" si="7"/>
        <v>8</v>
      </c>
      <c r="AG28" s="2">
        <f t="shared" si="8"/>
        <v>0.20023111693490114</v>
      </c>
      <c r="AH28" s="29">
        <f t="shared" si="9"/>
        <v>0.18865070103383497</v>
      </c>
      <c r="AI28" s="4" t="str">
        <f t="shared" si="10"/>
        <v/>
      </c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6" t="s">
        <v>379</v>
      </c>
      <c r="AZ28" s="6" t="s">
        <v>380</v>
      </c>
      <c r="BA28" s="6" t="s">
        <v>381</v>
      </c>
    </row>
    <row r="29" spans="1:53" ht="27" customHeight="1" x14ac:dyDescent="0.2">
      <c r="A29" s="13" t="s">
        <v>89</v>
      </c>
      <c r="B29" s="2">
        <v>45</v>
      </c>
      <c r="C29" s="1" t="s">
        <v>110</v>
      </c>
      <c r="D29" s="1" t="s">
        <v>118</v>
      </c>
      <c r="E29" s="28">
        <v>28.763999999999999</v>
      </c>
      <c r="F29" s="2">
        <v>0.18769158166474714</v>
      </c>
      <c r="G29" s="2">
        <v>0.19933382425897186</v>
      </c>
      <c r="H29" s="2">
        <v>0.15709209240445174</v>
      </c>
      <c r="I29" s="2">
        <v>0.27465149667299932</v>
      </c>
      <c r="J29" s="2">
        <v>0.156523251175363</v>
      </c>
      <c r="K29" s="2">
        <v>0.20340040294931791</v>
      </c>
      <c r="L29" s="2">
        <v>0.17004691562430141</v>
      </c>
      <c r="M29" s="2"/>
      <c r="N29" s="2">
        <v>0.17004334334159935</v>
      </c>
      <c r="O29" s="2">
        <v>0.17634943316638349</v>
      </c>
      <c r="P29" s="2">
        <v>0.42048957575655455</v>
      </c>
      <c r="Q29" s="2">
        <v>0.16074466726187867</v>
      </c>
      <c r="R29" s="2">
        <v>0.10330473301770574</v>
      </c>
      <c r="S29" s="2">
        <v>0.24997215306211737</v>
      </c>
      <c r="T29" s="2">
        <v>0.17860957013322115</v>
      </c>
      <c r="U29" s="2"/>
      <c r="V29" s="2">
        <v>0.1749560102353295</v>
      </c>
      <c r="W29" s="2">
        <v>0.20552483773532307</v>
      </c>
      <c r="X29" s="2">
        <v>0.21617335560171685</v>
      </c>
      <c r="Y29" s="3">
        <f t="shared" si="0"/>
        <v>0.10757952495315043</v>
      </c>
      <c r="Z29" s="2">
        <f t="shared" si="1"/>
        <v>0.19267708067859318</v>
      </c>
      <c r="AA29" s="2">
        <f t="shared" si="2"/>
        <v>0.20850192510563717</v>
      </c>
      <c r="AB29" s="15">
        <f t="shared" si="3"/>
        <v>1.0821314313633472</v>
      </c>
      <c r="AC29" s="29">
        <f t="shared" si="4"/>
        <v>0.71506848307966231</v>
      </c>
      <c r="AD29" s="4" t="str">
        <f t="shared" si="5"/>
        <v>-</v>
      </c>
      <c r="AE29" s="2">
        <f t="shared" si="6"/>
        <v>24</v>
      </c>
      <c r="AF29" s="2">
        <f t="shared" si="7"/>
        <v>24</v>
      </c>
      <c r="AG29" s="2">
        <f t="shared" si="8"/>
        <v>0.89383560384957794</v>
      </c>
      <c r="AH29" s="29">
        <f t="shared" si="9"/>
        <v>0.89383560384957794</v>
      </c>
      <c r="AI29" s="4" t="str">
        <f t="shared" si="10"/>
        <v/>
      </c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6" t="s">
        <v>382</v>
      </c>
      <c r="AZ29" s="6" t="s">
        <v>383</v>
      </c>
      <c r="BA29" s="6" t="s">
        <v>384</v>
      </c>
    </row>
    <row r="30" spans="1:53" ht="27" customHeight="1" x14ac:dyDescent="0.2">
      <c r="A30" s="13" t="s">
        <v>89</v>
      </c>
      <c r="B30" s="2">
        <v>46</v>
      </c>
      <c r="C30" s="1" t="s">
        <v>111</v>
      </c>
      <c r="D30" s="1" t="s">
        <v>118</v>
      </c>
      <c r="E30" s="28">
        <v>29.012</v>
      </c>
      <c r="F30" s="2">
        <v>0.1373750253658261</v>
      </c>
      <c r="G30" s="2">
        <v>0.15409244560823648</v>
      </c>
      <c r="H30" s="2">
        <v>0.17642109777252174</v>
      </c>
      <c r="I30" s="2">
        <v>0.1418091671971598</v>
      </c>
      <c r="J30" s="2">
        <v>0.17076872989208264</v>
      </c>
      <c r="K30" s="2">
        <v>0.17544278632411228</v>
      </c>
      <c r="L30" s="2">
        <v>0.16112013131526859</v>
      </c>
      <c r="M30" s="2"/>
      <c r="N30" s="2">
        <v>0.21610579079174999</v>
      </c>
      <c r="O30" s="2">
        <v>0.17241683927272569</v>
      </c>
      <c r="P30" s="2">
        <v>0.22110553402240313</v>
      </c>
      <c r="Q30" s="2">
        <v>0.1639388974113872</v>
      </c>
      <c r="R30" s="2">
        <v>0.15493288633217772</v>
      </c>
      <c r="S30" s="2">
        <v>0.2952237674728706</v>
      </c>
      <c r="T30" s="2">
        <v>0.2295369211672611</v>
      </c>
      <c r="U30" s="2"/>
      <c r="V30" s="2">
        <v>0.16954177643130358</v>
      </c>
      <c r="W30" s="2">
        <v>0.1942788035451106</v>
      </c>
      <c r="X30" s="2">
        <v>0.18887294667406077</v>
      </c>
      <c r="Y30" s="3">
        <f t="shared" si="0"/>
        <v>7.0592668555249372E-2</v>
      </c>
      <c r="Z30" s="2">
        <f t="shared" si="1"/>
        <v>0.15957562621074395</v>
      </c>
      <c r="AA30" s="2">
        <f t="shared" si="2"/>
        <v>0.20760866235293937</v>
      </c>
      <c r="AB30" s="15">
        <f t="shared" si="3"/>
        <v>1.3010048419221647</v>
      </c>
      <c r="AC30" s="29">
        <f t="shared" si="4"/>
        <v>4.1475590436909855E-2</v>
      </c>
      <c r="AD30" s="4" t="str">
        <f t="shared" si="5"/>
        <v>*</v>
      </c>
      <c r="AE30" s="2">
        <f t="shared" si="6"/>
        <v>7</v>
      </c>
      <c r="AF30" s="2">
        <f t="shared" si="7"/>
        <v>7</v>
      </c>
      <c r="AG30" s="2">
        <f t="shared" si="8"/>
        <v>0.17775253044389938</v>
      </c>
      <c r="AH30" s="29">
        <f t="shared" si="9"/>
        <v>0.17775253044389938</v>
      </c>
      <c r="AI30" s="4" t="str">
        <f t="shared" si="10"/>
        <v/>
      </c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6" t="s">
        <v>385</v>
      </c>
      <c r="AZ30" s="6" t="s">
        <v>386</v>
      </c>
      <c r="BA30" s="6" t="s">
        <v>387</v>
      </c>
    </row>
    <row r="31" spans="1:53" ht="27" customHeight="1" x14ac:dyDescent="0.2">
      <c r="A31" s="13" t="s">
        <v>89</v>
      </c>
      <c r="B31" s="2">
        <v>47</v>
      </c>
      <c r="C31" s="1" t="s">
        <v>112</v>
      </c>
      <c r="D31" s="1" t="s">
        <v>118</v>
      </c>
      <c r="E31" s="28">
        <v>29.667000000000002</v>
      </c>
      <c r="F31" s="2">
        <v>10.658573296668697</v>
      </c>
      <c r="G31" s="2">
        <v>9.6294023710778109</v>
      </c>
      <c r="H31" s="2">
        <v>4.8763301551044762</v>
      </c>
      <c r="I31" s="2">
        <v>6.9777772849908484</v>
      </c>
      <c r="J31" s="2">
        <v>9.1671109801050132</v>
      </c>
      <c r="K31" s="2">
        <v>7.6650449151300757</v>
      </c>
      <c r="L31" s="2">
        <v>9.8528251250019974</v>
      </c>
      <c r="M31" s="2"/>
      <c r="N31" s="2">
        <v>7.9240049647710329</v>
      </c>
      <c r="O31" s="2">
        <v>8.4156291037505291</v>
      </c>
      <c r="P31" s="2">
        <v>3.3141387490158962</v>
      </c>
      <c r="Q31" s="2">
        <v>9.4528307771143432</v>
      </c>
      <c r="R31" s="2">
        <v>8.2866208533443615</v>
      </c>
      <c r="S31" s="2">
        <v>5.3471567905129316</v>
      </c>
      <c r="T31" s="2">
        <v>6.6549949364006613</v>
      </c>
      <c r="U31" s="2"/>
      <c r="V31" s="2">
        <v>6.7333233480553254</v>
      </c>
      <c r="W31" s="2">
        <v>7.8598317394604313</v>
      </c>
      <c r="X31" s="2">
        <v>9.0846617152364768</v>
      </c>
      <c r="Y31" s="3">
        <f t="shared" si="0"/>
        <v>0.14900171175313101</v>
      </c>
      <c r="Z31" s="2">
        <f t="shared" si="1"/>
        <v>8.4038663040112755</v>
      </c>
      <c r="AA31" s="2">
        <f t="shared" si="2"/>
        <v>7.0564823107013934</v>
      </c>
      <c r="AB31" s="15">
        <f t="shared" si="3"/>
        <v>0.83967093899783274</v>
      </c>
      <c r="AC31" s="29">
        <f t="shared" si="4"/>
        <v>0.24598634894235347</v>
      </c>
      <c r="AD31" s="4" t="str">
        <f t="shared" si="5"/>
        <v>-</v>
      </c>
      <c r="AE31" s="2">
        <f t="shared" si="6"/>
        <v>16</v>
      </c>
      <c r="AF31" s="2">
        <f t="shared" si="7"/>
        <v>16</v>
      </c>
      <c r="AG31" s="2">
        <f t="shared" si="8"/>
        <v>0.46122440426691275</v>
      </c>
      <c r="AH31" s="29">
        <f t="shared" si="9"/>
        <v>0.4515244041831637</v>
      </c>
      <c r="AI31" s="4" t="str">
        <f t="shared" si="10"/>
        <v/>
      </c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6" t="s">
        <v>388</v>
      </c>
      <c r="AZ31" s="6" t="s">
        <v>389</v>
      </c>
      <c r="BA31" s="6" t="s">
        <v>390</v>
      </c>
    </row>
    <row r="32" spans="1:53" ht="27" customHeight="1" x14ac:dyDescent="0.2">
      <c r="A32" s="13" t="s">
        <v>89</v>
      </c>
      <c r="B32" s="2">
        <v>49</v>
      </c>
      <c r="C32" s="1" t="s">
        <v>113</v>
      </c>
      <c r="D32" s="1" t="s">
        <v>118</v>
      </c>
      <c r="E32" s="28">
        <v>30.841000000000001</v>
      </c>
      <c r="F32" s="2">
        <v>0.23608883148036153</v>
      </c>
      <c r="G32" s="2">
        <v>0.25565090195303108</v>
      </c>
      <c r="H32" s="2">
        <v>0.23046981376376971</v>
      </c>
      <c r="I32" s="2">
        <v>0.26166756341495306</v>
      </c>
      <c r="J32" s="2">
        <v>0.25697202421078741</v>
      </c>
      <c r="K32" s="2">
        <v>0.28379852987621146</v>
      </c>
      <c r="L32" s="2">
        <v>0.32039085671119033</v>
      </c>
      <c r="M32" s="2"/>
      <c r="N32" s="2">
        <v>0.30942070788317105</v>
      </c>
      <c r="O32" s="2">
        <v>0.31893062386190735</v>
      </c>
      <c r="P32" s="2">
        <v>0.47384969034921154</v>
      </c>
      <c r="Q32" s="2">
        <v>0.35489443774922924</v>
      </c>
      <c r="R32" s="2">
        <v>0.21181380233580091</v>
      </c>
      <c r="S32" s="2">
        <v>0.25530521295914804</v>
      </c>
      <c r="T32" s="2">
        <v>0.35585027446844847</v>
      </c>
      <c r="U32" s="2"/>
      <c r="V32" s="2">
        <v>0.21614433803270724</v>
      </c>
      <c r="W32" s="2">
        <v>0.28863931158342604</v>
      </c>
      <c r="X32" s="2">
        <v>0.32321803084403755</v>
      </c>
      <c r="Y32" s="3">
        <f t="shared" si="0"/>
        <v>0.19798612371832788</v>
      </c>
      <c r="Z32" s="2">
        <f t="shared" si="1"/>
        <v>0.26357693163004353</v>
      </c>
      <c r="AA32" s="2">
        <f t="shared" si="2"/>
        <v>0.32572353565813089</v>
      </c>
      <c r="AB32" s="15">
        <f t="shared" si="3"/>
        <v>1.2357816507072641</v>
      </c>
      <c r="AC32" s="29">
        <f t="shared" si="4"/>
        <v>0.1040164711136722</v>
      </c>
      <c r="AD32" s="4" t="str">
        <f t="shared" si="5"/>
        <v>-</v>
      </c>
      <c r="AE32" s="2">
        <f t="shared" si="6"/>
        <v>12</v>
      </c>
      <c r="AF32" s="2">
        <f t="shared" si="7"/>
        <v>12</v>
      </c>
      <c r="AG32" s="2">
        <f t="shared" si="8"/>
        <v>0.26004117778418051</v>
      </c>
      <c r="AH32" s="29">
        <f t="shared" si="9"/>
        <v>0.26004117778418051</v>
      </c>
      <c r="AI32" s="4" t="str">
        <f t="shared" si="10"/>
        <v/>
      </c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6" t="s">
        <v>391</v>
      </c>
      <c r="AZ32" s="6" t="s">
        <v>392</v>
      </c>
      <c r="BA32" s="6" t="s">
        <v>393</v>
      </c>
    </row>
    <row r="33" spans="1:53" ht="27" customHeight="1" x14ac:dyDescent="0.2">
      <c r="A33" s="13" t="s">
        <v>89</v>
      </c>
      <c r="B33" s="2">
        <v>50</v>
      </c>
      <c r="C33" s="1" t="s">
        <v>114</v>
      </c>
      <c r="D33" s="1" t="s">
        <v>118</v>
      </c>
      <c r="E33" s="28">
        <v>32.033999999999999</v>
      </c>
      <c r="F33" s="2">
        <v>0.23965600747725319</v>
      </c>
      <c r="G33" s="2">
        <v>0.16434705285102083</v>
      </c>
      <c r="H33" s="2">
        <v>7.6878108237670828E-2</v>
      </c>
      <c r="I33" s="2">
        <v>0.10573636571374286</v>
      </c>
      <c r="J33" s="2">
        <v>0.18352109117212653</v>
      </c>
      <c r="K33" s="2">
        <v>0.14166731019803425</v>
      </c>
      <c r="L33" s="2">
        <v>0.20479410103149168</v>
      </c>
      <c r="M33" s="2"/>
      <c r="N33" s="2">
        <v>0.18098613361519089</v>
      </c>
      <c r="O33" s="2">
        <v>0.18797637073080692</v>
      </c>
      <c r="P33" s="2">
        <v>8.751317431743294E-2</v>
      </c>
      <c r="Q33" s="2">
        <v>0.22816350366108759</v>
      </c>
      <c r="R33" s="2">
        <v>0.15930023268042684</v>
      </c>
      <c r="S33" s="2">
        <v>0.12870254433139688</v>
      </c>
      <c r="T33" s="2">
        <v>0.15270358027002745</v>
      </c>
      <c r="U33" s="2"/>
      <c r="V33" s="2">
        <v>0.11506756425085872</v>
      </c>
      <c r="W33" s="2">
        <v>0.16932663727558975</v>
      </c>
      <c r="X33" s="2">
        <v>0.18777458126452995</v>
      </c>
      <c r="Y33" s="3">
        <f>IFERROR(STDEV(V33:X33)/AVERAGE(V33:X33),0)</f>
        <v>0.2401353516496284</v>
      </c>
      <c r="Z33" s="2">
        <f t="shared" si="1"/>
        <v>0.15951429095447717</v>
      </c>
      <c r="AA33" s="2">
        <f t="shared" si="2"/>
        <v>0.16076364851519562</v>
      </c>
      <c r="AB33" s="15">
        <f t="shared" si="3"/>
        <v>1.0078322610045956</v>
      </c>
      <c r="AC33" s="29">
        <f t="shared" si="4"/>
        <v>0.96426660088336558</v>
      </c>
      <c r="AD33" s="4" t="str">
        <f>IF(AC33&lt;0.001,"***",IF(AC33&lt;0.01,"**",IF(AC33&lt;0.05,"*","-")))</f>
        <v>-</v>
      </c>
      <c r="AE33" s="2">
        <f t="shared" si="6"/>
        <v>30</v>
      </c>
      <c r="AF33" s="2">
        <f t="shared" si="7"/>
        <v>30</v>
      </c>
      <c r="AG33" s="2">
        <f t="shared" si="8"/>
        <v>0.96426660088336547</v>
      </c>
      <c r="AH33" s="29">
        <f t="shared" si="9"/>
        <v>0.96426660088336547</v>
      </c>
      <c r="AI33" s="4" t="str">
        <f t="shared" si="10"/>
        <v/>
      </c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6" t="s">
        <v>394</v>
      </c>
      <c r="AZ33" s="6" t="s">
        <v>395</v>
      </c>
      <c r="BA33" s="6" t="s">
        <v>141</v>
      </c>
    </row>
    <row r="35" spans="1:53" x14ac:dyDescent="0.2">
      <c r="C35" s="7" t="s">
        <v>136</v>
      </c>
      <c r="H35" s="23"/>
      <c r="AC35" s="22" t="s">
        <v>128</v>
      </c>
      <c r="AH35" s="22" t="s">
        <v>131</v>
      </c>
    </row>
    <row r="36" spans="1:53" x14ac:dyDescent="0.2">
      <c r="C36" s="7" t="s">
        <v>401</v>
      </c>
      <c r="H36" s="23"/>
      <c r="AC36" s="22" t="s">
        <v>130</v>
      </c>
      <c r="AH36" s="22" t="s">
        <v>132</v>
      </c>
    </row>
    <row r="37" spans="1:53" x14ac:dyDescent="0.2">
      <c r="C37" s="7" t="s">
        <v>137</v>
      </c>
      <c r="H37" s="23"/>
      <c r="AC37" s="22" t="s">
        <v>134</v>
      </c>
      <c r="AH37" s="22" t="s">
        <v>133</v>
      </c>
    </row>
    <row r="38" spans="1:53" x14ac:dyDescent="0.2">
      <c r="G38" s="7"/>
      <c r="H38" s="24"/>
      <c r="AC38" s="22" t="s">
        <v>135</v>
      </c>
    </row>
    <row r="39" spans="1:53" x14ac:dyDescent="0.2">
      <c r="F39" s="7"/>
      <c r="G39" s="7"/>
      <c r="H39" s="24"/>
    </row>
  </sheetData>
  <autoFilter ref="A3:AI3" xr:uid="{5A86611D-B429-4BFC-9AA6-76DB65C2DB83}"/>
  <mergeCells count="35">
    <mergeCell ref="AJ31:AX31"/>
    <mergeCell ref="AJ32:AX32"/>
    <mergeCell ref="AJ33:AX33"/>
    <mergeCell ref="AJ25:AX25"/>
    <mergeCell ref="AJ26:AX26"/>
    <mergeCell ref="AJ27:AX27"/>
    <mergeCell ref="AJ28:AX28"/>
    <mergeCell ref="AJ29:AX29"/>
    <mergeCell ref="AJ30:AX30"/>
    <mergeCell ref="AJ24:AX24"/>
    <mergeCell ref="AJ13:AX13"/>
    <mergeCell ref="AJ14:AX14"/>
    <mergeCell ref="AJ15:AX15"/>
    <mergeCell ref="AJ16:AX16"/>
    <mergeCell ref="AJ17:AX17"/>
    <mergeCell ref="AJ18:AX18"/>
    <mergeCell ref="AJ19:AX19"/>
    <mergeCell ref="AJ20:AX20"/>
    <mergeCell ref="AJ21:AX21"/>
    <mergeCell ref="AJ22:AX22"/>
    <mergeCell ref="AJ23:AX23"/>
    <mergeCell ref="AJ1:AP1"/>
    <mergeCell ref="AR1:AX1"/>
    <mergeCell ref="AJ7:AX7"/>
    <mergeCell ref="AJ8:AX8"/>
    <mergeCell ref="AJ9:AX9"/>
    <mergeCell ref="Z2:AA2"/>
    <mergeCell ref="AC2:AD2"/>
    <mergeCell ref="AH2:AI2"/>
    <mergeCell ref="AJ12:AX12"/>
    <mergeCell ref="AJ4:AX4"/>
    <mergeCell ref="AJ5:AX5"/>
    <mergeCell ref="AJ6:AX6"/>
    <mergeCell ref="AJ10:AX10"/>
    <mergeCell ref="AJ11:AX11"/>
  </mergeCells>
  <phoneticPr fontId="1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in="0" type="column" displayEmptyCellsAs="gap" minAxisType="custom" xr2:uid="{03014FF7-C628-45CA-9AC3-45BDF29DC90F}">
          <x14:colorSeries rgb="FF00B05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'IC-MS'!F4:T4</xm:f>
              <xm:sqref>AJ4</xm:sqref>
            </x14:sparkline>
            <x14:sparkline>
              <xm:f>'IC-MS'!F5:T5</xm:f>
              <xm:sqref>AJ5</xm:sqref>
            </x14:sparkline>
            <x14:sparkline>
              <xm:f>'IC-MS'!F6:T6</xm:f>
              <xm:sqref>AJ6</xm:sqref>
            </x14:sparkline>
            <x14:sparkline>
              <xm:f>'IC-MS'!F7:T7</xm:f>
              <xm:sqref>AJ7</xm:sqref>
            </x14:sparkline>
            <x14:sparkline>
              <xm:f>'IC-MS'!F8:T8</xm:f>
              <xm:sqref>AJ8</xm:sqref>
            </x14:sparkline>
            <x14:sparkline>
              <xm:f>'IC-MS'!F9:T9</xm:f>
              <xm:sqref>AJ9</xm:sqref>
            </x14:sparkline>
            <x14:sparkline>
              <xm:f>'IC-MS'!F10:T10</xm:f>
              <xm:sqref>AJ10</xm:sqref>
            </x14:sparkline>
            <x14:sparkline>
              <xm:f>'IC-MS'!F11:T11</xm:f>
              <xm:sqref>AJ11</xm:sqref>
            </x14:sparkline>
            <x14:sparkline>
              <xm:f>'IC-MS'!F12:T12</xm:f>
              <xm:sqref>AJ12</xm:sqref>
            </x14:sparkline>
            <x14:sparkline>
              <xm:f>'IC-MS'!F13:T13</xm:f>
              <xm:sqref>AJ13</xm:sqref>
            </x14:sparkline>
            <x14:sparkline>
              <xm:f>'IC-MS'!F14:T14</xm:f>
              <xm:sqref>AJ14</xm:sqref>
            </x14:sparkline>
            <x14:sparkline>
              <xm:f>'IC-MS'!F15:T15</xm:f>
              <xm:sqref>AJ15</xm:sqref>
            </x14:sparkline>
            <x14:sparkline>
              <xm:f>'IC-MS'!F16:T16</xm:f>
              <xm:sqref>AJ16</xm:sqref>
            </x14:sparkline>
            <x14:sparkline>
              <xm:f>'IC-MS'!F17:T17</xm:f>
              <xm:sqref>AJ17</xm:sqref>
            </x14:sparkline>
            <x14:sparkline>
              <xm:f>'IC-MS'!F18:T18</xm:f>
              <xm:sqref>AJ18</xm:sqref>
            </x14:sparkline>
            <x14:sparkline>
              <xm:f>'IC-MS'!F19:T19</xm:f>
              <xm:sqref>AJ19</xm:sqref>
            </x14:sparkline>
            <x14:sparkline>
              <xm:f>'IC-MS'!F20:T20</xm:f>
              <xm:sqref>AJ20</xm:sqref>
            </x14:sparkline>
            <x14:sparkline>
              <xm:f>'IC-MS'!F21:T21</xm:f>
              <xm:sqref>AJ21</xm:sqref>
            </x14:sparkline>
            <x14:sparkline>
              <xm:f>'IC-MS'!F22:T22</xm:f>
              <xm:sqref>AJ22</xm:sqref>
            </x14:sparkline>
            <x14:sparkline>
              <xm:f>'IC-MS'!F23:T23</xm:f>
              <xm:sqref>AJ23</xm:sqref>
            </x14:sparkline>
            <x14:sparkline>
              <xm:f>'IC-MS'!F24:T24</xm:f>
              <xm:sqref>AJ24</xm:sqref>
            </x14:sparkline>
            <x14:sparkline>
              <xm:f>'IC-MS'!F25:T25</xm:f>
              <xm:sqref>AJ25</xm:sqref>
            </x14:sparkline>
            <x14:sparkline>
              <xm:f>'IC-MS'!F26:T26</xm:f>
              <xm:sqref>AJ26</xm:sqref>
            </x14:sparkline>
            <x14:sparkline>
              <xm:f>'IC-MS'!F27:T27</xm:f>
              <xm:sqref>AJ27</xm:sqref>
            </x14:sparkline>
            <x14:sparkline>
              <xm:f>'IC-MS'!F28:T28</xm:f>
              <xm:sqref>AJ28</xm:sqref>
            </x14:sparkline>
            <x14:sparkline>
              <xm:f>'IC-MS'!F29:T29</xm:f>
              <xm:sqref>AJ29</xm:sqref>
            </x14:sparkline>
            <x14:sparkline>
              <xm:f>'IC-MS'!F30:T30</xm:f>
              <xm:sqref>AJ30</xm:sqref>
            </x14:sparkline>
            <x14:sparkline>
              <xm:f>'IC-MS'!F31:T31</xm:f>
              <xm:sqref>AJ31</xm:sqref>
            </x14:sparkline>
            <x14:sparkline>
              <xm:f>'IC-MS'!F32:T32</xm:f>
              <xm:sqref>AJ32</xm:sqref>
            </x14:sparkline>
            <x14:sparkline>
              <xm:f>'IC-MS'!F33:T33</xm:f>
              <xm:sqref>AJ33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GC-MS</vt:lpstr>
      <vt:lpstr>IC-MS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 かずさ</dc:creator>
  <cp:lastModifiedBy>Kazutaka Ikeda</cp:lastModifiedBy>
  <dcterms:created xsi:type="dcterms:W3CDTF">2025-09-09T04:25:11Z</dcterms:created>
  <dcterms:modified xsi:type="dcterms:W3CDTF">2026-05-27T01:18:19Z</dcterms:modified>
</cp:coreProperties>
</file>