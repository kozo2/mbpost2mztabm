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sults_anion" sheetId="10" r:id="rId1"/>
    <sheet name="results_cation" sheetId="12" r:id="rId2"/>
  </sheets>
  <definedNames>
    <definedName name="_xlnm._FilterDatabase" localSheetId="0" hidden="1">results_anion!$A$5:$M$127</definedName>
    <definedName name="_xlnm._FilterDatabase" localSheetId="1" hidden="1">results_cation!$A$5:$N$134</definedName>
    <definedName name="_xlnm.Print_Titles" localSheetId="0">results_anion!$2:$5</definedName>
    <definedName name="_xlnm.Print_Titles" localSheetId="1">results_cation!$2:$5</definedName>
  </definedNames>
  <calcPr calcId="162913"/>
</workbook>
</file>

<file path=xl/calcChain.xml><?xml version="1.0" encoding="utf-8"?>
<calcChain xmlns="http://schemas.openxmlformats.org/spreadsheetml/2006/main">
  <c r="N7" i="12" l="1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6" i="12"/>
</calcChain>
</file>

<file path=xl/sharedStrings.xml><?xml version="1.0" encoding="utf-8"?>
<sst xmlns="http://schemas.openxmlformats.org/spreadsheetml/2006/main" count="983" uniqueCount="282">
  <si>
    <t>si-RNA</t>
  </si>
  <si>
    <t>si-Ctr</t>
  </si>
  <si>
    <t>0 h</t>
  </si>
  <si>
    <t>48 h</t>
  </si>
  <si>
    <t>96 h</t>
  </si>
  <si>
    <t>144 h</t>
  </si>
  <si>
    <t>192 h</t>
  </si>
  <si>
    <t>si-IDH3β</t>
  </si>
  <si>
    <t>Compound Name</t>
    <phoneticPr fontId="13"/>
  </si>
  <si>
    <t>Time of                                Differentiation</t>
    <phoneticPr fontId="13"/>
  </si>
  <si>
    <t>Ave m/z</t>
  </si>
  <si>
    <t>Ave CorMT</t>
  </si>
  <si>
    <t>G1P</t>
  </si>
  <si>
    <t>G6P</t>
  </si>
  <si>
    <t>F6P</t>
  </si>
  <si>
    <t>F1,6P</t>
  </si>
  <si>
    <t>DHAP</t>
  </si>
  <si>
    <t>Glycerophosphate</t>
  </si>
  <si>
    <t>G3P</t>
  </si>
  <si>
    <t>N.D.</t>
  </si>
  <si>
    <t>2,3-DPG</t>
  </si>
  <si>
    <t>3PG</t>
  </si>
  <si>
    <t>2PG</t>
  </si>
  <si>
    <t>PEP</t>
  </si>
  <si>
    <t>Pyruvate</t>
  </si>
  <si>
    <t>Lactate</t>
  </si>
  <si>
    <t>Acetyl CoA</t>
  </si>
  <si>
    <t>Citrate</t>
  </si>
  <si>
    <t>cis-Aconitate</t>
  </si>
  <si>
    <t>Isocitrate</t>
  </si>
  <si>
    <t>2-Oxoglutarate</t>
  </si>
  <si>
    <t>2-Hydroxyglutarate</t>
  </si>
  <si>
    <t>Succinate</t>
  </si>
  <si>
    <t>Fumarate</t>
  </si>
  <si>
    <t>Malate</t>
  </si>
  <si>
    <t>6-Phosphogluconate</t>
  </si>
  <si>
    <t>Ru5P</t>
  </si>
  <si>
    <t>R5P</t>
  </si>
  <si>
    <t>S7P</t>
  </si>
  <si>
    <t>3-Hydroxypropionate</t>
  </si>
  <si>
    <t>3-Methylbutanoate</t>
  </si>
  <si>
    <t>Malonate</t>
  </si>
  <si>
    <t>3-Hydroxybutyrate</t>
  </si>
  <si>
    <t>2-Furoate</t>
  </si>
  <si>
    <t>4-Oxopentanoate</t>
  </si>
  <si>
    <t>2-Oxoisopentanoate</t>
  </si>
  <si>
    <t>Hexanoate</t>
  </si>
  <si>
    <t>Benzoate</t>
  </si>
  <si>
    <t>Isethionate</t>
  </si>
  <si>
    <t>5-Oxoproline</t>
  </si>
  <si>
    <t>Citraconate</t>
  </si>
  <si>
    <t>4-Methyl-2-oxopentanoate</t>
  </si>
  <si>
    <t>4-Acetylbutyrate</t>
  </si>
  <si>
    <t>Heptanoate</t>
  </si>
  <si>
    <t>N-Acetyl-beta-alanine</t>
  </si>
  <si>
    <t>Glutarate</t>
  </si>
  <si>
    <t>2-Hydroxy-4-methylpentanoate</t>
  </si>
  <si>
    <t>Threonate</t>
  </si>
  <si>
    <t>Phosphonoacetate</t>
  </si>
  <si>
    <t>Ethanolamine phosphate</t>
  </si>
  <si>
    <t>Octanoate</t>
  </si>
  <si>
    <t>Citramalate</t>
  </si>
  <si>
    <t>Dihydroorotate</t>
  </si>
  <si>
    <t>Pelargonate</t>
  </si>
  <si>
    <t>3-Hydroxy-3-methylglutarate</t>
  </si>
  <si>
    <t>Terephthalate</t>
  </si>
  <si>
    <t>Phthalate</t>
  </si>
  <si>
    <t>Urate</t>
  </si>
  <si>
    <t>Decanoate</t>
  </si>
  <si>
    <t>N-Acetylleucine</t>
  </si>
  <si>
    <t>N-Acetylaspartate</t>
  </si>
  <si>
    <t>Carbamoylaspartate</t>
  </si>
  <si>
    <t>Allantoate</t>
  </si>
  <si>
    <t>N-Formylmethionine</t>
  </si>
  <si>
    <t>Hippurate</t>
  </si>
  <si>
    <t>Homovanillate</t>
  </si>
  <si>
    <t>O-Phosphoserine</t>
  </si>
  <si>
    <t>Undecanoate</t>
  </si>
  <si>
    <t>Azelate</t>
  </si>
  <si>
    <t>N-Acetylglutamate</t>
  </si>
  <si>
    <t>N-Acetylmethionine</t>
  </si>
  <si>
    <t>Quinate</t>
  </si>
  <si>
    <t>Phenaceturate</t>
  </si>
  <si>
    <t>Glucuronate</t>
  </si>
  <si>
    <t>Dodecanoate</t>
  </si>
  <si>
    <t>Sebacate</t>
  </si>
  <si>
    <t>N-Acetylphenylalanine</t>
  </si>
  <si>
    <t>Saccharate</t>
  </si>
  <si>
    <t>3-Indoxyl sulfate</t>
  </si>
  <si>
    <t>Pantothenate</t>
  </si>
  <si>
    <t>Dodecanedioate</t>
  </si>
  <si>
    <t>Sorbitol 6-phosphate</t>
  </si>
  <si>
    <t>N-Acetylmuramate</t>
  </si>
  <si>
    <t>N-Acetylglucosamine 6-phosphate</t>
  </si>
  <si>
    <t>N-Acetylglucosamine 1-phosphate</t>
  </si>
  <si>
    <t>N-Acetylneuraminate</t>
  </si>
  <si>
    <t>CMP</t>
  </si>
  <si>
    <t>UMP</t>
  </si>
  <si>
    <t>AMP</t>
  </si>
  <si>
    <t>IMP</t>
  </si>
  <si>
    <t>GMP</t>
  </si>
  <si>
    <t>XMP</t>
  </si>
  <si>
    <t>NADPH</t>
  </si>
  <si>
    <t>CoA</t>
  </si>
  <si>
    <t>PRPP</t>
  </si>
  <si>
    <t>CDP</t>
  </si>
  <si>
    <t>UDP</t>
  </si>
  <si>
    <t>Isobutyryl CoA</t>
  </si>
  <si>
    <t>Malonyl CoA</t>
  </si>
  <si>
    <t>Adenosine 3',5'-diphosphate</t>
  </si>
  <si>
    <t>ADP</t>
  </si>
  <si>
    <t>Folate</t>
  </si>
  <si>
    <t>GDP</t>
  </si>
  <si>
    <t>Adenylosuccinate</t>
  </si>
  <si>
    <t>dCTP</t>
  </si>
  <si>
    <t>dTTP</t>
  </si>
  <si>
    <t>CTP</t>
  </si>
  <si>
    <t>UTP</t>
  </si>
  <si>
    <t>dATP</t>
  </si>
  <si>
    <t>ATP</t>
  </si>
  <si>
    <t>GTP</t>
  </si>
  <si>
    <t>CDP-choline</t>
  </si>
  <si>
    <t>ADP-ribose</t>
  </si>
  <si>
    <t>UDP-glucose</t>
  </si>
  <si>
    <t>UDP-glucuronate</t>
  </si>
  <si>
    <t>ADP-glucose</t>
  </si>
  <si>
    <t>GDP-mannose</t>
  </si>
  <si>
    <t>UDP-N-acetylglucosamine</t>
  </si>
  <si>
    <t>CMP-N-acetylneuraminate</t>
  </si>
  <si>
    <t>NAD+</t>
  </si>
  <si>
    <t>NADH</t>
  </si>
  <si>
    <t>NADP+</t>
  </si>
  <si>
    <t>FAD</t>
  </si>
  <si>
    <t>01</t>
    <phoneticPr fontId="13"/>
  </si>
  <si>
    <t>02</t>
    <phoneticPr fontId="13"/>
  </si>
  <si>
    <t>03</t>
    <phoneticPr fontId="13"/>
  </si>
  <si>
    <t>04</t>
    <phoneticPr fontId="13"/>
  </si>
  <si>
    <t>05</t>
    <phoneticPr fontId="13"/>
  </si>
  <si>
    <t>06</t>
    <phoneticPr fontId="13"/>
  </si>
  <si>
    <t>07</t>
    <phoneticPr fontId="13"/>
  </si>
  <si>
    <t>08</t>
    <phoneticPr fontId="13"/>
  </si>
  <si>
    <t>09</t>
    <phoneticPr fontId="13"/>
  </si>
  <si>
    <r>
      <t xml:space="preserve">Cell Number           </t>
    </r>
    <r>
      <rPr>
        <sz val="11"/>
        <color theme="1"/>
        <rFont val="ＭＳ Ｐゴシック"/>
        <family val="3"/>
        <charset val="128"/>
      </rPr>
      <t>　　　　　　　　　　　</t>
    </r>
    <r>
      <rPr>
        <sz val="11"/>
        <color theme="1"/>
        <rFont val="Arial"/>
        <family val="2"/>
      </rPr>
      <t xml:space="preserve">    [x 10^6]</t>
    </r>
    <phoneticPr fontId="13"/>
  </si>
  <si>
    <t>Compound Name</t>
    <phoneticPr fontId="13"/>
  </si>
  <si>
    <t>Time of                                Differentiation</t>
    <phoneticPr fontId="13"/>
  </si>
  <si>
    <t>Urea</t>
  </si>
  <si>
    <t>Gly</t>
  </si>
  <si>
    <t>Trimethylamine N-oxide</t>
  </si>
  <si>
    <t>Isopropanolamine</t>
  </si>
  <si>
    <t>Putrescine(1,4-Butanediamine)</t>
  </si>
  <si>
    <t>beta-Ala</t>
  </si>
  <si>
    <t>Ala</t>
  </si>
  <si>
    <t>Cyclohexylamine</t>
  </si>
  <si>
    <t>Hexylamine</t>
  </si>
  <si>
    <t>Cadaverine</t>
  </si>
  <si>
    <t>GABA</t>
  </si>
  <si>
    <t>3-Aminoisobutyrate</t>
  </si>
  <si>
    <t>2AB</t>
  </si>
  <si>
    <t>N,N-Dimethylglycine</t>
  </si>
  <si>
    <t>Choline</t>
  </si>
  <si>
    <t>Ser</t>
  </si>
  <si>
    <t>Diethanolamine</t>
  </si>
  <si>
    <t>Hypotaurine</t>
  </si>
  <si>
    <t>Carnosine</t>
  </si>
  <si>
    <t>Creatinine</t>
  </si>
  <si>
    <t>Pro</t>
  </si>
  <si>
    <t>5-Aminovalerate</t>
  </si>
  <si>
    <t>Val</t>
  </si>
  <si>
    <t>Betaine</t>
  </si>
  <si>
    <t>Homoserine</t>
  </si>
  <si>
    <t>Thr</t>
  </si>
  <si>
    <t>Cys</t>
  </si>
  <si>
    <t>Nicotinamide</t>
  </si>
  <si>
    <t>Taurine</t>
  </si>
  <si>
    <t>Melamine</t>
  </si>
  <si>
    <t>1-Amino-1-cyclopentanecarboxylate</t>
  </si>
  <si>
    <t>Pipecolate</t>
  </si>
  <si>
    <t>Metformin</t>
  </si>
  <si>
    <t>N-Acetylputrescine</t>
  </si>
  <si>
    <t>Agmatine</t>
  </si>
  <si>
    <t>Hydroxyproline</t>
  </si>
  <si>
    <t>Creatine</t>
  </si>
  <si>
    <t>Ile</t>
  </si>
  <si>
    <t>Leu</t>
  </si>
  <si>
    <t>Gly-Gly</t>
  </si>
  <si>
    <t>Asn</t>
  </si>
  <si>
    <t>Ornithine</t>
  </si>
  <si>
    <t>Asp</t>
  </si>
  <si>
    <t>Adenine</t>
  </si>
  <si>
    <t>Hypoxanthine</t>
  </si>
  <si>
    <t>1-Methylnicotinamide</t>
  </si>
  <si>
    <t>Trigonelline</t>
  </si>
  <si>
    <t>Urocanate</t>
  </si>
  <si>
    <t>Tropine</t>
  </si>
  <si>
    <t>Proline betaine</t>
  </si>
  <si>
    <t>N1,N12-Diacetylspermine</t>
  </si>
  <si>
    <t>Acetylcholine</t>
  </si>
  <si>
    <t>gamma-Butyrobetaine</t>
  </si>
  <si>
    <t>Spermidine</t>
  </si>
  <si>
    <t>Gln</t>
  </si>
  <si>
    <t>Lys</t>
  </si>
  <si>
    <t>Glu</t>
  </si>
  <si>
    <t>Met</t>
  </si>
  <si>
    <t>His</t>
  </si>
  <si>
    <t>alpha-Aminoadipate</t>
  </si>
  <si>
    <t>Carnitine</t>
  </si>
  <si>
    <t>5-Hydroxylysine</t>
  </si>
  <si>
    <t>Pterin</t>
  </si>
  <si>
    <t>Methionine sulfoxide</t>
  </si>
  <si>
    <t>Phe</t>
  </si>
  <si>
    <t>Pyridoxal</t>
  </si>
  <si>
    <t>3-Methoxytyramine</t>
  </si>
  <si>
    <t>Synephrine</t>
  </si>
  <si>
    <t>Pyridoxine</t>
  </si>
  <si>
    <t>3-Methylhistidine</t>
  </si>
  <si>
    <t>Arg</t>
  </si>
  <si>
    <t>Citrulline</t>
  </si>
  <si>
    <t>Serotonin</t>
  </si>
  <si>
    <t>Tyr</t>
  </si>
  <si>
    <t>Phosphorylcholine</t>
  </si>
  <si>
    <t>N1-Acetylspermidine</t>
  </si>
  <si>
    <t>Gly-Leu</t>
  </si>
  <si>
    <t>N-epsilon-Acetyllysine</t>
  </si>
  <si>
    <t>N6,N6,N6-Trimethyllysine</t>
  </si>
  <si>
    <t>SAH</t>
  </si>
  <si>
    <t>N-Acetylhistidine</t>
  </si>
  <si>
    <t>SAM+</t>
  </si>
  <si>
    <t>ADMA</t>
  </si>
  <si>
    <t>o-Acetylcarnitine</t>
  </si>
  <si>
    <t>Trp</t>
  </si>
  <si>
    <t>Kynurenine</t>
  </si>
  <si>
    <t>Cysteine-glutathione disulphide -Divalent</t>
  </si>
  <si>
    <t>N-Acetylglucosamine</t>
  </si>
  <si>
    <t>2'-Deoxycytidine</t>
  </si>
  <si>
    <t>N1,N8-Diacetylspermidine</t>
  </si>
  <si>
    <t>Thymidine</t>
  </si>
  <si>
    <t>Cytidine</t>
  </si>
  <si>
    <t>Pyridoxamine 5'-phosphate</t>
  </si>
  <si>
    <t>5'-Deoxyadenosine</t>
  </si>
  <si>
    <t>Purine riboside</t>
  </si>
  <si>
    <t>2'-Deoxyinosine</t>
  </si>
  <si>
    <t>7,8-Dihydroneopterin</t>
  </si>
  <si>
    <t>Glycerophosphorylcholine</t>
  </si>
  <si>
    <t>Thiamine</t>
  </si>
  <si>
    <t>N6-Methyl-2'-deoxyadenosine</t>
  </si>
  <si>
    <t>Adenosine</t>
  </si>
  <si>
    <t>2'-Deoxyguanosine</t>
  </si>
  <si>
    <t>Homocystine</t>
  </si>
  <si>
    <t>Inosine</t>
  </si>
  <si>
    <t>Glu-Glu</t>
  </si>
  <si>
    <t>Saccharopine</t>
  </si>
  <si>
    <t>1-Methyladenosine</t>
  </si>
  <si>
    <t>Guanosine</t>
  </si>
  <si>
    <t>Xanthosine</t>
  </si>
  <si>
    <t>Ophthalmate</t>
  </si>
  <si>
    <t>Argininosuccinate</t>
  </si>
  <si>
    <t>5-Methylthioadenosine</t>
  </si>
  <si>
    <t>Glutathione(ox)</t>
  </si>
  <si>
    <t>N-alpha-Benzenolarginine ethylester</t>
  </si>
  <si>
    <t>3-Iodotyrosine</t>
  </si>
  <si>
    <t>Glutathione(red)</t>
  </si>
  <si>
    <t>Phe-Phe</t>
  </si>
  <si>
    <t>AICAR</t>
  </si>
  <si>
    <t>Thiamine monophosphate</t>
  </si>
  <si>
    <t>Tetrahydropalmatine</t>
  </si>
  <si>
    <t>TRH</t>
  </si>
  <si>
    <t>Riboflavin</t>
  </si>
  <si>
    <t>S-Lactoylglutathione</t>
  </si>
  <si>
    <t>Leu-Leu-Tyr</t>
  </si>
  <si>
    <t>3,5-Diiodo-tyrosine</t>
  </si>
  <si>
    <t>5-Methyltetrahydrofolate</t>
  </si>
  <si>
    <t>3,3',5-Triiodothyronine</t>
  </si>
  <si>
    <t>01</t>
    <phoneticPr fontId="13"/>
  </si>
  <si>
    <t>02</t>
    <phoneticPr fontId="13"/>
  </si>
  <si>
    <t>03</t>
    <phoneticPr fontId="13"/>
  </si>
  <si>
    <t>04</t>
    <phoneticPr fontId="13"/>
  </si>
  <si>
    <t>05</t>
    <phoneticPr fontId="13"/>
  </si>
  <si>
    <t>06</t>
    <phoneticPr fontId="13"/>
  </si>
  <si>
    <t>07</t>
    <phoneticPr fontId="13"/>
  </si>
  <si>
    <t>08b</t>
  </si>
  <si>
    <t>09</t>
    <phoneticPr fontId="13"/>
  </si>
  <si>
    <t>[fmol / cell]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</si>
</sst>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.00_ "/>
    <numFmt numFmtId="177" formatCode="0.0000_ "/>
    <numFmt numFmtId="178" formatCode="0.00_);[Red]\(0.00\)"/>
    <numFmt numFmtId="179" formatCode="0.000_ "/>
    <numFmt numFmtId="180" formatCode="0.0_);[Red]\(0.0\)"/>
    <numFmt numFmtId="181" formatCode="0_ "/>
    <numFmt numFmtId="182" formatCode="0.00000_ "/>
    <numFmt numFmtId="183" formatCode="0_);[Red]\(0\)"/>
  </numFmts>
  <fonts count="19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b/>
      <sz val="14"/>
      <color rgb="FF0070C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3"/>
      <charset val="128"/>
    </font>
    <font>
      <sz val="11"/>
      <color rgb="FFC0C0C0"/>
      <name val="Arial"/>
      <family val="2"/>
      <charset val="128"/>
    </font>
    <font>
      <sz val="6"/>
      <name val="ＭＳ Ｐゴシック"/>
      <family val="2"/>
      <charset val="128"/>
      <scheme val="minor"/>
    </font>
    <font>
      <b/>
      <sz val="11"/>
      <color theme="0"/>
      <name val="Arial"/>
      <family val="2"/>
    </font>
    <font>
      <sz val="11"/>
      <color rgb="FFC0C0C0"/>
      <name val="Arial"/>
      <family val="2"/>
    </font>
    <font>
      <sz val="11"/>
      <color rgb="FFFF0000"/>
      <name val="Arial"/>
      <family val="2"/>
    </font>
    <font>
      <sz val="11"/>
      <color rgb="FFB2B2B2"/>
      <name val="Arial"/>
      <family val="2"/>
    </font>
    <font>
      <sz val="11"/>
      <color rgb="FFFF99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gray0625"/>
    </fill>
  </fills>
  <borders count="33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5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2" fillId="0" borderId="0" applyBorder="0">
      <alignment horizontal="right" vertical="center"/>
    </xf>
    <xf numFmtId="0" fontId="1" fillId="0" borderId="0">
      <alignment vertical="center"/>
    </xf>
  </cellStyleXfs>
  <cellXfs count="157">
    <xf numFmtId="0" fontId="0" fillId="0" borderId="0" xfId="0"/>
    <xf numFmtId="0" fontId="9" fillId="0" borderId="0" xfId="14" applyFont="1">
      <alignment vertical="center"/>
    </xf>
    <xf numFmtId="177" fontId="9" fillId="0" borderId="0" xfId="14" applyNumberFormat="1" applyFont="1">
      <alignment vertical="center"/>
    </xf>
    <xf numFmtId="0" fontId="9" fillId="0" borderId="0" xfId="14" applyFont="1" applyFill="1">
      <alignment vertical="center"/>
    </xf>
    <xf numFmtId="176" fontId="9" fillId="0" borderId="0" xfId="14" applyNumberFormat="1" applyFont="1">
      <alignment vertical="center"/>
    </xf>
    <xf numFmtId="0" fontId="9" fillId="0" borderId="1" xfId="14" applyFont="1" applyBorder="1" applyAlignment="1">
      <alignment horizontal="center" vertical="center"/>
    </xf>
    <xf numFmtId="0" fontId="9" fillId="0" borderId="2" xfId="14" applyFont="1" applyBorder="1" applyAlignment="1">
      <alignment horizontal="center" vertical="center"/>
    </xf>
    <xf numFmtId="0" fontId="9" fillId="0" borderId="17" xfId="14" applyFont="1" applyBorder="1" applyAlignment="1">
      <alignment horizontal="center" vertical="center"/>
    </xf>
    <xf numFmtId="0" fontId="9" fillId="0" borderId="20" xfId="14" applyFont="1" applyBorder="1" applyAlignment="1">
      <alignment horizontal="center" vertical="center"/>
    </xf>
    <xf numFmtId="0" fontId="9" fillId="0" borderId="3" xfId="14" applyFont="1" applyBorder="1" applyAlignment="1">
      <alignment horizontal="center" vertical="center"/>
    </xf>
    <xf numFmtId="0" fontId="9" fillId="0" borderId="1" xfId="14" applyFont="1" applyBorder="1">
      <alignment vertical="center"/>
    </xf>
    <xf numFmtId="0" fontId="9" fillId="0" borderId="2" xfId="14" applyFont="1" applyBorder="1">
      <alignment vertical="center"/>
    </xf>
    <xf numFmtId="0" fontId="9" fillId="0" borderId="17" xfId="14" applyFont="1" applyBorder="1">
      <alignment vertical="center"/>
    </xf>
    <xf numFmtId="0" fontId="9" fillId="0" borderId="20" xfId="14" applyFont="1" applyBorder="1">
      <alignment vertical="center"/>
    </xf>
    <xf numFmtId="0" fontId="9" fillId="0" borderId="3" xfId="14" applyFont="1" applyBorder="1">
      <alignment vertical="center"/>
    </xf>
    <xf numFmtId="177" fontId="9" fillId="0" borderId="23" xfId="14" applyNumberFormat="1" applyFont="1" applyBorder="1" applyAlignment="1">
      <alignment horizontal="center" vertical="center"/>
    </xf>
    <xf numFmtId="176" fontId="9" fillId="0" borderId="21" xfId="14" applyNumberFormat="1" applyFont="1" applyBorder="1" applyAlignment="1">
      <alignment horizontal="center" vertical="center"/>
    </xf>
    <xf numFmtId="0" fontId="9" fillId="0" borderId="8" xfId="14" applyFont="1" applyBorder="1">
      <alignment vertical="center"/>
    </xf>
    <xf numFmtId="0" fontId="9" fillId="0" borderId="6" xfId="14" applyFont="1" applyBorder="1">
      <alignment vertical="center"/>
    </xf>
    <xf numFmtId="0" fontId="9" fillId="0" borderId="21" xfId="14" applyFont="1" applyBorder="1">
      <alignment vertical="center"/>
    </xf>
    <xf numFmtId="0" fontId="9" fillId="0" borderId="24" xfId="14" applyFont="1" applyBorder="1">
      <alignment vertical="center"/>
    </xf>
    <xf numFmtId="0" fontId="9" fillId="0" borderId="7" xfId="14" applyFont="1" applyBorder="1">
      <alignment vertical="center"/>
    </xf>
    <xf numFmtId="0" fontId="9" fillId="0" borderId="0" xfId="14" applyFont="1" applyAlignment="1">
      <alignment horizontal="center" vertical="center"/>
    </xf>
    <xf numFmtId="0" fontId="9" fillId="0" borderId="27" xfId="14" applyFont="1" applyBorder="1">
      <alignment vertical="center"/>
    </xf>
    <xf numFmtId="177" fontId="9" fillId="0" borderId="28" xfId="14" applyNumberFormat="1" applyFont="1" applyBorder="1">
      <alignment vertical="center"/>
    </xf>
    <xf numFmtId="176" fontId="9" fillId="0" borderId="26" xfId="14" applyNumberFormat="1" applyFont="1" applyBorder="1">
      <alignment vertical="center"/>
    </xf>
    <xf numFmtId="178" fontId="9" fillId="0" borderId="9" xfId="14" applyNumberFormat="1" applyFont="1" applyBorder="1">
      <alignment vertical="center"/>
    </xf>
    <xf numFmtId="179" fontId="9" fillId="0" borderId="4" xfId="14" applyNumberFormat="1" applyFont="1" applyBorder="1">
      <alignment vertical="center"/>
    </xf>
    <xf numFmtId="179" fontId="9" fillId="0" borderId="26" xfId="14" applyNumberFormat="1" applyFont="1" applyBorder="1">
      <alignment vertical="center"/>
    </xf>
    <xf numFmtId="178" fontId="9" fillId="0" borderId="29" xfId="14" applyNumberFormat="1" applyFont="1" applyBorder="1">
      <alignment vertical="center"/>
    </xf>
    <xf numFmtId="179" fontId="9" fillId="4" borderId="4" xfId="14" applyNumberFormat="1" applyFont="1" applyFill="1" applyBorder="1">
      <alignment vertical="center"/>
    </xf>
    <xf numFmtId="179" fontId="9" fillId="0" borderId="5" xfId="14" applyNumberFormat="1" applyFont="1" applyBorder="1">
      <alignment vertical="center"/>
    </xf>
    <xf numFmtId="0" fontId="9" fillId="0" borderId="18" xfId="14" applyFont="1" applyBorder="1">
      <alignment vertical="center"/>
    </xf>
    <xf numFmtId="177" fontId="9" fillId="0" borderId="19" xfId="14" applyNumberFormat="1" applyFont="1" applyBorder="1">
      <alignment vertical="center"/>
    </xf>
    <xf numFmtId="176" fontId="9" fillId="0" borderId="17" xfId="14" applyNumberFormat="1" applyFont="1" applyBorder="1">
      <alignment vertical="center"/>
    </xf>
    <xf numFmtId="178" fontId="9" fillId="0" borderId="1" xfId="14" applyNumberFormat="1" applyFont="1" applyBorder="1">
      <alignment vertical="center"/>
    </xf>
    <xf numFmtId="178" fontId="9" fillId="0" borderId="2" xfId="14" applyNumberFormat="1" applyFont="1" applyBorder="1">
      <alignment vertical="center"/>
    </xf>
    <xf numFmtId="178" fontId="9" fillId="0" borderId="17" xfId="14" applyNumberFormat="1" applyFont="1" applyBorder="1">
      <alignment vertical="center"/>
    </xf>
    <xf numFmtId="178" fontId="9" fillId="0" borderId="20" xfId="14" applyNumberFormat="1" applyFont="1" applyBorder="1">
      <alignment vertical="center"/>
    </xf>
    <xf numFmtId="179" fontId="9" fillId="0" borderId="2" xfId="14" applyNumberFormat="1" applyFont="1" applyBorder="1">
      <alignment vertical="center"/>
    </xf>
    <xf numFmtId="178" fontId="9" fillId="0" borderId="3" xfId="14" applyNumberFormat="1" applyFont="1" applyBorder="1">
      <alignment vertical="center"/>
    </xf>
    <xf numFmtId="179" fontId="9" fillId="0" borderId="1" xfId="14" applyNumberFormat="1" applyFont="1" applyBorder="1">
      <alignment vertical="center"/>
    </xf>
    <xf numFmtId="179" fontId="9" fillId="0" borderId="20" xfId="14" applyNumberFormat="1" applyFont="1" applyBorder="1">
      <alignment vertical="center"/>
    </xf>
    <xf numFmtId="179" fontId="9" fillId="4" borderId="2" xfId="14" applyNumberFormat="1" applyFont="1" applyFill="1" applyBorder="1">
      <alignment vertical="center"/>
    </xf>
    <xf numFmtId="179" fontId="9" fillId="0" borderId="17" xfId="14" applyNumberFormat="1" applyFont="1" applyBorder="1">
      <alignment vertical="center"/>
    </xf>
    <xf numFmtId="178" fontId="9" fillId="4" borderId="2" xfId="14" applyNumberFormat="1" applyFont="1" applyFill="1" applyBorder="1">
      <alignment vertical="center"/>
    </xf>
    <xf numFmtId="180" fontId="9" fillId="0" borderId="2" xfId="14" applyNumberFormat="1" applyFont="1" applyBorder="1">
      <alignment vertical="center"/>
    </xf>
    <xf numFmtId="180" fontId="9" fillId="0" borderId="17" xfId="14" applyNumberFormat="1" applyFont="1" applyBorder="1">
      <alignment vertical="center"/>
    </xf>
    <xf numFmtId="180" fontId="9" fillId="0" borderId="3" xfId="14" applyNumberFormat="1" applyFont="1" applyBorder="1">
      <alignment vertical="center"/>
    </xf>
    <xf numFmtId="0" fontId="15" fillId="0" borderId="1" xfId="14" applyFont="1" applyBorder="1" applyAlignment="1">
      <alignment horizontal="right" vertical="center"/>
    </xf>
    <xf numFmtId="0" fontId="15" fillId="0" borderId="17" xfId="14" applyFont="1" applyBorder="1" applyAlignment="1">
      <alignment horizontal="right" vertical="center"/>
    </xf>
    <xf numFmtId="0" fontId="15" fillId="0" borderId="20" xfId="14" applyFont="1" applyBorder="1" applyAlignment="1">
      <alignment horizontal="right" vertical="center"/>
    </xf>
    <xf numFmtId="0" fontId="15" fillId="0" borderId="2" xfId="14" applyFont="1" applyBorder="1" applyAlignment="1">
      <alignment horizontal="right" vertical="center"/>
    </xf>
    <xf numFmtId="0" fontId="15" fillId="0" borderId="3" xfId="14" applyFont="1" applyBorder="1" applyAlignment="1">
      <alignment horizontal="right" vertical="center"/>
    </xf>
    <xf numFmtId="179" fontId="9" fillId="4" borderId="1" xfId="14" applyNumberFormat="1" applyFont="1" applyFill="1" applyBorder="1">
      <alignment vertical="center"/>
    </xf>
    <xf numFmtId="177" fontId="9" fillId="4" borderId="17" xfId="14" applyNumberFormat="1" applyFont="1" applyFill="1" applyBorder="1">
      <alignment vertical="center"/>
    </xf>
    <xf numFmtId="179" fontId="9" fillId="4" borderId="20" xfId="14" applyNumberFormat="1" applyFont="1" applyFill="1" applyBorder="1">
      <alignment vertical="center"/>
    </xf>
    <xf numFmtId="179" fontId="9" fillId="0" borderId="3" xfId="14" applyNumberFormat="1" applyFont="1" applyBorder="1">
      <alignment vertical="center"/>
    </xf>
    <xf numFmtId="180" fontId="9" fillId="4" borderId="1" xfId="14" applyNumberFormat="1" applyFont="1" applyFill="1" applyBorder="1">
      <alignment vertical="center"/>
    </xf>
    <xf numFmtId="178" fontId="9" fillId="4" borderId="20" xfId="14" applyNumberFormat="1" applyFont="1" applyFill="1" applyBorder="1">
      <alignment vertical="center"/>
    </xf>
    <xf numFmtId="180" fontId="9" fillId="4" borderId="2" xfId="14" applyNumberFormat="1" applyFont="1" applyFill="1" applyBorder="1">
      <alignment vertical="center"/>
    </xf>
    <xf numFmtId="178" fontId="9" fillId="4" borderId="3" xfId="14" applyNumberFormat="1" applyFont="1" applyFill="1" applyBorder="1">
      <alignment vertical="center"/>
    </xf>
    <xf numFmtId="181" fontId="9" fillId="0" borderId="1" xfId="14" applyNumberFormat="1" applyFont="1" applyBorder="1">
      <alignment vertical="center"/>
    </xf>
    <xf numFmtId="181" fontId="16" fillId="0" borderId="2" xfId="14" applyNumberFormat="1" applyFont="1" applyBorder="1">
      <alignment vertical="center"/>
    </xf>
    <xf numFmtId="181" fontId="16" fillId="0" borderId="17" xfId="14" applyNumberFormat="1" applyFont="1" applyBorder="1">
      <alignment vertical="center"/>
    </xf>
    <xf numFmtId="181" fontId="9" fillId="0" borderId="20" xfId="14" applyNumberFormat="1" applyFont="1" applyBorder="1">
      <alignment vertical="center"/>
    </xf>
    <xf numFmtId="181" fontId="9" fillId="0" borderId="2" xfId="14" applyNumberFormat="1" applyFont="1" applyBorder="1">
      <alignment vertical="center"/>
    </xf>
    <xf numFmtId="177" fontId="9" fillId="0" borderId="2" xfId="14" applyNumberFormat="1" applyFont="1" applyBorder="1">
      <alignment vertical="center"/>
    </xf>
    <xf numFmtId="180" fontId="9" fillId="0" borderId="1" xfId="14" applyNumberFormat="1" applyFont="1" applyBorder="1">
      <alignment vertical="center"/>
    </xf>
    <xf numFmtId="180" fontId="9" fillId="0" borderId="20" xfId="14" applyNumberFormat="1" applyFont="1" applyBorder="1">
      <alignment vertical="center"/>
    </xf>
    <xf numFmtId="179" fontId="9" fillId="4" borderId="3" xfId="14" applyNumberFormat="1" applyFont="1" applyFill="1" applyBorder="1">
      <alignment vertical="center"/>
    </xf>
    <xf numFmtId="179" fontId="9" fillId="4" borderId="17" xfId="14" applyNumberFormat="1" applyFont="1" applyFill="1" applyBorder="1">
      <alignment vertical="center"/>
    </xf>
    <xf numFmtId="178" fontId="9" fillId="4" borderId="1" xfId="14" applyNumberFormat="1" applyFont="1" applyFill="1" applyBorder="1">
      <alignment vertical="center"/>
    </xf>
    <xf numFmtId="177" fontId="9" fillId="4" borderId="2" xfId="14" applyNumberFormat="1" applyFont="1" applyFill="1" applyBorder="1">
      <alignment vertical="center"/>
    </xf>
    <xf numFmtId="177" fontId="9" fillId="4" borderId="3" xfId="14" applyNumberFormat="1" applyFont="1" applyFill="1" applyBorder="1">
      <alignment vertical="center"/>
    </xf>
    <xf numFmtId="181" fontId="9" fillId="0" borderId="3" xfId="14" applyNumberFormat="1" applyFont="1" applyBorder="1">
      <alignment vertical="center"/>
    </xf>
    <xf numFmtId="177" fontId="9" fillId="4" borderId="1" xfId="14" applyNumberFormat="1" applyFont="1" applyFill="1" applyBorder="1">
      <alignment vertical="center"/>
    </xf>
    <xf numFmtId="177" fontId="9" fillId="4" borderId="20" xfId="14" applyNumberFormat="1" applyFont="1" applyFill="1" applyBorder="1">
      <alignment vertical="center"/>
    </xf>
    <xf numFmtId="177" fontId="9" fillId="0" borderId="1" xfId="14" applyNumberFormat="1" applyFont="1" applyBorder="1">
      <alignment vertical="center"/>
    </xf>
    <xf numFmtId="177" fontId="9" fillId="0" borderId="17" xfId="14" applyNumberFormat="1" applyFont="1" applyBorder="1">
      <alignment vertical="center"/>
    </xf>
    <xf numFmtId="182" fontId="9" fillId="4" borderId="2" xfId="14" applyNumberFormat="1" applyFont="1" applyFill="1" applyBorder="1">
      <alignment vertical="center"/>
    </xf>
    <xf numFmtId="182" fontId="9" fillId="4" borderId="17" xfId="14" applyNumberFormat="1" applyFont="1" applyFill="1" applyBorder="1">
      <alignment vertical="center"/>
    </xf>
    <xf numFmtId="177" fontId="9" fillId="0" borderId="20" xfId="14" applyNumberFormat="1" applyFont="1" applyBorder="1">
      <alignment vertical="center"/>
    </xf>
    <xf numFmtId="177" fontId="9" fillId="0" borderId="3" xfId="14" applyNumberFormat="1" applyFont="1" applyBorder="1">
      <alignment vertical="center"/>
    </xf>
    <xf numFmtId="0" fontId="9" fillId="0" borderId="22" xfId="14" applyFont="1" applyBorder="1">
      <alignment vertical="center"/>
    </xf>
    <xf numFmtId="177" fontId="9" fillId="0" borderId="23" xfId="14" applyNumberFormat="1" applyFont="1" applyBorder="1">
      <alignment vertical="center"/>
    </xf>
    <xf numFmtId="176" fontId="9" fillId="0" borderId="21" xfId="14" applyNumberFormat="1" applyFont="1" applyBorder="1">
      <alignment vertical="center"/>
    </xf>
    <xf numFmtId="179" fontId="9" fillId="0" borderId="8" xfId="14" applyNumberFormat="1" applyFont="1" applyBorder="1">
      <alignment vertical="center"/>
    </xf>
    <xf numFmtId="179" fontId="9" fillId="0" borderId="6" xfId="14" applyNumberFormat="1" applyFont="1" applyBorder="1">
      <alignment vertical="center"/>
    </xf>
    <xf numFmtId="178" fontId="9" fillId="0" borderId="21" xfId="14" applyNumberFormat="1" applyFont="1" applyBorder="1">
      <alignment vertical="center"/>
    </xf>
    <xf numFmtId="179" fontId="9" fillId="0" borderId="24" xfId="14" applyNumberFormat="1" applyFont="1" applyBorder="1">
      <alignment vertical="center"/>
    </xf>
    <xf numFmtId="179" fontId="9" fillId="0" borderId="7" xfId="14" applyNumberFormat="1" applyFont="1" applyBorder="1">
      <alignment vertical="center"/>
    </xf>
    <xf numFmtId="49" fontId="9" fillId="0" borderId="10" xfId="14" applyNumberFormat="1" applyFont="1" applyBorder="1" applyAlignment="1">
      <alignment horizontal="center" vertical="center"/>
    </xf>
    <xf numFmtId="49" fontId="9" fillId="0" borderId="14" xfId="14" applyNumberFormat="1" applyFont="1" applyBorder="1" applyAlignment="1">
      <alignment horizontal="center" vertical="center"/>
    </xf>
    <xf numFmtId="49" fontId="9" fillId="0" borderId="11" xfId="14" applyNumberFormat="1" applyFont="1" applyBorder="1" applyAlignment="1">
      <alignment horizontal="center" vertical="center"/>
    </xf>
    <xf numFmtId="49" fontId="9" fillId="0" borderId="15" xfId="14" applyNumberFormat="1" applyFont="1" applyBorder="1" applyAlignment="1">
      <alignment horizontal="center" vertical="center"/>
    </xf>
    <xf numFmtId="49" fontId="9" fillId="0" borderId="16" xfId="14" applyNumberFormat="1" applyFont="1" applyBorder="1" applyAlignment="1">
      <alignment horizontal="center" vertical="center"/>
    </xf>
    <xf numFmtId="180" fontId="9" fillId="4" borderId="9" xfId="14" applyNumberFormat="1" applyFont="1" applyFill="1" applyBorder="1">
      <alignment vertical="center"/>
    </xf>
    <xf numFmtId="180" fontId="9" fillId="0" borderId="4" xfId="14" applyNumberFormat="1" applyFont="1" applyBorder="1">
      <alignment vertical="center"/>
    </xf>
    <xf numFmtId="180" fontId="9" fillId="0" borderId="26" xfId="14" applyNumberFormat="1" applyFont="1" applyBorder="1">
      <alignment vertical="center"/>
    </xf>
    <xf numFmtId="180" fontId="9" fillId="4" borderId="29" xfId="14" applyNumberFormat="1" applyFont="1" applyFill="1" applyBorder="1">
      <alignment vertical="center"/>
    </xf>
    <xf numFmtId="180" fontId="9" fillId="4" borderId="4" xfId="14" applyNumberFormat="1" applyFont="1" applyFill="1" applyBorder="1">
      <alignment vertical="center"/>
    </xf>
    <xf numFmtId="180" fontId="9" fillId="0" borderId="5" xfId="14" applyNumberFormat="1" applyFont="1" applyBorder="1">
      <alignment vertical="center"/>
    </xf>
    <xf numFmtId="0" fontId="17" fillId="0" borderId="1" xfId="14" applyFont="1" applyBorder="1" applyAlignment="1">
      <alignment horizontal="right" vertical="center"/>
    </xf>
    <xf numFmtId="0" fontId="17" fillId="0" borderId="2" xfId="14" applyFont="1" applyBorder="1" applyAlignment="1">
      <alignment horizontal="right" vertical="center"/>
    </xf>
    <xf numFmtId="0" fontId="17" fillId="0" borderId="17" xfId="14" applyFont="1" applyBorder="1" applyAlignment="1">
      <alignment horizontal="right" vertical="center"/>
    </xf>
    <xf numFmtId="0" fontId="17" fillId="0" borderId="20" xfId="14" applyFont="1" applyBorder="1" applyAlignment="1">
      <alignment horizontal="right" vertical="center"/>
    </xf>
    <xf numFmtId="0" fontId="17" fillId="0" borderId="3" xfId="14" applyFont="1" applyBorder="1" applyAlignment="1">
      <alignment horizontal="right" vertical="center"/>
    </xf>
    <xf numFmtId="183" fontId="9" fillId="0" borderId="1" xfId="14" applyNumberFormat="1" applyFont="1" applyBorder="1">
      <alignment vertical="center"/>
    </xf>
    <xf numFmtId="183" fontId="9" fillId="0" borderId="2" xfId="14" applyNumberFormat="1" applyFont="1" applyBorder="1">
      <alignment vertical="center"/>
    </xf>
    <xf numFmtId="183" fontId="16" fillId="0" borderId="2" xfId="14" applyNumberFormat="1" applyFont="1" applyBorder="1">
      <alignment vertical="center"/>
    </xf>
    <xf numFmtId="183" fontId="16" fillId="0" borderId="17" xfId="14" applyNumberFormat="1" applyFont="1" applyBorder="1">
      <alignment vertical="center"/>
    </xf>
    <xf numFmtId="183" fontId="9" fillId="0" borderId="20" xfId="14" applyNumberFormat="1" applyFont="1" applyBorder="1">
      <alignment vertical="center"/>
    </xf>
    <xf numFmtId="183" fontId="9" fillId="0" borderId="3" xfId="14" applyNumberFormat="1" applyFont="1" applyBorder="1">
      <alignment vertical="center"/>
    </xf>
    <xf numFmtId="183" fontId="9" fillId="0" borderId="17" xfId="14" applyNumberFormat="1" applyFont="1" applyBorder="1">
      <alignment vertical="center"/>
    </xf>
    <xf numFmtId="176" fontId="9" fillId="0" borderId="2" xfId="14" applyNumberFormat="1" applyFont="1" applyBorder="1">
      <alignment vertical="center"/>
    </xf>
    <xf numFmtId="176" fontId="9" fillId="0" borderId="20" xfId="14" applyNumberFormat="1" applyFont="1" applyBorder="1">
      <alignment vertical="center"/>
    </xf>
    <xf numFmtId="176" fontId="9" fillId="0" borderId="3" xfId="14" applyNumberFormat="1" applyFont="1" applyBorder="1">
      <alignment vertical="center"/>
    </xf>
    <xf numFmtId="176" fontId="9" fillId="0" borderId="1" xfId="14" applyNumberFormat="1" applyFont="1" applyBorder="1">
      <alignment vertical="center"/>
    </xf>
    <xf numFmtId="176" fontId="9" fillId="4" borderId="1" xfId="14" applyNumberFormat="1" applyFont="1" applyFill="1" applyBorder="1">
      <alignment vertical="center"/>
    </xf>
    <xf numFmtId="0" fontId="18" fillId="0" borderId="18" xfId="14" applyFont="1" applyBorder="1">
      <alignment vertical="center"/>
    </xf>
    <xf numFmtId="176" fontId="9" fillId="4" borderId="20" xfId="14" applyNumberFormat="1" applyFont="1" applyFill="1" applyBorder="1">
      <alignment vertical="center"/>
    </xf>
    <xf numFmtId="176" fontId="9" fillId="4" borderId="2" xfId="14" applyNumberFormat="1" applyFont="1" applyFill="1" applyBorder="1">
      <alignment vertical="center"/>
    </xf>
    <xf numFmtId="183" fontId="16" fillId="0" borderId="3" xfId="14" applyNumberFormat="1" applyFont="1" applyBorder="1">
      <alignment vertical="center"/>
    </xf>
    <xf numFmtId="176" fontId="9" fillId="4" borderId="3" xfId="14" applyNumberFormat="1" applyFont="1" applyFill="1" applyBorder="1">
      <alignment vertical="center"/>
    </xf>
    <xf numFmtId="0" fontId="17" fillId="0" borderId="8" xfId="14" applyFont="1" applyBorder="1" applyAlignment="1">
      <alignment horizontal="right" vertical="center"/>
    </xf>
    <xf numFmtId="0" fontId="17" fillId="0" borderId="6" xfId="14" applyFont="1" applyBorder="1" applyAlignment="1">
      <alignment horizontal="right" vertical="center"/>
    </xf>
    <xf numFmtId="0" fontId="17" fillId="0" borderId="21" xfId="14" applyFont="1" applyBorder="1" applyAlignment="1">
      <alignment horizontal="right" vertical="center"/>
    </xf>
    <xf numFmtId="0" fontId="17" fillId="0" borderId="24" xfId="14" applyFont="1" applyBorder="1" applyAlignment="1">
      <alignment horizontal="right" vertical="center"/>
    </xf>
    <xf numFmtId="0" fontId="17" fillId="0" borderId="7" xfId="14" applyFont="1" applyBorder="1" applyAlignment="1">
      <alignment horizontal="right" vertical="center"/>
    </xf>
    <xf numFmtId="49" fontId="9" fillId="0" borderId="32" xfId="14" applyNumberFormat="1" applyFont="1" applyBorder="1" applyAlignment="1">
      <alignment horizontal="center" vertical="center"/>
    </xf>
    <xf numFmtId="49" fontId="9" fillId="0" borderId="13" xfId="14" applyNumberFormat="1" applyFont="1" applyBorder="1" applyAlignment="1">
      <alignment horizontal="center" vertical="center"/>
    </xf>
    <xf numFmtId="0" fontId="8" fillId="0" borderId="0" xfId="14" applyFont="1" applyFill="1">
      <alignment vertical="center"/>
    </xf>
    <xf numFmtId="176" fontId="9" fillId="0" borderId="19" xfId="14" applyNumberFormat="1" applyFont="1" applyBorder="1" applyAlignment="1">
      <alignment horizontal="center" vertical="center" wrapText="1"/>
    </xf>
    <xf numFmtId="0" fontId="9" fillId="0" borderId="17" xfId="14" applyFont="1" applyBorder="1" applyAlignment="1">
      <alignment horizontal="center" vertical="center" wrapText="1"/>
    </xf>
    <xf numFmtId="0" fontId="9" fillId="0" borderId="2" xfId="14" applyFont="1" applyBorder="1" applyAlignment="1">
      <alignment vertical="center"/>
    </xf>
    <xf numFmtId="0" fontId="9" fillId="0" borderId="3" xfId="14" applyFont="1" applyBorder="1" applyAlignment="1">
      <alignment vertical="center"/>
    </xf>
    <xf numFmtId="0" fontId="9" fillId="0" borderId="6" xfId="14" applyFont="1" applyBorder="1" applyAlignment="1">
      <alignment vertical="center"/>
    </xf>
    <xf numFmtId="0" fontId="9" fillId="0" borderId="7" xfId="14" applyFont="1" applyBorder="1" applyAlignment="1">
      <alignment vertical="center"/>
    </xf>
    <xf numFmtId="14" fontId="9" fillId="0" borderId="30" xfId="14" applyNumberFormat="1" applyFont="1" applyBorder="1" applyAlignment="1">
      <alignment horizontal="center" vertical="center"/>
    </xf>
    <xf numFmtId="0" fontId="9" fillId="0" borderId="31" xfId="14" applyFont="1" applyBorder="1" applyAlignment="1">
      <alignment horizontal="center" vertical="center"/>
    </xf>
    <xf numFmtId="0" fontId="9" fillId="0" borderId="25" xfId="14" applyFont="1" applyBorder="1" applyAlignment="1">
      <alignment horizontal="center" vertical="center"/>
    </xf>
    <xf numFmtId="0" fontId="9" fillId="0" borderId="12" xfId="14" applyFont="1" applyBorder="1" applyAlignment="1">
      <alignment horizontal="center" vertical="center"/>
    </xf>
    <xf numFmtId="0" fontId="9" fillId="0" borderId="18" xfId="14" applyFont="1" applyBorder="1" applyAlignment="1">
      <alignment vertical="center"/>
    </xf>
    <xf numFmtId="0" fontId="9" fillId="0" borderId="22" xfId="14" applyFont="1" applyBorder="1" applyAlignment="1">
      <alignment vertical="center"/>
    </xf>
    <xf numFmtId="176" fontId="9" fillId="0" borderId="13" xfId="14" applyNumberFormat="1" applyFont="1" applyBorder="1" applyAlignment="1">
      <alignment horizontal="center" vertical="center"/>
    </xf>
    <xf numFmtId="0" fontId="9" fillId="0" borderId="11" xfId="14" applyFont="1" applyBorder="1" applyAlignment="1">
      <alignment horizontal="center" vertical="center"/>
    </xf>
    <xf numFmtId="0" fontId="14" fillId="2" borderId="10" xfId="14" applyFont="1" applyFill="1" applyBorder="1" applyAlignment="1">
      <alignment horizontal="center" vertical="center"/>
    </xf>
    <xf numFmtId="0" fontId="14" fillId="2" borderId="14" xfId="14" applyFont="1" applyFill="1" applyBorder="1" applyAlignment="1">
      <alignment horizontal="center" vertical="center"/>
    </xf>
    <xf numFmtId="0" fontId="14" fillId="2" borderId="11" xfId="14" applyFont="1" applyFill="1" applyBorder="1" applyAlignment="1">
      <alignment horizontal="center" vertical="center"/>
    </xf>
    <xf numFmtId="0" fontId="14" fillId="3" borderId="15" xfId="14" applyFont="1" applyFill="1" applyBorder="1" applyAlignment="1">
      <alignment horizontal="center" vertical="center"/>
    </xf>
    <xf numFmtId="0" fontId="14" fillId="3" borderId="14" xfId="14" applyFont="1" applyFill="1" applyBorder="1" applyAlignment="1">
      <alignment horizontal="center" vertical="center"/>
    </xf>
    <xf numFmtId="0" fontId="14" fillId="3" borderId="16" xfId="14" applyFont="1" applyFill="1" applyBorder="1" applyAlignment="1">
      <alignment horizontal="center" vertical="center"/>
    </xf>
    <xf numFmtId="0" fontId="9" fillId="0" borderId="14" xfId="14" applyFont="1" applyBorder="1" applyAlignment="1">
      <alignment horizontal="center" vertical="center"/>
    </xf>
    <xf numFmtId="0" fontId="9" fillId="0" borderId="6" xfId="14" applyFont="1" applyBorder="1" applyAlignment="1">
      <alignment horizontal="center" vertical="center"/>
    </xf>
    <xf numFmtId="14" fontId="9" fillId="0" borderId="6" xfId="14" applyNumberFormat="1" applyFont="1" applyBorder="1" applyAlignment="1">
      <alignment horizontal="center" vertical="center"/>
    </xf>
    <xf numFmtId="0" fontId="9" fillId="0" borderId="7" xfId="14" applyFont="1" applyBorder="1" applyAlignment="1">
      <alignment horizontal="center" vertical="center"/>
    </xf>
  </cellXfs>
  <cellStyles count="15">
    <cellStyle name="N.D." xfId="13"/>
    <cellStyle name="ハイパーリンク 2" xfId="4"/>
    <cellStyle name="ハイパーリンク 3" xfId="5"/>
    <cellStyle name="標準" xfId="0" builtinId="0"/>
    <cellStyle name="標準 2" xfId="1"/>
    <cellStyle name="標準 2 2" xfId="9"/>
    <cellStyle name="標準 20" xfId="6"/>
    <cellStyle name="標準 3" xfId="2"/>
    <cellStyle name="標準 3 2" xfId="7"/>
    <cellStyle name="標準 3 3" xfId="10"/>
    <cellStyle name="標準 3 4" xfId="12"/>
    <cellStyle name="標準 4" xfId="3"/>
    <cellStyle name="標準 5" xfId="8"/>
    <cellStyle name="標準 6" xfId="11"/>
    <cellStyle name="標準 7" xfId="1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M127"/>
  <sheetViews>
    <sheetView tabSelected="1" zoomScale="70" zoomScaleNormal="7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/>
  <cols>
    <col min="1" max="1" width="36.125" style="1" bestFit="1" customWidth="1"/>
    <col min="2" max="2" width="10.875" style="2" bestFit="1" customWidth="1"/>
    <col min="3" max="3" width="10.625" style="4" bestFit="1" customWidth="1"/>
    <col min="4" max="16384" width="9" style="1"/>
  </cols>
  <sheetData>
    <row r="1" spans="1:13" ht="18.75" thickBot="1">
      <c r="A1" s="132" t="s">
        <v>281</v>
      </c>
      <c r="C1" s="1"/>
      <c r="M1" s="3"/>
    </row>
    <row r="2" spans="1:13" ht="15">
      <c r="A2" s="142" t="s">
        <v>8</v>
      </c>
      <c r="B2" s="145" t="s">
        <v>0</v>
      </c>
      <c r="C2" s="146"/>
      <c r="D2" s="147" t="s">
        <v>1</v>
      </c>
      <c r="E2" s="148"/>
      <c r="F2" s="148"/>
      <c r="G2" s="148"/>
      <c r="H2" s="149"/>
      <c r="I2" s="150" t="s">
        <v>7</v>
      </c>
      <c r="J2" s="151"/>
      <c r="K2" s="151"/>
      <c r="L2" s="151"/>
      <c r="M2" s="152"/>
    </row>
    <row r="3" spans="1:13" ht="30" customHeight="1">
      <c r="A3" s="143"/>
      <c r="B3" s="133" t="s">
        <v>9</v>
      </c>
      <c r="C3" s="134"/>
      <c r="D3" s="5" t="s">
        <v>2</v>
      </c>
      <c r="E3" s="6" t="s">
        <v>3</v>
      </c>
      <c r="F3" s="6" t="s">
        <v>4</v>
      </c>
      <c r="G3" s="6" t="s">
        <v>5</v>
      </c>
      <c r="H3" s="7" t="s">
        <v>6</v>
      </c>
      <c r="I3" s="8" t="s">
        <v>2</v>
      </c>
      <c r="J3" s="6" t="s">
        <v>3</v>
      </c>
      <c r="K3" s="6" t="s">
        <v>4</v>
      </c>
      <c r="L3" s="6" t="s">
        <v>5</v>
      </c>
      <c r="M3" s="9" t="s">
        <v>6</v>
      </c>
    </row>
    <row r="4" spans="1:13" ht="30" customHeight="1">
      <c r="A4" s="143"/>
      <c r="B4" s="133" t="s">
        <v>142</v>
      </c>
      <c r="C4" s="134"/>
      <c r="D4" s="10">
        <v>1.3</v>
      </c>
      <c r="E4" s="11">
        <v>2.7</v>
      </c>
      <c r="F4" s="11">
        <v>4.4000000000000004</v>
      </c>
      <c r="G4" s="11">
        <v>6.2</v>
      </c>
      <c r="H4" s="12">
        <v>4.5999999999999996</v>
      </c>
      <c r="I4" s="13">
        <v>1.2</v>
      </c>
      <c r="J4" s="11">
        <v>1.7</v>
      </c>
      <c r="K4" s="11">
        <v>2</v>
      </c>
      <c r="L4" s="11">
        <v>1.9</v>
      </c>
      <c r="M4" s="14">
        <v>1.9</v>
      </c>
    </row>
    <row r="5" spans="1:13" s="22" customFormat="1" ht="15" thickBot="1">
      <c r="A5" s="144"/>
      <c r="B5" s="15" t="s">
        <v>10</v>
      </c>
      <c r="C5" s="16" t="s">
        <v>11</v>
      </c>
      <c r="D5" s="17">
        <v>1</v>
      </c>
      <c r="E5" s="18">
        <v>2</v>
      </c>
      <c r="F5" s="18">
        <v>3</v>
      </c>
      <c r="G5" s="18">
        <v>4</v>
      </c>
      <c r="H5" s="19">
        <v>5</v>
      </c>
      <c r="I5" s="20">
        <v>6</v>
      </c>
      <c r="J5" s="18">
        <v>7</v>
      </c>
      <c r="K5" s="18">
        <v>8</v>
      </c>
      <c r="L5" s="18">
        <v>9</v>
      </c>
      <c r="M5" s="21">
        <v>10</v>
      </c>
    </row>
    <row r="6" spans="1:13">
      <c r="A6" s="23" t="s">
        <v>12</v>
      </c>
      <c r="B6" s="24">
        <v>259.02334376743801</v>
      </c>
      <c r="C6" s="25">
        <v>14.3882735116141</v>
      </c>
      <c r="D6" s="26">
        <v>0.11217224076456729</v>
      </c>
      <c r="E6" s="27">
        <v>7.2381071224493512E-2</v>
      </c>
      <c r="F6" s="27">
        <v>6.347454148895483E-2</v>
      </c>
      <c r="G6" s="27">
        <v>8.1524374628971358E-2</v>
      </c>
      <c r="H6" s="28">
        <v>7.1296564083189948E-2</v>
      </c>
      <c r="I6" s="29">
        <v>0.10165948703085792</v>
      </c>
      <c r="J6" s="27">
        <v>7.9205763318663233E-2</v>
      </c>
      <c r="K6" s="30">
        <v>6.086189379219975E-2</v>
      </c>
      <c r="L6" s="27">
        <v>5.1420962470998165E-2</v>
      </c>
      <c r="M6" s="31">
        <v>6.3555430027986776E-2</v>
      </c>
    </row>
    <row r="7" spans="1:13">
      <c r="A7" s="32" t="s">
        <v>13</v>
      </c>
      <c r="B7" s="33">
        <v>259.02332414899502</v>
      </c>
      <c r="C7" s="34">
        <v>14.703693662370901</v>
      </c>
      <c r="D7" s="35">
        <v>0.31256978007795094</v>
      </c>
      <c r="E7" s="36">
        <v>0.14061291823539118</v>
      </c>
      <c r="F7" s="36">
        <v>0.29667502604390905</v>
      </c>
      <c r="G7" s="36">
        <v>0.82661733147166327</v>
      </c>
      <c r="H7" s="37">
        <v>0.81755112876056801</v>
      </c>
      <c r="I7" s="38">
        <v>0.1796237028737625</v>
      </c>
      <c r="J7" s="39">
        <v>7.7580431938376479E-2</v>
      </c>
      <c r="K7" s="36">
        <v>0.10583642574370875</v>
      </c>
      <c r="L7" s="36">
        <v>0.2480152830725566</v>
      </c>
      <c r="M7" s="40">
        <v>0.38057089994758619</v>
      </c>
    </row>
    <row r="8" spans="1:13">
      <c r="A8" s="32" t="s">
        <v>14</v>
      </c>
      <c r="B8" s="33">
        <v>259.02318899971999</v>
      </c>
      <c r="C8" s="34">
        <v>14.5649333000183</v>
      </c>
      <c r="D8" s="41">
        <v>7.9071976974897984E-2</v>
      </c>
      <c r="E8" s="39">
        <v>5.6361183780636107E-2</v>
      </c>
      <c r="F8" s="39">
        <v>9.2078128932574138E-2</v>
      </c>
      <c r="G8" s="36">
        <v>0.20643317746879838</v>
      </c>
      <c r="H8" s="37">
        <v>0.20533662514426795</v>
      </c>
      <c r="I8" s="42">
        <v>6.1809992395623445E-2</v>
      </c>
      <c r="J8" s="43">
        <v>4.8492906773640446E-2</v>
      </c>
      <c r="K8" s="43">
        <v>3.4748297947856686E-2</v>
      </c>
      <c r="L8" s="39">
        <v>6.9637669804013161E-2</v>
      </c>
      <c r="M8" s="40">
        <v>0.12137241503243422</v>
      </c>
    </row>
    <row r="9" spans="1:13">
      <c r="A9" s="32" t="s">
        <v>15</v>
      </c>
      <c r="B9" s="33">
        <v>338.98956298828102</v>
      </c>
      <c r="C9" s="34">
        <v>11.623203413827</v>
      </c>
      <c r="D9" s="35">
        <v>0.44626597633285964</v>
      </c>
      <c r="E9" s="36">
        <v>0.51448701469808789</v>
      </c>
      <c r="F9" s="36">
        <v>0.56227142915873285</v>
      </c>
      <c r="G9" s="39">
        <v>6.4525855576205854E-2</v>
      </c>
      <c r="H9" s="44">
        <v>8.0964605097025008E-2</v>
      </c>
      <c r="I9" s="38">
        <v>0.55841044643120419</v>
      </c>
      <c r="J9" s="36">
        <v>0.28185486066030957</v>
      </c>
      <c r="K9" s="36">
        <v>0.2507146122191144</v>
      </c>
      <c r="L9" s="36">
        <v>0.19302105322024213</v>
      </c>
      <c r="M9" s="40">
        <v>0.23902364604173751</v>
      </c>
    </row>
    <row r="10" spans="1:13">
      <c r="A10" s="32" t="s">
        <v>16</v>
      </c>
      <c r="B10" s="33">
        <v>168.99141148158401</v>
      </c>
      <c r="C10" s="34">
        <v>12.444766317095</v>
      </c>
      <c r="D10" s="35">
        <v>0.53894023323711826</v>
      </c>
      <c r="E10" s="36">
        <v>0.28017559443078099</v>
      </c>
      <c r="F10" s="36">
        <v>0.50615672987755111</v>
      </c>
      <c r="G10" s="36">
        <v>0.55193996053730443</v>
      </c>
      <c r="H10" s="37">
        <v>0.4876722970556196</v>
      </c>
      <c r="I10" s="38">
        <v>0.27674471383887189</v>
      </c>
      <c r="J10" s="45">
        <v>0.16955849578856175</v>
      </c>
      <c r="K10" s="36">
        <v>0.16645151003133188</v>
      </c>
      <c r="L10" s="36">
        <v>0.18720291818512302</v>
      </c>
      <c r="M10" s="40">
        <v>0.4637542644304507</v>
      </c>
    </row>
    <row r="11" spans="1:13">
      <c r="A11" s="32" t="s">
        <v>17</v>
      </c>
      <c r="B11" s="33">
        <v>171.00667572021399</v>
      </c>
      <c r="C11" s="34">
        <v>12.7283916473388</v>
      </c>
      <c r="D11" s="35">
        <v>0.77920925178858658</v>
      </c>
      <c r="E11" s="36">
        <v>0.58405913334316195</v>
      </c>
      <c r="F11" s="46">
        <v>4.3888726504408515</v>
      </c>
      <c r="G11" s="46">
        <v>5.2996703014429034</v>
      </c>
      <c r="H11" s="47">
        <v>5.6521124945907886</v>
      </c>
      <c r="I11" s="38">
        <v>0.77302895094999591</v>
      </c>
      <c r="J11" s="36">
        <v>0.37616202375262131</v>
      </c>
      <c r="K11" s="36">
        <v>0.58403106317151121</v>
      </c>
      <c r="L11" s="46">
        <v>1.3927645823535264</v>
      </c>
      <c r="M11" s="48">
        <v>1.3211133169722502</v>
      </c>
    </row>
    <row r="12" spans="1:13">
      <c r="A12" s="32" t="s">
        <v>18</v>
      </c>
      <c r="B12" s="33">
        <v>168.991875784737</v>
      </c>
      <c r="C12" s="34">
        <v>13.041624205452999</v>
      </c>
      <c r="D12" s="49" t="s">
        <v>19</v>
      </c>
      <c r="E12" s="43">
        <v>9.2357998361701374E-2</v>
      </c>
      <c r="F12" s="43">
        <v>5.0852791610038917E-2</v>
      </c>
      <c r="G12" s="43">
        <v>3.4951198998172173E-2</v>
      </c>
      <c r="H12" s="50" t="s">
        <v>19</v>
      </c>
      <c r="I12" s="51" t="s">
        <v>19</v>
      </c>
      <c r="J12" s="52" t="s">
        <v>19</v>
      </c>
      <c r="K12" s="52" t="s">
        <v>19</v>
      </c>
      <c r="L12" s="52" t="s">
        <v>19</v>
      </c>
      <c r="M12" s="53" t="s">
        <v>19</v>
      </c>
    </row>
    <row r="13" spans="1:13">
      <c r="A13" s="32" t="s">
        <v>20</v>
      </c>
      <c r="B13" s="33">
        <v>264.95344107491599</v>
      </c>
      <c r="C13" s="34">
        <v>10.6858114515032</v>
      </c>
      <c r="D13" s="54">
        <v>2.4511062302971637E-2</v>
      </c>
      <c r="E13" s="43">
        <v>2.3574762124601478E-2</v>
      </c>
      <c r="F13" s="39">
        <v>5.6596257683312778E-2</v>
      </c>
      <c r="G13" s="39">
        <v>1.1496459007288851E-2</v>
      </c>
      <c r="H13" s="55">
        <v>5.2114730751613046E-3</v>
      </c>
      <c r="I13" s="56">
        <v>2.1522376029318023E-2</v>
      </c>
      <c r="J13" s="39">
        <v>2.6219044512756841E-2</v>
      </c>
      <c r="K13" s="39">
        <v>6.4607616892289998E-2</v>
      </c>
      <c r="L13" s="39">
        <v>4.5149525216853094E-2</v>
      </c>
      <c r="M13" s="57">
        <v>4.178169750061915E-2</v>
      </c>
    </row>
    <row r="14" spans="1:13">
      <c r="A14" s="32" t="s">
        <v>21</v>
      </c>
      <c r="B14" s="33">
        <v>184.98619406563799</v>
      </c>
      <c r="C14" s="34">
        <v>10.4562570708138</v>
      </c>
      <c r="D14" s="35">
        <v>0.20487673611224327</v>
      </c>
      <c r="E14" s="36">
        <v>0.19300408924216714</v>
      </c>
      <c r="F14" s="36">
        <v>0.56474599536618464</v>
      </c>
      <c r="G14" s="36">
        <v>0.48451482845228222</v>
      </c>
      <c r="H14" s="37">
        <v>0.48448803251062239</v>
      </c>
      <c r="I14" s="38">
        <v>0.20620020187853022</v>
      </c>
      <c r="J14" s="36">
        <v>0.14419713239581472</v>
      </c>
      <c r="K14" s="36">
        <v>0.13278231185479311</v>
      </c>
      <c r="L14" s="36">
        <v>0.35901356829557762</v>
      </c>
      <c r="M14" s="40">
        <v>0.54903105308974343</v>
      </c>
    </row>
    <row r="15" spans="1:13">
      <c r="A15" s="32" t="s">
        <v>22</v>
      </c>
      <c r="B15" s="33">
        <v>184.98628234863199</v>
      </c>
      <c r="C15" s="34">
        <v>10.5294687407357</v>
      </c>
      <c r="D15" s="54">
        <v>2.6367643655994515E-2</v>
      </c>
      <c r="E15" s="43">
        <v>2.2833190916341943E-2</v>
      </c>
      <c r="F15" s="39">
        <v>7.5714748875858801E-2</v>
      </c>
      <c r="G15" s="39">
        <v>5.5390253917678628E-2</v>
      </c>
      <c r="H15" s="44">
        <v>5.1547876377758158E-2</v>
      </c>
      <c r="I15" s="56">
        <v>2.4704642850428438E-2</v>
      </c>
      <c r="J15" s="43">
        <v>2.8915991860693973E-2</v>
      </c>
      <c r="K15" s="43">
        <v>2.0857969962932627E-2</v>
      </c>
      <c r="L15" s="39">
        <v>3.3702457814078088E-2</v>
      </c>
      <c r="M15" s="57">
        <v>4.5963508374713684E-2</v>
      </c>
    </row>
    <row r="16" spans="1:13">
      <c r="A16" s="32" t="s">
        <v>23</v>
      </c>
      <c r="B16" s="33">
        <v>166.97606876918201</v>
      </c>
      <c r="C16" s="34">
        <v>10.290325369153701</v>
      </c>
      <c r="D16" s="41">
        <v>7.3406546789939714E-2</v>
      </c>
      <c r="E16" s="39">
        <v>5.8165891859415744E-2</v>
      </c>
      <c r="F16" s="36">
        <v>0.21745257449006306</v>
      </c>
      <c r="G16" s="36">
        <v>0.20694622692755441</v>
      </c>
      <c r="H16" s="37">
        <v>0.23705924115314239</v>
      </c>
      <c r="I16" s="42">
        <v>5.9435520233860423E-2</v>
      </c>
      <c r="J16" s="43">
        <v>2.4864509602983458E-2</v>
      </c>
      <c r="K16" s="39">
        <v>2.9896457574695376E-2</v>
      </c>
      <c r="L16" s="36">
        <v>0.10719974176484343</v>
      </c>
      <c r="M16" s="40">
        <v>0.17976046742678159</v>
      </c>
    </row>
    <row r="17" spans="1:13">
      <c r="A17" s="32" t="s">
        <v>24</v>
      </c>
      <c r="B17" s="33">
        <v>87.009308951241593</v>
      </c>
      <c r="C17" s="34">
        <v>12.271563393729</v>
      </c>
      <c r="D17" s="58">
        <v>1.5287352384780866</v>
      </c>
      <c r="E17" s="45">
        <v>0.9545458656166157</v>
      </c>
      <c r="F17" s="46">
        <v>3.3605398008057952</v>
      </c>
      <c r="G17" s="46">
        <v>7.395311351126713</v>
      </c>
      <c r="H17" s="47">
        <v>6.4752824197682344</v>
      </c>
      <c r="I17" s="59">
        <v>0.9852758562656948</v>
      </c>
      <c r="J17" s="60">
        <v>1.1019996928006912</v>
      </c>
      <c r="K17" s="45">
        <v>0.72629588119102495</v>
      </c>
      <c r="L17" s="45">
        <v>0.70837358724838162</v>
      </c>
      <c r="M17" s="61">
        <v>0.97214250591428952</v>
      </c>
    </row>
    <row r="18" spans="1:13">
      <c r="A18" s="32" t="s">
        <v>25</v>
      </c>
      <c r="B18" s="33">
        <v>89.025020054408401</v>
      </c>
      <c r="C18" s="34">
        <v>13.6667962074279</v>
      </c>
      <c r="D18" s="62">
        <v>22.746458194532693</v>
      </c>
      <c r="E18" s="63">
        <v>130.86363716936989</v>
      </c>
      <c r="F18" s="63">
        <v>115.48501239555965</v>
      </c>
      <c r="G18" s="63">
        <v>126.41162994882096</v>
      </c>
      <c r="H18" s="64">
        <v>128.56110656301902</v>
      </c>
      <c r="I18" s="65">
        <v>16.674115587186979</v>
      </c>
      <c r="J18" s="66">
        <v>36.83978756835522</v>
      </c>
      <c r="K18" s="66">
        <v>14.078110153207188</v>
      </c>
      <c r="L18" s="46">
        <v>8.3333883252451972</v>
      </c>
      <c r="M18" s="48">
        <v>6.8643186194848695</v>
      </c>
    </row>
    <row r="19" spans="1:13">
      <c r="A19" s="32" t="s">
        <v>26</v>
      </c>
      <c r="B19" s="33">
        <v>403.55708966936299</v>
      </c>
      <c r="C19" s="34">
        <v>14.232412746974401</v>
      </c>
      <c r="D19" s="41">
        <v>1.560255707392875E-2</v>
      </c>
      <c r="E19" s="39">
        <v>1.6459729031240326E-2</v>
      </c>
      <c r="F19" s="39">
        <v>8.394830282743182E-2</v>
      </c>
      <c r="G19" s="36">
        <v>0.13623281745879898</v>
      </c>
      <c r="H19" s="37">
        <v>0.18243095659137826</v>
      </c>
      <c r="I19" s="42">
        <v>1.3111384060138958E-2</v>
      </c>
      <c r="J19" s="67">
        <v>9.718251512324633E-3</v>
      </c>
      <c r="K19" s="39">
        <v>2.7009160301834936E-2</v>
      </c>
      <c r="L19" s="39">
        <v>4.9535249908100723E-2</v>
      </c>
      <c r="M19" s="57">
        <v>5.560292247614658E-2</v>
      </c>
    </row>
    <row r="20" spans="1:13">
      <c r="A20" s="32" t="s">
        <v>27</v>
      </c>
      <c r="B20" s="33">
        <v>191.02025495256601</v>
      </c>
      <c r="C20" s="34">
        <v>9.8332774979727606</v>
      </c>
      <c r="D20" s="68">
        <v>1.0407094588819519</v>
      </c>
      <c r="E20" s="46">
        <v>2.1605045307064397</v>
      </c>
      <c r="F20" s="46">
        <v>3.8927748486894314</v>
      </c>
      <c r="G20" s="46">
        <v>3.5781813474381652</v>
      </c>
      <c r="H20" s="47">
        <v>3.5871360775789674</v>
      </c>
      <c r="I20" s="69">
        <v>1.1661752050839898</v>
      </c>
      <c r="J20" s="46">
        <v>1.7995356369184117</v>
      </c>
      <c r="K20" s="46">
        <v>2.1709104521139002</v>
      </c>
      <c r="L20" s="46">
        <v>3.3011699165483357</v>
      </c>
      <c r="M20" s="48">
        <v>2.469552068248908</v>
      </c>
    </row>
    <row r="21" spans="1:13">
      <c r="A21" s="32" t="s">
        <v>28</v>
      </c>
      <c r="B21" s="33">
        <v>173.00986153738799</v>
      </c>
      <c r="C21" s="34">
        <v>9.7008480344499795</v>
      </c>
      <c r="D21" s="41">
        <v>5.7789867249213936E-2</v>
      </c>
      <c r="E21" s="36">
        <v>0.10468292138415276</v>
      </c>
      <c r="F21" s="36">
        <v>0.17003076869213379</v>
      </c>
      <c r="G21" s="36">
        <v>0.21961294149393346</v>
      </c>
      <c r="H21" s="37">
        <v>0.21101212637343916</v>
      </c>
      <c r="I21" s="42">
        <v>7.1120153464076366E-2</v>
      </c>
      <c r="J21" s="39">
        <v>8.5709299730261757E-2</v>
      </c>
      <c r="K21" s="39">
        <v>9.886597140501438E-2</v>
      </c>
      <c r="L21" s="36">
        <v>0.1756458976144204</v>
      </c>
      <c r="M21" s="40">
        <v>0.12513793030499473</v>
      </c>
    </row>
    <row r="22" spans="1:13">
      <c r="A22" s="32" t="s">
        <v>29</v>
      </c>
      <c r="B22" s="33">
        <v>191.01997048514201</v>
      </c>
      <c r="C22" s="34">
        <v>9.6643120220729202</v>
      </c>
      <c r="D22" s="54">
        <v>3.1159119921804226E-2</v>
      </c>
      <c r="E22" s="43">
        <v>4.1997191998448563E-2</v>
      </c>
      <c r="F22" s="39">
        <v>8.6996541125611351E-2</v>
      </c>
      <c r="G22" s="36">
        <v>0.12277142057305664</v>
      </c>
      <c r="H22" s="37">
        <v>0.12419453740269594</v>
      </c>
      <c r="I22" s="56">
        <v>2.8512659317614479E-2</v>
      </c>
      <c r="J22" s="43">
        <v>2.9007616760896106E-2</v>
      </c>
      <c r="K22" s="43">
        <v>4.4920629674676311E-2</v>
      </c>
      <c r="L22" s="39">
        <v>7.7096549800057909E-2</v>
      </c>
      <c r="M22" s="57">
        <v>7.2845568554624346E-2</v>
      </c>
    </row>
    <row r="23" spans="1:13">
      <c r="A23" s="32" t="s">
        <v>30</v>
      </c>
      <c r="B23" s="33">
        <v>145.01454380580299</v>
      </c>
      <c r="C23" s="34">
        <v>10.2097992897033</v>
      </c>
      <c r="D23" s="68">
        <v>1.2190185388598269</v>
      </c>
      <c r="E23" s="36">
        <v>0.91517630907454628</v>
      </c>
      <c r="F23" s="46">
        <v>2.6001232159250596</v>
      </c>
      <c r="G23" s="46">
        <v>3.4777097729692943</v>
      </c>
      <c r="H23" s="47">
        <v>3.3384291528731525</v>
      </c>
      <c r="I23" s="38">
        <v>0.90717548491643141</v>
      </c>
      <c r="J23" s="36">
        <v>0.76374755216847057</v>
      </c>
      <c r="K23" s="36">
        <v>0.90088356803656255</v>
      </c>
      <c r="L23" s="46">
        <v>1.6587437269943159</v>
      </c>
      <c r="M23" s="48">
        <v>1.9191523198518226</v>
      </c>
    </row>
    <row r="24" spans="1:13">
      <c r="A24" s="32" t="s">
        <v>31</v>
      </c>
      <c r="B24" s="33">
        <v>147.030123029436</v>
      </c>
      <c r="C24" s="34">
        <v>10.973432268415101</v>
      </c>
      <c r="D24" s="41">
        <v>6.1114201660708557E-2</v>
      </c>
      <c r="E24" s="39">
        <v>5.2470063601325924E-2</v>
      </c>
      <c r="F24" s="36">
        <v>0.14481507143503747</v>
      </c>
      <c r="G24" s="36">
        <v>0.21786135152097583</v>
      </c>
      <c r="H24" s="37">
        <v>0.28284012512683154</v>
      </c>
      <c r="I24" s="42">
        <v>7.8422292055674164E-2</v>
      </c>
      <c r="J24" s="39">
        <v>5.6406671871803829E-2</v>
      </c>
      <c r="K24" s="39">
        <v>7.8302980292174376E-2</v>
      </c>
      <c r="L24" s="36">
        <v>0.15532325112747433</v>
      </c>
      <c r="M24" s="40">
        <v>0.18340349675396775</v>
      </c>
    </row>
    <row r="25" spans="1:13">
      <c r="A25" s="32" t="s">
        <v>32</v>
      </c>
      <c r="B25" s="33">
        <v>117.019656590053</v>
      </c>
      <c r="C25" s="34">
        <v>10.300916671752899</v>
      </c>
      <c r="D25" s="35">
        <v>0.26560936349942882</v>
      </c>
      <c r="E25" s="36">
        <v>0.36566017819250551</v>
      </c>
      <c r="F25" s="36">
        <v>0.31678718827286362</v>
      </c>
      <c r="G25" s="36">
        <v>0.22897535885169151</v>
      </c>
      <c r="H25" s="37">
        <v>0.19218604002749756</v>
      </c>
      <c r="I25" s="38">
        <v>0.27666448547909894</v>
      </c>
      <c r="J25" s="36">
        <v>0.27314279685083825</v>
      </c>
      <c r="K25" s="36">
        <v>0.26753716040937686</v>
      </c>
      <c r="L25" s="36">
        <v>0.56438392970023421</v>
      </c>
      <c r="M25" s="40">
        <v>0.66463794087077632</v>
      </c>
    </row>
    <row r="26" spans="1:13">
      <c r="A26" s="32" t="s">
        <v>33</v>
      </c>
      <c r="B26" s="33">
        <v>115.003801618303</v>
      </c>
      <c r="C26" s="34">
        <v>9.8722864559718495</v>
      </c>
      <c r="D26" s="35">
        <v>0.89606612903909322</v>
      </c>
      <c r="E26" s="36">
        <v>0.98494395847510174</v>
      </c>
      <c r="F26" s="46">
        <v>2.377865693431767</v>
      </c>
      <c r="G26" s="46">
        <v>2.2097508997249595</v>
      </c>
      <c r="H26" s="47">
        <v>2.5210199289468505</v>
      </c>
      <c r="I26" s="38">
        <v>0.82662996286287505</v>
      </c>
      <c r="J26" s="46">
        <v>1.3108157260905442</v>
      </c>
      <c r="K26" s="46">
        <v>1.4646104190661624</v>
      </c>
      <c r="L26" s="46">
        <v>2.1947153363251517</v>
      </c>
      <c r="M26" s="48">
        <v>1.5396795714404803</v>
      </c>
    </row>
    <row r="27" spans="1:13">
      <c r="A27" s="32" t="s">
        <v>34</v>
      </c>
      <c r="B27" s="33">
        <v>133.01484462193</v>
      </c>
      <c r="C27" s="34">
        <v>10.261928217751599</v>
      </c>
      <c r="D27" s="68">
        <v>3.0452683049449227</v>
      </c>
      <c r="E27" s="46">
        <v>3.0854869424185645</v>
      </c>
      <c r="F27" s="46">
        <v>7.250950861525653</v>
      </c>
      <c r="G27" s="46">
        <v>7.1720984101391334</v>
      </c>
      <c r="H27" s="47">
        <v>7.7529033073742939</v>
      </c>
      <c r="I27" s="69">
        <v>2.7396983767925316</v>
      </c>
      <c r="J27" s="46">
        <v>4.1679349223479418</v>
      </c>
      <c r="K27" s="46">
        <v>3.8950030950872998</v>
      </c>
      <c r="L27" s="46">
        <v>6.6057585870219082</v>
      </c>
      <c r="M27" s="48">
        <v>4.4600409897535727</v>
      </c>
    </row>
    <row r="28" spans="1:13">
      <c r="A28" s="32" t="s">
        <v>35</v>
      </c>
      <c r="B28" s="33">
        <v>275.01731436593099</v>
      </c>
      <c r="C28" s="34">
        <v>11.5905608449663</v>
      </c>
      <c r="D28" s="54">
        <v>3.01898258522049E-2</v>
      </c>
      <c r="E28" s="39">
        <v>4.0976583014322866E-2</v>
      </c>
      <c r="F28" s="36">
        <v>0.22236728841458209</v>
      </c>
      <c r="G28" s="36">
        <v>0.16913876394647884</v>
      </c>
      <c r="H28" s="37">
        <v>0.2158174854221378</v>
      </c>
      <c r="I28" s="56">
        <v>3.0024469908386562E-2</v>
      </c>
      <c r="J28" s="39">
        <v>4.0549974448826395E-2</v>
      </c>
      <c r="K28" s="39">
        <v>5.5165860173071374E-2</v>
      </c>
      <c r="L28" s="39">
        <v>6.4240803496202772E-2</v>
      </c>
      <c r="M28" s="57">
        <v>6.9731905532823685E-2</v>
      </c>
    </row>
    <row r="29" spans="1:13">
      <c r="A29" s="32" t="s">
        <v>36</v>
      </c>
      <c r="B29" s="33">
        <v>229.012549506293</v>
      </c>
      <c r="C29" s="34">
        <v>13.5655860900878</v>
      </c>
      <c r="D29" s="54">
        <v>9.3790832158298268E-2</v>
      </c>
      <c r="E29" s="43">
        <v>3.9777869011968565E-2</v>
      </c>
      <c r="F29" s="52" t="s">
        <v>19</v>
      </c>
      <c r="G29" s="52" t="s">
        <v>19</v>
      </c>
      <c r="H29" s="50" t="s">
        <v>19</v>
      </c>
      <c r="I29" s="51" t="s">
        <v>19</v>
      </c>
      <c r="J29" s="52" t="s">
        <v>19</v>
      </c>
      <c r="K29" s="43">
        <v>5.2116499278399939E-2</v>
      </c>
      <c r="L29" s="43">
        <v>7.234765034019934E-2</v>
      </c>
      <c r="M29" s="70">
        <v>7.3933227679387495E-2</v>
      </c>
    </row>
    <row r="30" spans="1:13">
      <c r="A30" s="32" t="s">
        <v>37</v>
      </c>
      <c r="B30" s="33">
        <v>229.01376778738799</v>
      </c>
      <c r="C30" s="34">
        <v>13.9135646820068</v>
      </c>
      <c r="D30" s="54">
        <v>1.9815309175042786E-2</v>
      </c>
      <c r="E30" s="52" t="s">
        <v>19</v>
      </c>
      <c r="F30" s="52" t="s">
        <v>19</v>
      </c>
      <c r="G30" s="52" t="s">
        <v>19</v>
      </c>
      <c r="H30" s="50" t="s">
        <v>19</v>
      </c>
      <c r="I30" s="51" t="s">
        <v>19</v>
      </c>
      <c r="J30" s="52" t="s">
        <v>19</v>
      </c>
      <c r="K30" s="43">
        <v>2.3076301701034814E-2</v>
      </c>
      <c r="L30" s="52" t="s">
        <v>19</v>
      </c>
      <c r="M30" s="70">
        <v>2.8201754387874013E-2</v>
      </c>
    </row>
    <row r="31" spans="1:13">
      <c r="A31" s="32" t="s">
        <v>38</v>
      </c>
      <c r="B31" s="33">
        <v>289.03352355957003</v>
      </c>
      <c r="C31" s="34">
        <v>14.9732978684561</v>
      </c>
      <c r="D31" s="41">
        <v>9.8846031667900972E-2</v>
      </c>
      <c r="E31" s="39">
        <v>5.2246427363164351E-2</v>
      </c>
      <c r="F31" s="36">
        <v>0.10229255472335028</v>
      </c>
      <c r="G31" s="36">
        <v>0.30715468960056852</v>
      </c>
      <c r="H31" s="37">
        <v>0.30187996506536957</v>
      </c>
      <c r="I31" s="56">
        <v>5.6819483178101662E-2</v>
      </c>
      <c r="J31" s="39">
        <v>6.1250102269075075E-2</v>
      </c>
      <c r="K31" s="43">
        <v>4.1275474271777315E-2</v>
      </c>
      <c r="L31" s="39">
        <v>8.02010982355362E-2</v>
      </c>
      <c r="M31" s="40">
        <v>0.12299222360543882</v>
      </c>
    </row>
    <row r="32" spans="1:13">
      <c r="A32" s="32" t="s">
        <v>39</v>
      </c>
      <c r="B32" s="33">
        <v>89.024984359741197</v>
      </c>
      <c r="C32" s="34">
        <v>14.001935958862299</v>
      </c>
      <c r="D32" s="49" t="s">
        <v>19</v>
      </c>
      <c r="E32" s="52" t="s">
        <v>19</v>
      </c>
      <c r="F32" s="52" t="s">
        <v>19</v>
      </c>
      <c r="G32" s="52" t="s">
        <v>19</v>
      </c>
      <c r="H32" s="50" t="s">
        <v>19</v>
      </c>
      <c r="I32" s="51" t="s">
        <v>19</v>
      </c>
      <c r="J32" s="45">
        <v>0.5452282334059787</v>
      </c>
      <c r="K32" s="52" t="s">
        <v>19</v>
      </c>
      <c r="L32" s="52" t="s">
        <v>19</v>
      </c>
      <c r="M32" s="53" t="s">
        <v>19</v>
      </c>
    </row>
    <row r="33" spans="1:13">
      <c r="A33" s="32" t="s">
        <v>40</v>
      </c>
      <c r="B33" s="33">
        <v>101.061110496521</v>
      </c>
      <c r="C33" s="34">
        <v>15.6445922851562</v>
      </c>
      <c r="D33" s="49" t="s">
        <v>19</v>
      </c>
      <c r="E33" s="43">
        <v>5.088963321752777E-2</v>
      </c>
      <c r="F33" s="43">
        <v>5.1215917018337498E-2</v>
      </c>
      <c r="G33" s="43">
        <v>2.5856601067005443E-2</v>
      </c>
      <c r="H33" s="71">
        <v>2.7268652601887503E-2</v>
      </c>
      <c r="I33" s="51" t="s">
        <v>19</v>
      </c>
      <c r="J33" s="52" t="s">
        <v>19</v>
      </c>
      <c r="K33" s="52" t="s">
        <v>19</v>
      </c>
      <c r="L33" s="52" t="s">
        <v>19</v>
      </c>
      <c r="M33" s="70">
        <v>2.5299913426086909E-2</v>
      </c>
    </row>
    <row r="34" spans="1:13">
      <c r="A34" s="32" t="s">
        <v>41</v>
      </c>
      <c r="B34" s="33">
        <v>103.004174452561</v>
      </c>
      <c r="C34" s="34">
        <v>9.4396611727201005</v>
      </c>
      <c r="D34" s="54">
        <v>5.0715298776073559E-2</v>
      </c>
      <c r="E34" s="43">
        <v>6.6138416042712034E-2</v>
      </c>
      <c r="F34" s="43">
        <v>6.4065431828234654E-2</v>
      </c>
      <c r="G34" s="39">
        <v>6.684389029148205E-2</v>
      </c>
      <c r="H34" s="44">
        <v>7.9157383923230712E-2</v>
      </c>
      <c r="I34" s="56">
        <v>5.1664466987536982E-2</v>
      </c>
      <c r="J34" s="43">
        <v>3.8535027869898673E-2</v>
      </c>
      <c r="K34" s="43">
        <v>7.5738200119759999E-2</v>
      </c>
      <c r="L34" s="43">
        <v>6.2422938517839997E-2</v>
      </c>
      <c r="M34" s="70">
        <v>5.9692085903978162E-2</v>
      </c>
    </row>
    <row r="35" spans="1:13">
      <c r="A35" s="32" t="s">
        <v>42</v>
      </c>
      <c r="B35" s="33">
        <v>103.040472177358</v>
      </c>
      <c r="C35" s="34">
        <v>15.1156356518085</v>
      </c>
      <c r="D35" s="54">
        <v>4.6212367440232112E-2</v>
      </c>
      <c r="E35" s="36">
        <v>0.10518301798271713</v>
      </c>
      <c r="F35" s="36">
        <v>0.38716982612355111</v>
      </c>
      <c r="G35" s="36">
        <v>0.61347373337952416</v>
      </c>
      <c r="H35" s="37">
        <v>0.66131142106173368</v>
      </c>
      <c r="I35" s="56">
        <v>7.0365124352375838E-2</v>
      </c>
      <c r="J35" s="43">
        <v>7.4705599438820589E-2</v>
      </c>
      <c r="K35" s="43">
        <v>7.0604741014613129E-2</v>
      </c>
      <c r="L35" s="36">
        <v>0.29109921749723883</v>
      </c>
      <c r="M35" s="40">
        <v>0.13874298258316251</v>
      </c>
    </row>
    <row r="36" spans="1:13">
      <c r="A36" s="32" t="s">
        <v>43</v>
      </c>
      <c r="B36" s="33">
        <v>111.00782012939401</v>
      </c>
      <c r="C36" s="34">
        <v>14.1104712486267</v>
      </c>
      <c r="D36" s="49" t="s">
        <v>19</v>
      </c>
      <c r="E36" s="52" t="s">
        <v>19</v>
      </c>
      <c r="F36" s="52" t="s">
        <v>19</v>
      </c>
      <c r="G36" s="52" t="s">
        <v>19</v>
      </c>
      <c r="H36" s="50" t="s">
        <v>19</v>
      </c>
      <c r="I36" s="51" t="s">
        <v>19</v>
      </c>
      <c r="J36" s="52" t="s">
        <v>19</v>
      </c>
      <c r="K36" s="52" t="s">
        <v>19</v>
      </c>
      <c r="L36" s="52" t="s">
        <v>19</v>
      </c>
      <c r="M36" s="70">
        <v>2.2966507969173554E-2</v>
      </c>
    </row>
    <row r="37" spans="1:13">
      <c r="A37" s="32" t="s">
        <v>44</v>
      </c>
      <c r="B37" s="33">
        <v>115.04020514855</v>
      </c>
      <c r="C37" s="34">
        <v>14.857529346759501</v>
      </c>
      <c r="D37" s="54">
        <v>9.4219936751671438E-2</v>
      </c>
      <c r="E37" s="39">
        <v>9.2547954390477763E-2</v>
      </c>
      <c r="F37" s="43">
        <v>4.3766342851917897E-2</v>
      </c>
      <c r="G37" s="43">
        <v>3.1054284909363506E-2</v>
      </c>
      <c r="H37" s="71">
        <v>3.3030600704408428E-2</v>
      </c>
      <c r="I37" s="38">
        <v>0.12465723442203647</v>
      </c>
      <c r="J37" s="43">
        <v>9.7873590161783833E-2</v>
      </c>
      <c r="K37" s="43">
        <v>7.197737086303313E-2</v>
      </c>
      <c r="L37" s="39">
        <v>8.6266136739203955E-2</v>
      </c>
      <c r="M37" s="70">
        <v>5.1459627487463099E-2</v>
      </c>
    </row>
    <row r="38" spans="1:13">
      <c r="A38" s="32" t="s">
        <v>45</v>
      </c>
      <c r="B38" s="33">
        <v>115.040452139718</v>
      </c>
      <c r="C38" s="34">
        <v>14.316226891108901</v>
      </c>
      <c r="D38" s="72">
        <v>0.10169129141427789</v>
      </c>
      <c r="E38" s="36">
        <v>0.17696936651544443</v>
      </c>
      <c r="F38" s="36">
        <v>0.72893276528292894</v>
      </c>
      <c r="G38" s="46">
        <v>1.1853160061964738</v>
      </c>
      <c r="H38" s="37">
        <v>0.98490875007260881</v>
      </c>
      <c r="I38" s="56">
        <v>8.374327833223115E-2</v>
      </c>
      <c r="J38" s="36">
        <v>0.11516579294362428</v>
      </c>
      <c r="K38" s="36">
        <v>0.11367377972192562</v>
      </c>
      <c r="L38" s="43">
        <v>7.4729465595083561E-2</v>
      </c>
      <c r="M38" s="70">
        <v>5.3063772520185855E-2</v>
      </c>
    </row>
    <row r="39" spans="1:13">
      <c r="A39" s="32" t="s">
        <v>46</v>
      </c>
      <c r="B39" s="33">
        <v>115.076579754169</v>
      </c>
      <c r="C39" s="34">
        <v>16.147412080031099</v>
      </c>
      <c r="D39" s="54">
        <v>3.9420106584962304E-2</v>
      </c>
      <c r="E39" s="43">
        <v>2.1732120495855878E-2</v>
      </c>
      <c r="F39" s="43">
        <v>1.3460244197291049E-2</v>
      </c>
      <c r="G39" s="43">
        <v>1.0509021214777399E-2</v>
      </c>
      <c r="H39" s="55">
        <v>9.447929137900192E-3</v>
      </c>
      <c r="I39" s="56">
        <v>2.9372253938376044E-2</v>
      </c>
      <c r="J39" s="43">
        <v>2.847422192071037E-2</v>
      </c>
      <c r="K39" s="43">
        <v>2.6938484621901376E-2</v>
      </c>
      <c r="L39" s="43">
        <v>1.4717834938745922E-2</v>
      </c>
      <c r="M39" s="70">
        <v>1.3044130739900789E-2</v>
      </c>
    </row>
    <row r="40" spans="1:13">
      <c r="A40" s="32" t="s">
        <v>47</v>
      </c>
      <c r="B40" s="33">
        <v>121.030310312906</v>
      </c>
      <c r="C40" s="34">
        <v>14.740117232004801</v>
      </c>
      <c r="D40" s="49" t="s">
        <v>19</v>
      </c>
      <c r="E40" s="52" t="s">
        <v>19</v>
      </c>
      <c r="F40" s="52" t="s">
        <v>19</v>
      </c>
      <c r="G40" s="52" t="s">
        <v>19</v>
      </c>
      <c r="H40" s="50" t="s">
        <v>19</v>
      </c>
      <c r="I40" s="59">
        <v>0.42281234135424378</v>
      </c>
      <c r="J40" s="52" t="s">
        <v>19</v>
      </c>
      <c r="K40" s="52" t="s">
        <v>19</v>
      </c>
      <c r="L40" s="45">
        <v>0.44794719409795725</v>
      </c>
      <c r="M40" s="61">
        <v>0.213582197845125</v>
      </c>
    </row>
    <row r="41" spans="1:13">
      <c r="A41" s="32" t="s">
        <v>48</v>
      </c>
      <c r="B41" s="33">
        <v>124.995572603665</v>
      </c>
      <c r="C41" s="34">
        <v>13.022554911099901</v>
      </c>
      <c r="D41" s="72">
        <v>0.18563805476317402</v>
      </c>
      <c r="E41" s="43">
        <v>9.8330310314436564E-2</v>
      </c>
      <c r="F41" s="39">
        <v>3.5075904736256248E-2</v>
      </c>
      <c r="G41" s="39">
        <v>6.9764454624782465E-2</v>
      </c>
      <c r="H41" s="37">
        <v>0.12567184915017773</v>
      </c>
      <c r="I41" s="59">
        <v>0.19563270199100835</v>
      </c>
      <c r="J41" s="45">
        <v>0.10131231015108896</v>
      </c>
      <c r="K41" s="43">
        <v>8.8707501504888125E-2</v>
      </c>
      <c r="L41" s="39">
        <v>9.3112425692623027E-2</v>
      </c>
      <c r="M41" s="40">
        <v>0.1241340605544579</v>
      </c>
    </row>
    <row r="42" spans="1:13">
      <c r="A42" s="32" t="s">
        <v>49</v>
      </c>
      <c r="B42" s="33">
        <v>128.03567739633399</v>
      </c>
      <c r="C42" s="34">
        <v>15.1564281170184</v>
      </c>
      <c r="D42" s="68">
        <v>2.4532518193815576</v>
      </c>
      <c r="E42" s="46">
        <v>8.6928046154667573</v>
      </c>
      <c r="F42" s="46">
        <v>7.390407124397699</v>
      </c>
      <c r="G42" s="46">
        <v>5.4300844195662901</v>
      </c>
      <c r="H42" s="47">
        <v>5.2020175102724728</v>
      </c>
      <c r="I42" s="69">
        <v>1.9456656642476875</v>
      </c>
      <c r="J42" s="46">
        <v>4.1015782219090955</v>
      </c>
      <c r="K42" s="46">
        <v>1.9413086118004188</v>
      </c>
      <c r="L42" s="46">
        <v>1.2954066197861644</v>
      </c>
      <c r="M42" s="48">
        <v>1.4119045295420856</v>
      </c>
    </row>
    <row r="43" spans="1:13">
      <c r="A43" s="32" t="s">
        <v>50</v>
      </c>
      <c r="B43" s="33">
        <v>129.020267193134</v>
      </c>
      <c r="C43" s="34">
        <v>10.9588267986591</v>
      </c>
      <c r="D43" s="54">
        <v>1.2019586261547114E-2</v>
      </c>
      <c r="E43" s="73">
        <v>6.3079994338255544E-3</v>
      </c>
      <c r="F43" s="73">
        <v>3.988897720709943E-3</v>
      </c>
      <c r="G43" s="73">
        <v>2.8056117769343749E-3</v>
      </c>
      <c r="H43" s="55">
        <v>3.5950065608119021E-3</v>
      </c>
      <c r="I43" s="42">
        <v>1.2417515096719166E-2</v>
      </c>
      <c r="J43" s="43">
        <v>1.1587122349475589E-2</v>
      </c>
      <c r="K43" s="73">
        <v>5.5021429342661E-3</v>
      </c>
      <c r="L43" s="73">
        <v>8.5177185922984209E-3</v>
      </c>
      <c r="M43" s="74">
        <v>9.4408204582073687E-3</v>
      </c>
    </row>
    <row r="44" spans="1:13">
      <c r="A44" s="32" t="s">
        <v>51</v>
      </c>
      <c r="B44" s="33">
        <v>129.05578261155301</v>
      </c>
      <c r="C44" s="34">
        <v>15.115574029775701</v>
      </c>
      <c r="D44" s="35">
        <v>0.23419136575121829</v>
      </c>
      <c r="E44" s="36">
        <v>0.48713145445863881</v>
      </c>
      <c r="F44" s="46">
        <v>1.8927504576156928</v>
      </c>
      <c r="G44" s="46">
        <v>2.1419833126663912</v>
      </c>
      <c r="H44" s="47">
        <v>1.4707907678076713</v>
      </c>
      <c r="I44" s="38">
        <v>0.15563749351137085</v>
      </c>
      <c r="J44" s="36">
        <v>0.34433280292679264</v>
      </c>
      <c r="K44" s="36">
        <v>0.28798351636741748</v>
      </c>
      <c r="L44" s="36">
        <v>0.14205571336053027</v>
      </c>
      <c r="M44" s="57">
        <v>9.4233716327304609E-2</v>
      </c>
    </row>
    <row r="45" spans="1:13">
      <c r="A45" s="32" t="s">
        <v>52</v>
      </c>
      <c r="B45" s="33">
        <v>129.056329580453</v>
      </c>
      <c r="C45" s="34">
        <v>15.820208109342101</v>
      </c>
      <c r="D45" s="41">
        <v>7.3882851121458357E-2</v>
      </c>
      <c r="E45" s="39">
        <v>4.1205177628331015E-2</v>
      </c>
      <c r="F45" s="39">
        <v>2.8442114376846874E-2</v>
      </c>
      <c r="G45" s="43">
        <v>1.948548092511649E-2</v>
      </c>
      <c r="H45" s="44">
        <v>2.3519619328405548E-2</v>
      </c>
      <c r="I45" s="42">
        <v>9.2522846059002503E-2</v>
      </c>
      <c r="J45" s="39">
        <v>6.9994165617330226E-2</v>
      </c>
      <c r="K45" s="39">
        <v>7.1216856628475003E-2</v>
      </c>
      <c r="L45" s="39">
        <v>6.8637250084915141E-2</v>
      </c>
      <c r="M45" s="57">
        <v>5.5254273274720003E-2</v>
      </c>
    </row>
    <row r="46" spans="1:13">
      <c r="A46" s="32" t="s">
        <v>53</v>
      </c>
      <c r="B46" s="33">
        <v>129.09217599722001</v>
      </c>
      <c r="C46" s="34">
        <v>16.731492115900998</v>
      </c>
      <c r="D46" s="54">
        <v>2.5115127240695284E-2</v>
      </c>
      <c r="E46" s="43">
        <v>1.8785057398914722E-2</v>
      </c>
      <c r="F46" s="73">
        <v>8.233041428280824E-3</v>
      </c>
      <c r="G46" s="73">
        <v>5.6851664362969961E-3</v>
      </c>
      <c r="H46" s="55">
        <v>6.5513155353185606E-3</v>
      </c>
      <c r="I46" s="42">
        <v>3.9592286868210834E-2</v>
      </c>
      <c r="J46" s="43">
        <v>1.7992911568715516E-2</v>
      </c>
      <c r="K46" s="43">
        <v>1.744752293669375E-2</v>
      </c>
      <c r="L46" s="39">
        <v>3.3460023764058489E-2</v>
      </c>
      <c r="M46" s="70">
        <v>1.8916665194781385E-2</v>
      </c>
    </row>
    <row r="47" spans="1:13">
      <c r="A47" s="32" t="s">
        <v>54</v>
      </c>
      <c r="B47" s="33">
        <v>130.05150780310899</v>
      </c>
      <c r="C47" s="34">
        <v>16.0647103236271</v>
      </c>
      <c r="D47" s="54">
        <v>2.4090828117499997E-2</v>
      </c>
      <c r="E47" s="43">
        <v>2.5802261717821108E-2</v>
      </c>
      <c r="F47" s="39">
        <v>6.8295514439658811E-2</v>
      </c>
      <c r="G47" s="36">
        <v>0.10310890988962762</v>
      </c>
      <c r="H47" s="44">
        <v>7.2349292672422294E-2</v>
      </c>
      <c r="I47" s="56">
        <v>2.8010323221294792E-2</v>
      </c>
      <c r="J47" s="43">
        <v>4.3895377966798162E-2</v>
      </c>
      <c r="K47" s="43">
        <v>2.8612228507038501E-2</v>
      </c>
      <c r="L47" s="43">
        <v>1.0593618192592962E-2</v>
      </c>
      <c r="M47" s="70">
        <v>1.2788450654738947E-2</v>
      </c>
    </row>
    <row r="48" spans="1:13">
      <c r="A48" s="32" t="s">
        <v>55</v>
      </c>
      <c r="B48" s="33">
        <v>131.03535109299801</v>
      </c>
      <c r="C48" s="34">
        <v>10.985209611745899</v>
      </c>
      <c r="D48" s="54">
        <v>2.1194191017709231E-2</v>
      </c>
      <c r="E48" s="43">
        <v>3.2166368582440923E-2</v>
      </c>
      <c r="F48" s="43">
        <v>2.7371085925063491E-2</v>
      </c>
      <c r="G48" s="39">
        <v>2.6171852262594351E-2</v>
      </c>
      <c r="H48" s="44">
        <v>1.995403172809147E-2</v>
      </c>
      <c r="I48" s="56">
        <v>4.7331456872706464E-2</v>
      </c>
      <c r="J48" s="43">
        <v>2.5287456909903163E-2</v>
      </c>
      <c r="K48" s="43">
        <v>3.4839162624168377E-2</v>
      </c>
      <c r="L48" s="43">
        <v>3.8423246753998684E-2</v>
      </c>
      <c r="M48" s="70">
        <v>2.7935925696156976E-2</v>
      </c>
    </row>
    <row r="49" spans="1:13">
      <c r="A49" s="32" t="s">
        <v>56</v>
      </c>
      <c r="B49" s="33">
        <v>131.071770804268</v>
      </c>
      <c r="C49" s="34">
        <v>16.330742427280899</v>
      </c>
      <c r="D49" s="49" t="s">
        <v>19</v>
      </c>
      <c r="E49" s="39">
        <v>2.5840546831872868E-2</v>
      </c>
      <c r="F49" s="39">
        <v>4.6938769969925569E-2</v>
      </c>
      <c r="G49" s="36">
        <v>0.131308852613778</v>
      </c>
      <c r="H49" s="37">
        <v>0.14401032543358616</v>
      </c>
      <c r="I49" s="51" t="s">
        <v>19</v>
      </c>
      <c r="J49" s="52" t="s">
        <v>19</v>
      </c>
      <c r="K49" s="52" t="s">
        <v>19</v>
      </c>
      <c r="L49" s="52" t="s">
        <v>19</v>
      </c>
      <c r="M49" s="53" t="s">
        <v>19</v>
      </c>
    </row>
    <row r="50" spans="1:13">
      <c r="A50" s="32" t="s">
        <v>57</v>
      </c>
      <c r="B50" s="33">
        <v>135.03040724534199</v>
      </c>
      <c r="C50" s="34">
        <v>15.566860125614999</v>
      </c>
      <c r="D50" s="35">
        <v>0.46614274251677984</v>
      </c>
      <c r="E50" s="36">
        <v>0.79256492924417121</v>
      </c>
      <c r="F50" s="36">
        <v>0.90932427375569302</v>
      </c>
      <c r="G50" s="46">
        <v>1.3060627422736955</v>
      </c>
      <c r="H50" s="47">
        <v>1.4232449554736766</v>
      </c>
      <c r="I50" s="38">
        <v>0.28076489207824373</v>
      </c>
      <c r="J50" s="36">
        <v>0.43050148087309043</v>
      </c>
      <c r="K50" s="36">
        <v>0.26009176514638749</v>
      </c>
      <c r="L50" s="36">
        <v>0.32253235390895524</v>
      </c>
      <c r="M50" s="40">
        <v>0.40242433578688425</v>
      </c>
    </row>
    <row r="51" spans="1:13">
      <c r="A51" s="32" t="s">
        <v>58</v>
      </c>
      <c r="B51" s="33">
        <v>138.98201179504301</v>
      </c>
      <c r="C51" s="34">
        <v>10.4695593118667</v>
      </c>
      <c r="D51" s="54">
        <v>5.2472407175198459E-2</v>
      </c>
      <c r="E51" s="52" t="s">
        <v>19</v>
      </c>
      <c r="F51" s="43">
        <v>2.5007796128879541E-2</v>
      </c>
      <c r="G51" s="43">
        <v>1.9589772937243469E-2</v>
      </c>
      <c r="H51" s="71">
        <v>1.5992509000212391E-2</v>
      </c>
      <c r="I51" s="51" t="s">
        <v>19</v>
      </c>
      <c r="J51" s="52" t="s">
        <v>19</v>
      </c>
      <c r="K51" s="52" t="s">
        <v>19</v>
      </c>
      <c r="L51" s="43">
        <v>2.3589103022577041E-2</v>
      </c>
      <c r="M51" s="53" t="s">
        <v>19</v>
      </c>
    </row>
    <row r="52" spans="1:13">
      <c r="A52" s="32" t="s">
        <v>59</v>
      </c>
      <c r="B52" s="33">
        <v>140.01185842660701</v>
      </c>
      <c r="C52" s="34">
        <v>18.1060055952805</v>
      </c>
      <c r="D52" s="62">
        <v>16.177017847544228</v>
      </c>
      <c r="E52" s="46">
        <v>6.2817193553310648</v>
      </c>
      <c r="F52" s="46">
        <v>4.5895450277123571</v>
      </c>
      <c r="G52" s="46">
        <v>4.4621874206102419</v>
      </c>
      <c r="H52" s="47">
        <v>3.438072960022283</v>
      </c>
      <c r="I52" s="65">
        <v>17.398509740775211</v>
      </c>
      <c r="J52" s="46">
        <v>9.3156100773434556</v>
      </c>
      <c r="K52" s="66">
        <v>12.089106506625937</v>
      </c>
      <c r="L52" s="66">
        <v>15.776355757021316</v>
      </c>
      <c r="M52" s="75">
        <v>11.585441193747565</v>
      </c>
    </row>
    <row r="53" spans="1:13">
      <c r="A53" s="32" t="s">
        <v>60</v>
      </c>
      <c r="B53" s="33">
        <v>143.10824115459701</v>
      </c>
      <c r="C53" s="34">
        <v>17.360803163968601</v>
      </c>
      <c r="D53" s="54">
        <v>3.0667054659562498E-2</v>
      </c>
      <c r="E53" s="43">
        <v>2.5881000934650372E-2</v>
      </c>
      <c r="F53" s="43">
        <v>1.3485779707561818E-2</v>
      </c>
      <c r="G53" s="43">
        <v>1.0570594834743206E-2</v>
      </c>
      <c r="H53" s="55">
        <v>8.2815246008090763E-3</v>
      </c>
      <c r="I53" s="42">
        <v>4.8713517818364485E-2</v>
      </c>
      <c r="J53" s="43">
        <v>2.966733974105059E-2</v>
      </c>
      <c r="K53" s="43">
        <v>3.0076671318746438E-2</v>
      </c>
      <c r="L53" s="43">
        <v>4.1487196996342436E-2</v>
      </c>
      <c r="M53" s="70">
        <v>2.3706187341135002E-2</v>
      </c>
    </row>
    <row r="54" spans="1:13">
      <c r="A54" s="32" t="s">
        <v>61</v>
      </c>
      <c r="B54" s="33">
        <v>147.03026287372199</v>
      </c>
      <c r="C54" s="34">
        <v>10.8682299393873</v>
      </c>
      <c r="D54" s="76">
        <v>8.1739119585050105E-3</v>
      </c>
      <c r="E54" s="43">
        <v>2.1237993948372686E-2</v>
      </c>
      <c r="F54" s="43">
        <v>1.9730985865760567E-2</v>
      </c>
      <c r="G54" s="39">
        <v>4.7747855807018548E-2</v>
      </c>
      <c r="H54" s="37">
        <v>0.10948971370162745</v>
      </c>
      <c r="I54" s="77">
        <v>8.2339890212776243E-3</v>
      </c>
      <c r="J54" s="43">
        <v>1.5201428840688383E-2</v>
      </c>
      <c r="K54" s="43">
        <v>1.3020040859323562E-2</v>
      </c>
      <c r="L54" s="43">
        <v>1.6653529830466186E-2</v>
      </c>
      <c r="M54" s="57">
        <v>2.9368308533409937E-2</v>
      </c>
    </row>
    <row r="55" spans="1:13">
      <c r="A55" s="32" t="s">
        <v>62</v>
      </c>
      <c r="B55" s="33">
        <v>157.02600402831999</v>
      </c>
      <c r="C55" s="34">
        <v>15.2940166473388</v>
      </c>
      <c r="D55" s="49" t="s">
        <v>19</v>
      </c>
      <c r="E55" s="43">
        <v>8.1838608794805548E-2</v>
      </c>
      <c r="F55" s="43">
        <v>7.1509942295240617E-2</v>
      </c>
      <c r="G55" s="52" t="s">
        <v>19</v>
      </c>
      <c r="H55" s="50" t="s">
        <v>19</v>
      </c>
      <c r="I55" s="51" t="s">
        <v>19</v>
      </c>
      <c r="J55" s="52" t="s">
        <v>19</v>
      </c>
      <c r="K55" s="52" t="s">
        <v>19</v>
      </c>
      <c r="L55" s="52" t="s">
        <v>19</v>
      </c>
      <c r="M55" s="53" t="s">
        <v>19</v>
      </c>
    </row>
    <row r="56" spans="1:13">
      <c r="A56" s="32" t="s">
        <v>63</v>
      </c>
      <c r="B56" s="33">
        <v>157.12445537860501</v>
      </c>
      <c r="C56" s="34">
        <v>17.948193330031099</v>
      </c>
      <c r="D56" s="35">
        <v>0.10920042431580672</v>
      </c>
      <c r="E56" s="39">
        <v>4.8479909101452771E-2</v>
      </c>
      <c r="F56" s="39">
        <v>2.7400894983951644E-2</v>
      </c>
      <c r="G56" s="39">
        <v>2.9447236705293953E-2</v>
      </c>
      <c r="H56" s="44">
        <v>3.5733497534380709E-2</v>
      </c>
      <c r="I56" s="42">
        <v>9.5473244190757506E-2</v>
      </c>
      <c r="J56" s="39">
        <v>6.6809479152050363E-2</v>
      </c>
      <c r="K56" s="39">
        <v>7.7467669719442495E-2</v>
      </c>
      <c r="L56" s="39">
        <v>4.3568809842301909E-2</v>
      </c>
      <c r="M56" s="57">
        <v>6.4039170308419477E-2</v>
      </c>
    </row>
    <row r="57" spans="1:13">
      <c r="A57" s="32" t="s">
        <v>64</v>
      </c>
      <c r="B57" s="33">
        <v>161.04693838266201</v>
      </c>
      <c r="C57" s="34">
        <v>11.3765393770658</v>
      </c>
      <c r="D57" s="54">
        <v>2.026753780169846E-2</v>
      </c>
      <c r="E57" s="43">
        <v>1.9322362746953193E-2</v>
      </c>
      <c r="F57" s="39">
        <v>3.7879289654083804E-2</v>
      </c>
      <c r="G57" s="39">
        <v>5.697644138113004E-2</v>
      </c>
      <c r="H57" s="44">
        <v>8.0474667333541861E-2</v>
      </c>
      <c r="I57" s="56">
        <v>2.4906350616085107E-2</v>
      </c>
      <c r="J57" s="43">
        <v>2.2662854458487133E-2</v>
      </c>
      <c r="K57" s="43">
        <v>1.7211305468894936E-2</v>
      </c>
      <c r="L57" s="39">
        <v>5.1287283032696578E-2</v>
      </c>
      <c r="M57" s="57">
        <v>7.5053589661234876E-2</v>
      </c>
    </row>
    <row r="58" spans="1:13">
      <c r="A58" s="32" t="s">
        <v>65</v>
      </c>
      <c r="B58" s="33">
        <v>165.02022141676599</v>
      </c>
      <c r="C58" s="34">
        <v>11.0563379434438</v>
      </c>
      <c r="D58" s="54">
        <v>2.4570001963487308E-2</v>
      </c>
      <c r="E58" s="43">
        <v>2.0789767564291201E-2</v>
      </c>
      <c r="F58" s="73">
        <v>6.439461433678721E-3</v>
      </c>
      <c r="G58" s="73">
        <v>5.4664545352010683E-3</v>
      </c>
      <c r="H58" s="55">
        <v>6.4717649809905445E-3</v>
      </c>
      <c r="I58" s="56">
        <v>2.7365366032068336E-2</v>
      </c>
      <c r="J58" s="43">
        <v>1.7966392176822131E-2</v>
      </c>
      <c r="K58" s="43">
        <v>1.6501490775995001E-2</v>
      </c>
      <c r="L58" s="43">
        <v>1.8034376774106381E-2</v>
      </c>
      <c r="M58" s="70">
        <v>1.6299971796239803E-2</v>
      </c>
    </row>
    <row r="59" spans="1:13">
      <c r="A59" s="32" t="s">
        <v>66</v>
      </c>
      <c r="B59" s="33">
        <v>165.02066040039</v>
      </c>
      <c r="C59" s="34">
        <v>11.4390404040996</v>
      </c>
      <c r="D59" s="76">
        <v>8.8950989058438085E-3</v>
      </c>
      <c r="E59" s="73">
        <v>5.870562436610092E-3</v>
      </c>
      <c r="F59" s="73">
        <v>2.1828618099854489E-3</v>
      </c>
      <c r="G59" s="73">
        <v>2.1144144727290324E-3</v>
      </c>
      <c r="H59" s="55">
        <v>2.3839415445786032E-3</v>
      </c>
      <c r="I59" s="56">
        <v>1.0930392221244688E-2</v>
      </c>
      <c r="J59" s="73">
        <v>4.9075612113289417E-3</v>
      </c>
      <c r="K59" s="73">
        <v>3.4777137465661564E-3</v>
      </c>
      <c r="L59" s="73">
        <v>8.3445669456917761E-3</v>
      </c>
      <c r="M59" s="74">
        <v>4.8452312520855063E-3</v>
      </c>
    </row>
    <row r="60" spans="1:13">
      <c r="A60" s="32" t="s">
        <v>67</v>
      </c>
      <c r="B60" s="33">
        <v>167.02064866286</v>
      </c>
      <c r="C60" s="34">
        <v>16.129574408897899</v>
      </c>
      <c r="D60" s="54">
        <v>3.6239041893221538E-2</v>
      </c>
      <c r="E60" s="43">
        <v>6.4363104565438881E-2</v>
      </c>
      <c r="F60" s="39">
        <v>4.5903732315482955E-2</v>
      </c>
      <c r="G60" s="39">
        <v>7.7787522306111898E-2</v>
      </c>
      <c r="H60" s="37">
        <v>0.10335733608101141</v>
      </c>
      <c r="I60" s="56">
        <v>3.0124712772136773E-2</v>
      </c>
      <c r="J60" s="43">
        <v>4.6900009946977357E-2</v>
      </c>
      <c r="K60" s="43">
        <v>3.459834862154381E-2</v>
      </c>
      <c r="L60" s="43">
        <v>3.5167569166993096E-2</v>
      </c>
      <c r="M60" s="70">
        <v>3.8281684069711781E-2</v>
      </c>
    </row>
    <row r="61" spans="1:13">
      <c r="A61" s="32" t="s">
        <v>68</v>
      </c>
      <c r="B61" s="33">
        <v>171.13963200495701</v>
      </c>
      <c r="C61" s="34">
        <v>18.535433695866502</v>
      </c>
      <c r="D61" s="54">
        <v>3.002079134847211E-2</v>
      </c>
      <c r="E61" s="43">
        <v>1.1839464895211019E-2</v>
      </c>
      <c r="F61" s="73">
        <v>8.9562173376404527E-3</v>
      </c>
      <c r="G61" s="73">
        <v>7.3388667481033868E-3</v>
      </c>
      <c r="H61" s="55">
        <v>7.8440095234388867E-3</v>
      </c>
      <c r="I61" s="56">
        <v>2.6830301950017083E-2</v>
      </c>
      <c r="J61" s="43">
        <v>1.4676613328839044E-2</v>
      </c>
      <c r="K61" s="43">
        <v>1.8695035823154876E-2</v>
      </c>
      <c r="L61" s="73">
        <v>8.2656702773370398E-3</v>
      </c>
      <c r="M61" s="70">
        <v>1.3775674378551513E-2</v>
      </c>
    </row>
    <row r="62" spans="1:13">
      <c r="A62" s="32" t="s">
        <v>69</v>
      </c>
      <c r="B62" s="33">
        <v>172.098305335411</v>
      </c>
      <c r="C62" s="34">
        <v>18.284334182739201</v>
      </c>
      <c r="D62" s="78">
        <v>7.4865139747417493E-3</v>
      </c>
      <c r="E62" s="39">
        <v>1.691811738799185E-2</v>
      </c>
      <c r="F62" s="39">
        <v>1.0878733579238067E-2</v>
      </c>
      <c r="G62" s="67">
        <v>5.6804109840847983E-3</v>
      </c>
      <c r="H62" s="79">
        <v>3.4550136873843754E-3</v>
      </c>
      <c r="I62" s="77">
        <v>5.5684299973342713E-3</v>
      </c>
      <c r="J62" s="73">
        <v>6.8113837191158969E-3</v>
      </c>
      <c r="K62" s="73">
        <v>7.1098653655814999E-3</v>
      </c>
      <c r="L62" s="67">
        <v>3.9424429623398484E-3</v>
      </c>
      <c r="M62" s="74">
        <v>3.617909441302033E-3</v>
      </c>
    </row>
    <row r="63" spans="1:13">
      <c r="A63" s="32" t="s">
        <v>70</v>
      </c>
      <c r="B63" s="33">
        <v>174.04180321326601</v>
      </c>
      <c r="C63" s="34">
        <v>11.6300382614135</v>
      </c>
      <c r="D63" s="41">
        <v>6.3618202565382212E-2</v>
      </c>
      <c r="E63" s="39">
        <v>1.5872306766133239E-2</v>
      </c>
      <c r="F63" s="39">
        <v>1.3719049104039942E-2</v>
      </c>
      <c r="G63" s="39">
        <v>2.1621331977583466E-2</v>
      </c>
      <c r="H63" s="44">
        <v>1.247206562164818E-2</v>
      </c>
      <c r="I63" s="42">
        <v>5.4260180793077296E-2</v>
      </c>
      <c r="J63" s="43">
        <v>1.5340476061614264E-2</v>
      </c>
      <c r="K63" s="39">
        <v>1.7538606894962061E-2</v>
      </c>
      <c r="L63" s="39">
        <v>2.4535391014880593E-2</v>
      </c>
      <c r="M63" s="57">
        <v>1.647754691485875E-2</v>
      </c>
    </row>
    <row r="64" spans="1:13">
      <c r="A64" s="32" t="s">
        <v>71</v>
      </c>
      <c r="B64" s="33">
        <v>175.03631591796801</v>
      </c>
      <c r="C64" s="34">
        <v>11.340454174922</v>
      </c>
      <c r="D64" s="41">
        <v>4.7765583924722785E-2</v>
      </c>
      <c r="E64" s="36">
        <v>0.12242613167512223</v>
      </c>
      <c r="F64" s="36">
        <v>0.23024569273196646</v>
      </c>
      <c r="G64" s="36">
        <v>0.10273875171189657</v>
      </c>
      <c r="H64" s="44">
        <v>6.0275869316331526E-2</v>
      </c>
      <c r="I64" s="56">
        <v>4.0595849511669377E-2</v>
      </c>
      <c r="J64" s="39">
        <v>8.5274662769215442E-2</v>
      </c>
      <c r="K64" s="39">
        <v>7.7292791655063753E-2</v>
      </c>
      <c r="L64" s="39">
        <v>4.9647475321559213E-2</v>
      </c>
      <c r="M64" s="70">
        <v>2.6362648742468683E-2</v>
      </c>
    </row>
    <row r="65" spans="1:13">
      <c r="A65" s="32" t="s">
        <v>72</v>
      </c>
      <c r="B65" s="33">
        <v>175.04754638671801</v>
      </c>
      <c r="C65" s="34">
        <v>16.459850311279201</v>
      </c>
      <c r="D65" s="49" t="s">
        <v>19</v>
      </c>
      <c r="E65" s="52" t="s">
        <v>19</v>
      </c>
      <c r="F65" s="52" t="s">
        <v>19</v>
      </c>
      <c r="G65" s="52" t="s">
        <v>19</v>
      </c>
      <c r="H65" s="71">
        <v>2.0828651153301632E-2</v>
      </c>
      <c r="I65" s="51" t="s">
        <v>19</v>
      </c>
      <c r="J65" s="52" t="s">
        <v>19</v>
      </c>
      <c r="K65" s="52" t="s">
        <v>19</v>
      </c>
      <c r="L65" s="52" t="s">
        <v>19</v>
      </c>
      <c r="M65" s="53" t="s">
        <v>19</v>
      </c>
    </row>
    <row r="66" spans="1:13">
      <c r="A66" s="32" t="s">
        <v>73</v>
      </c>
      <c r="B66" s="33">
        <v>176.041040420532</v>
      </c>
      <c r="C66" s="34">
        <v>16.709921836852999</v>
      </c>
      <c r="D66" s="49" t="s">
        <v>19</v>
      </c>
      <c r="E66" s="43">
        <v>1.3403394482264583E-2</v>
      </c>
      <c r="F66" s="73">
        <v>7.1742660524383509E-3</v>
      </c>
      <c r="G66" s="73">
        <v>5.2881574228794961E-3</v>
      </c>
      <c r="H66" s="55">
        <v>4.2518690430654897E-3</v>
      </c>
      <c r="I66" s="51" t="s">
        <v>19</v>
      </c>
      <c r="J66" s="73">
        <v>8.8674820915810287E-3</v>
      </c>
      <c r="K66" s="52" t="s">
        <v>19</v>
      </c>
      <c r="L66" s="52" t="s">
        <v>19</v>
      </c>
      <c r="M66" s="53" t="s">
        <v>19</v>
      </c>
    </row>
    <row r="67" spans="1:13">
      <c r="A67" s="32" t="s">
        <v>74</v>
      </c>
      <c r="B67" s="33">
        <v>178.053810119628</v>
      </c>
      <c r="C67" s="34">
        <v>17.114210605621299</v>
      </c>
      <c r="D67" s="49" t="s">
        <v>19</v>
      </c>
      <c r="E67" s="43">
        <v>1.7643225330063888E-2</v>
      </c>
      <c r="F67" s="52" t="s">
        <v>19</v>
      </c>
      <c r="G67" s="52" t="s">
        <v>19</v>
      </c>
      <c r="H67" s="50" t="s">
        <v>19</v>
      </c>
      <c r="I67" s="51" t="s">
        <v>19</v>
      </c>
      <c r="J67" s="52" t="s">
        <v>19</v>
      </c>
      <c r="K67" s="52" t="s">
        <v>19</v>
      </c>
      <c r="L67" s="52" t="s">
        <v>19</v>
      </c>
      <c r="M67" s="53" t="s">
        <v>19</v>
      </c>
    </row>
    <row r="68" spans="1:13">
      <c r="A68" s="32" t="s">
        <v>75</v>
      </c>
      <c r="B68" s="33">
        <v>181.05219562236999</v>
      </c>
      <c r="C68" s="34">
        <v>17.5321200444148</v>
      </c>
      <c r="D68" s="54">
        <v>7.2152307488631245E-2</v>
      </c>
      <c r="E68" s="36">
        <v>0.13863992060097127</v>
      </c>
      <c r="F68" s="36">
        <v>0.61248014181936072</v>
      </c>
      <c r="G68" s="46">
        <v>1.2185341069576008</v>
      </c>
      <c r="H68" s="47">
        <v>1.3641941799139212</v>
      </c>
      <c r="I68" s="59">
        <v>0.10282443828001574</v>
      </c>
      <c r="J68" s="45">
        <v>0.11982465732684486</v>
      </c>
      <c r="K68" s="45">
        <v>0.14166626128923437</v>
      </c>
      <c r="L68" s="36">
        <v>0.22816150374093289</v>
      </c>
      <c r="M68" s="40">
        <v>0.32360956530794738</v>
      </c>
    </row>
    <row r="69" spans="1:13">
      <c r="A69" s="32" t="s">
        <v>76</v>
      </c>
      <c r="B69" s="33">
        <v>184.00177119328399</v>
      </c>
      <c r="C69" s="34">
        <v>12.6463603973388</v>
      </c>
      <c r="D69" s="35">
        <v>0.35821584128992978</v>
      </c>
      <c r="E69" s="43">
        <v>1.6919718877896062E-2</v>
      </c>
      <c r="F69" s="73">
        <v>7.24113909772267E-3</v>
      </c>
      <c r="G69" s="73">
        <v>6.6029237688365119E-3</v>
      </c>
      <c r="H69" s="55">
        <v>8.1253305374085049E-3</v>
      </c>
      <c r="I69" s="38">
        <v>0.35437022805699897</v>
      </c>
      <c r="J69" s="36">
        <v>0.10318637229970073</v>
      </c>
      <c r="K69" s="36">
        <v>0.18062171041847874</v>
      </c>
      <c r="L69" s="36">
        <v>0.31433687225422435</v>
      </c>
      <c r="M69" s="40">
        <v>0.33472060519261582</v>
      </c>
    </row>
    <row r="70" spans="1:13">
      <c r="A70" s="32" t="s">
        <v>77</v>
      </c>
      <c r="B70" s="33">
        <v>185.155999755859</v>
      </c>
      <c r="C70" s="34">
        <v>19.189967727661099</v>
      </c>
      <c r="D70" s="49" t="s">
        <v>19</v>
      </c>
      <c r="E70" s="73">
        <v>2.7225968676897359E-3</v>
      </c>
      <c r="F70" s="52" t="s">
        <v>19</v>
      </c>
      <c r="G70" s="52" t="s">
        <v>19</v>
      </c>
      <c r="H70" s="50" t="s">
        <v>19</v>
      </c>
      <c r="I70" s="51" t="s">
        <v>19</v>
      </c>
      <c r="J70" s="52" t="s">
        <v>19</v>
      </c>
      <c r="K70" s="73">
        <v>3.7589899585365439E-3</v>
      </c>
      <c r="L70" s="52" t="s">
        <v>19</v>
      </c>
      <c r="M70" s="53" t="s">
        <v>19</v>
      </c>
    </row>
    <row r="71" spans="1:13">
      <c r="A71" s="32" t="s">
        <v>78</v>
      </c>
      <c r="B71" s="33">
        <v>187.09825955904401</v>
      </c>
      <c r="C71" s="34">
        <v>12.7743937419011</v>
      </c>
      <c r="D71" s="54">
        <v>1.2774124447743365E-2</v>
      </c>
      <c r="E71" s="73">
        <v>9.747000347613102E-3</v>
      </c>
      <c r="F71" s="67">
        <v>6.042859746578721E-3</v>
      </c>
      <c r="G71" s="67">
        <v>4.72576939083625E-3</v>
      </c>
      <c r="H71" s="55">
        <v>3.4445025079793755E-3</v>
      </c>
      <c r="I71" s="42">
        <v>1.6366236470275835E-2</v>
      </c>
      <c r="J71" s="43">
        <v>1.3394588054861397E-2</v>
      </c>
      <c r="K71" s="39">
        <v>1.3622355571498376E-2</v>
      </c>
      <c r="L71" s="43">
        <v>1.1154556709265856E-2</v>
      </c>
      <c r="M71" s="57">
        <v>1.0524692504626053E-2</v>
      </c>
    </row>
    <row r="72" spans="1:13">
      <c r="A72" s="32" t="s">
        <v>79</v>
      </c>
      <c r="B72" s="33">
        <v>188.056557288536</v>
      </c>
      <c r="C72" s="34">
        <v>12.181536014263401</v>
      </c>
      <c r="D72" s="54">
        <v>1.2584698776131347E-2</v>
      </c>
      <c r="E72" s="73">
        <v>9.1788977522259708E-3</v>
      </c>
      <c r="F72" s="67">
        <v>9.5375209567474129E-3</v>
      </c>
      <c r="G72" s="67">
        <v>6.0649433148423785E-3</v>
      </c>
      <c r="H72" s="79">
        <v>6.8551971605245662E-3</v>
      </c>
      <c r="I72" s="56">
        <v>1.1426595090243543E-2</v>
      </c>
      <c r="J72" s="43">
        <v>1.0392433123065441E-2</v>
      </c>
      <c r="K72" s="73">
        <v>9.9103247540616255E-3</v>
      </c>
      <c r="L72" s="73">
        <v>5.139149303357171E-3</v>
      </c>
      <c r="M72" s="57">
        <v>1.2901732965188751E-2</v>
      </c>
    </row>
    <row r="73" spans="1:13">
      <c r="A73" s="32" t="s">
        <v>80</v>
      </c>
      <c r="B73" s="33">
        <v>190.054203913762</v>
      </c>
      <c r="C73" s="34">
        <v>17.900039819570601</v>
      </c>
      <c r="D73" s="76">
        <v>5.0663126972281536E-3</v>
      </c>
      <c r="E73" s="43">
        <v>1.0293678894440463E-2</v>
      </c>
      <c r="F73" s="39">
        <v>1.4575964969418296E-2</v>
      </c>
      <c r="G73" s="39">
        <v>1.2866759279244293E-2</v>
      </c>
      <c r="H73" s="79">
        <v>8.9778505828338878E-3</v>
      </c>
      <c r="I73" s="77">
        <v>4.157901880066677E-3</v>
      </c>
      <c r="J73" s="73">
        <v>3.1049858937778163E-3</v>
      </c>
      <c r="K73" s="73">
        <v>4.4873169619202439E-3</v>
      </c>
      <c r="L73" s="73">
        <v>3.640160618575132E-3</v>
      </c>
      <c r="M73" s="74">
        <v>4.1983207373941381E-3</v>
      </c>
    </row>
    <row r="74" spans="1:13">
      <c r="A74" s="32" t="s">
        <v>81</v>
      </c>
      <c r="B74" s="33">
        <v>191.05622100830001</v>
      </c>
      <c r="C74" s="34">
        <v>17.6061096191406</v>
      </c>
      <c r="D74" s="49" t="s">
        <v>19</v>
      </c>
      <c r="E74" s="52" t="s">
        <v>19</v>
      </c>
      <c r="F74" s="52" t="s">
        <v>19</v>
      </c>
      <c r="G74" s="52" t="s">
        <v>19</v>
      </c>
      <c r="H74" s="50" t="s">
        <v>19</v>
      </c>
      <c r="I74" s="51" t="s">
        <v>19</v>
      </c>
      <c r="J74" s="52" t="s">
        <v>19</v>
      </c>
      <c r="K74" s="52" t="s">
        <v>19</v>
      </c>
      <c r="L74" s="52" t="s">
        <v>19</v>
      </c>
      <c r="M74" s="70">
        <v>1.5180632543313487E-2</v>
      </c>
    </row>
    <row r="75" spans="1:13">
      <c r="A75" s="32" t="s">
        <v>82</v>
      </c>
      <c r="B75" s="33">
        <v>192.065678523137</v>
      </c>
      <c r="C75" s="34">
        <v>17.6322766817533</v>
      </c>
      <c r="D75" s="76">
        <v>4.9834282801817691E-3</v>
      </c>
      <c r="E75" s="39">
        <v>2.7975853879301339E-2</v>
      </c>
      <c r="F75" s="39">
        <v>2.1473815457391021E-2</v>
      </c>
      <c r="G75" s="39">
        <v>1.476096705081141E-2</v>
      </c>
      <c r="H75" s="44">
        <v>1.8690645730981878E-2</v>
      </c>
      <c r="I75" s="77">
        <v>4.2096025138317504E-3</v>
      </c>
      <c r="J75" s="43">
        <v>2.1463160711193748E-2</v>
      </c>
      <c r="K75" s="43">
        <v>1.0368181016872126E-2</v>
      </c>
      <c r="L75" s="73">
        <v>8.6409844233323683E-3</v>
      </c>
      <c r="M75" s="70">
        <v>1.0383365863684275E-2</v>
      </c>
    </row>
    <row r="76" spans="1:13">
      <c r="A76" s="32" t="s">
        <v>83</v>
      </c>
      <c r="B76" s="33">
        <v>193.03668682391799</v>
      </c>
      <c r="C76" s="34">
        <v>17.960680154653598</v>
      </c>
      <c r="D76" s="54">
        <v>8.5716972860344715E-2</v>
      </c>
      <c r="E76" s="39">
        <v>7.5715202660110642E-2</v>
      </c>
      <c r="F76" s="39">
        <v>8.3468070136871589E-2</v>
      </c>
      <c r="G76" s="39">
        <v>5.4985786657911491E-2</v>
      </c>
      <c r="H76" s="71">
        <v>2.417032214808848E-2</v>
      </c>
      <c r="I76" s="56">
        <v>8.9712257961220412E-2</v>
      </c>
      <c r="J76" s="43">
        <v>5.9059748197057581E-2</v>
      </c>
      <c r="K76" s="43">
        <v>4.2791615435288373E-2</v>
      </c>
      <c r="L76" s="43">
        <v>5.7297041870526845E-2</v>
      </c>
      <c r="M76" s="70">
        <v>4.4627369766417041E-2</v>
      </c>
    </row>
    <row r="77" spans="1:13">
      <c r="A77" s="32" t="s">
        <v>84</v>
      </c>
      <c r="B77" s="33">
        <v>199.170738807091</v>
      </c>
      <c r="C77" s="34">
        <v>20.093548994797899</v>
      </c>
      <c r="D77" s="54">
        <v>4.9294722988348548E-2</v>
      </c>
      <c r="E77" s="43">
        <v>1.9098228251581757E-2</v>
      </c>
      <c r="F77" s="43">
        <v>1.3060057747937157E-2</v>
      </c>
      <c r="G77" s="43">
        <v>1.3727885042515847E-2</v>
      </c>
      <c r="H77" s="71">
        <v>1.7318529962674838E-2</v>
      </c>
      <c r="I77" s="56">
        <v>4.2448390276349272E-2</v>
      </c>
      <c r="J77" s="43">
        <v>3.4296492089324337E-2</v>
      </c>
      <c r="K77" s="43">
        <v>3.7788855906274128E-2</v>
      </c>
      <c r="L77" s="43">
        <v>2.2868798045491648E-2</v>
      </c>
      <c r="M77" s="70">
        <v>2.691780119203362E-2</v>
      </c>
    </row>
    <row r="78" spans="1:13">
      <c r="A78" s="32" t="s">
        <v>85</v>
      </c>
      <c r="B78" s="33">
        <v>201.11363572340699</v>
      </c>
      <c r="C78" s="34">
        <v>13.134720215430599</v>
      </c>
      <c r="D78" s="76">
        <v>3.6764386043501057E-3</v>
      </c>
      <c r="E78" s="73">
        <v>3.040576617432773E-3</v>
      </c>
      <c r="F78" s="73">
        <v>1.0174227651833011E-3</v>
      </c>
      <c r="G78" s="80">
        <v>8.6908128643364716E-4</v>
      </c>
      <c r="H78" s="81">
        <v>9.7399083585008705E-4</v>
      </c>
      <c r="I78" s="77">
        <v>3.5605824813858544E-3</v>
      </c>
      <c r="J78" s="73">
        <v>3.9993510232382793E-3</v>
      </c>
      <c r="K78" s="73">
        <v>2.5161167503449E-3</v>
      </c>
      <c r="L78" s="73">
        <v>5.3769085315534537E-3</v>
      </c>
      <c r="M78" s="74">
        <v>2.6148004465845129E-3</v>
      </c>
    </row>
    <row r="79" spans="1:13">
      <c r="A79" s="32" t="s">
        <v>86</v>
      </c>
      <c r="B79" s="33">
        <v>206.08282118577199</v>
      </c>
      <c r="C79" s="34">
        <v>18.397680722750099</v>
      </c>
      <c r="D79" s="76">
        <v>6.8684968042345669E-3</v>
      </c>
      <c r="E79" s="39">
        <v>1.7886892295098055E-2</v>
      </c>
      <c r="F79" s="39">
        <v>1.8355496384602245E-2</v>
      </c>
      <c r="G79" s="67">
        <v>7.8980862966601204E-3</v>
      </c>
      <c r="H79" s="55">
        <v>4.4185546079635605E-3</v>
      </c>
      <c r="I79" s="77">
        <v>6.5891040690276353E-3</v>
      </c>
      <c r="J79" s="39">
        <v>1.1568272631243383E-2</v>
      </c>
      <c r="K79" s="39">
        <v>1.5212830838610313E-2</v>
      </c>
      <c r="L79" s="39">
        <v>1.6292898682020395E-2</v>
      </c>
      <c r="M79" s="57">
        <v>1.2173080950018948E-2</v>
      </c>
    </row>
    <row r="80" spans="1:13">
      <c r="A80" s="32" t="s">
        <v>87</v>
      </c>
      <c r="B80" s="33">
        <v>209.03208923339801</v>
      </c>
      <c r="C80" s="34">
        <v>11.640848994255</v>
      </c>
      <c r="D80" s="49" t="s">
        <v>19</v>
      </c>
      <c r="E80" s="39">
        <v>1.6619453426383934E-2</v>
      </c>
      <c r="F80" s="39">
        <v>2.704810825519835E-2</v>
      </c>
      <c r="G80" s="39">
        <v>3.8679100905716531E-2</v>
      </c>
      <c r="H80" s="44">
        <v>4.7007449753929897E-2</v>
      </c>
      <c r="I80" s="51" t="s">
        <v>19</v>
      </c>
      <c r="J80" s="43">
        <v>1.8859039514032425E-2</v>
      </c>
      <c r="K80" s="52" t="s">
        <v>19</v>
      </c>
      <c r="L80" s="52" t="s">
        <v>19</v>
      </c>
      <c r="M80" s="53" t="s">
        <v>19</v>
      </c>
    </row>
    <row r="81" spans="1:13">
      <c r="A81" s="32" t="s">
        <v>88</v>
      </c>
      <c r="B81" s="33">
        <v>212.00642160268899</v>
      </c>
      <c r="C81" s="34">
        <v>15.167991564824</v>
      </c>
      <c r="D81" s="76">
        <v>6.9622556955329521E-3</v>
      </c>
      <c r="E81" s="43">
        <v>1.317224472035375E-2</v>
      </c>
      <c r="F81" s="43">
        <v>1.0301659984187216E-2</v>
      </c>
      <c r="G81" s="73">
        <v>7.3037222881213709E-3</v>
      </c>
      <c r="H81" s="55">
        <v>6.358248881869131E-3</v>
      </c>
      <c r="I81" s="56">
        <v>1.3513264200955728E-2</v>
      </c>
      <c r="J81" s="73">
        <v>8.4977265570190443E-3</v>
      </c>
      <c r="K81" s="73">
        <v>5.3643302853520185E-3</v>
      </c>
      <c r="L81" s="73">
        <v>7.8601833066857234E-3</v>
      </c>
      <c r="M81" s="74">
        <v>6.3028071638543629E-3</v>
      </c>
    </row>
    <row r="82" spans="1:13">
      <c r="A82" s="32" t="s">
        <v>89</v>
      </c>
      <c r="B82" s="33">
        <v>218.104307908278</v>
      </c>
      <c r="C82" s="34">
        <v>19.2610078958364</v>
      </c>
      <c r="D82" s="35">
        <v>0.13838565034090675</v>
      </c>
      <c r="E82" s="36">
        <v>0.33257860275840367</v>
      </c>
      <c r="F82" s="46">
        <v>4.8049573793558515</v>
      </c>
      <c r="G82" s="46">
        <v>6.4026849045727214</v>
      </c>
      <c r="H82" s="47">
        <v>6.0582682095658971</v>
      </c>
      <c r="I82" s="42">
        <v>9.8962747455805217E-2</v>
      </c>
      <c r="J82" s="36">
        <v>0.40621275608945295</v>
      </c>
      <c r="K82" s="46">
        <v>1.2133014119923875</v>
      </c>
      <c r="L82" s="46">
        <v>4.9362329658199604</v>
      </c>
      <c r="M82" s="48">
        <v>6.422297360901112</v>
      </c>
    </row>
    <row r="83" spans="1:13">
      <c r="A83" s="32" t="s">
        <v>90</v>
      </c>
      <c r="B83" s="33">
        <v>229.145183563232</v>
      </c>
      <c r="C83" s="34">
        <v>13.8435322046279</v>
      </c>
      <c r="D83" s="49" t="s">
        <v>19</v>
      </c>
      <c r="E83" s="52" t="s">
        <v>19</v>
      </c>
      <c r="F83" s="52" t="s">
        <v>19</v>
      </c>
      <c r="G83" s="52" t="s">
        <v>19</v>
      </c>
      <c r="H83" s="50" t="s">
        <v>19</v>
      </c>
      <c r="I83" s="82">
        <v>3.6594008715945415E-3</v>
      </c>
      <c r="J83" s="73">
        <v>2.2466989859592649E-3</v>
      </c>
      <c r="K83" s="73">
        <v>1.3592484226751188E-3</v>
      </c>
      <c r="L83" s="73">
        <v>1.4169818862269869E-3</v>
      </c>
      <c r="M83" s="74">
        <v>1.6601278142209935E-3</v>
      </c>
    </row>
    <row r="84" spans="1:13">
      <c r="A84" s="32" t="s">
        <v>91</v>
      </c>
      <c r="B84" s="33">
        <v>261.036961482121</v>
      </c>
      <c r="C84" s="34">
        <v>14.570323870732199</v>
      </c>
      <c r="D84" s="54">
        <v>4.5186127262374233E-2</v>
      </c>
      <c r="E84" s="43">
        <v>2.5767510582028842E-2</v>
      </c>
      <c r="F84" s="43">
        <v>2.3427603476828977E-2</v>
      </c>
      <c r="G84" s="43">
        <v>3.1849131206294554E-2</v>
      </c>
      <c r="H84" s="71">
        <v>3.3032406877296742E-2</v>
      </c>
      <c r="I84" s="56">
        <v>4.5103590327271667E-2</v>
      </c>
      <c r="J84" s="43">
        <v>2.1453479007093827E-2</v>
      </c>
      <c r="K84" s="43">
        <v>2.3698435913059625E-2</v>
      </c>
      <c r="L84" s="43">
        <v>2.516820046439092E-2</v>
      </c>
      <c r="M84" s="70">
        <v>3.597809288130388E-2</v>
      </c>
    </row>
    <row r="85" spans="1:13">
      <c r="A85" s="32" t="s">
        <v>92</v>
      </c>
      <c r="B85" s="33">
        <v>292.10541381835901</v>
      </c>
      <c r="C85" s="34">
        <v>20.989300537109301</v>
      </c>
      <c r="D85" s="49" t="s">
        <v>19</v>
      </c>
      <c r="E85" s="52" t="s">
        <v>19</v>
      </c>
      <c r="F85" s="52" t="s">
        <v>19</v>
      </c>
      <c r="G85" s="73">
        <v>2.7312323598709474E-3</v>
      </c>
      <c r="H85" s="79">
        <v>5.2204487590217126E-3</v>
      </c>
      <c r="I85" s="51" t="s">
        <v>19</v>
      </c>
      <c r="J85" s="52" t="s">
        <v>19</v>
      </c>
      <c r="K85" s="52" t="s">
        <v>19</v>
      </c>
      <c r="L85" s="52" t="s">
        <v>19</v>
      </c>
      <c r="M85" s="53" t="s">
        <v>19</v>
      </c>
    </row>
    <row r="86" spans="1:13">
      <c r="A86" s="32" t="s">
        <v>93</v>
      </c>
      <c r="B86" s="33">
        <v>300.04786095252399</v>
      </c>
      <c r="C86" s="34">
        <v>15.662781201876101</v>
      </c>
      <c r="D86" s="41">
        <v>3.0420240868449713E-2</v>
      </c>
      <c r="E86" s="73">
        <v>6.5337374208919901E-3</v>
      </c>
      <c r="F86" s="67">
        <v>9.3933898282443449E-3</v>
      </c>
      <c r="G86" s="39">
        <v>1.5863135146585463E-2</v>
      </c>
      <c r="H86" s="44">
        <v>1.3647890347280979E-2</v>
      </c>
      <c r="I86" s="42">
        <v>2.1152667125217607E-2</v>
      </c>
      <c r="J86" s="73">
        <v>6.7253138615363016E-3</v>
      </c>
      <c r="K86" s="73">
        <v>8.7182760518146243E-3</v>
      </c>
      <c r="L86" s="39">
        <v>1.8530991336388226E-2</v>
      </c>
      <c r="M86" s="57">
        <v>1.5791456196575591E-2</v>
      </c>
    </row>
    <row r="87" spans="1:13">
      <c r="A87" s="32" t="s">
        <v>94</v>
      </c>
      <c r="B87" s="33">
        <v>300.04983285757203</v>
      </c>
      <c r="C87" s="34">
        <v>15.082705497741699</v>
      </c>
      <c r="D87" s="41">
        <v>1.5125533160523558E-2</v>
      </c>
      <c r="E87" s="39">
        <v>3.6857131649251293E-2</v>
      </c>
      <c r="F87" s="39">
        <v>3.4599665478737211E-2</v>
      </c>
      <c r="G87" s="39">
        <v>2.739669263684032E-2</v>
      </c>
      <c r="H87" s="44">
        <v>2.291267145060109E-2</v>
      </c>
      <c r="I87" s="42">
        <v>1.5969279543579271E-2</v>
      </c>
      <c r="J87" s="39">
        <v>2.9978906225393013E-2</v>
      </c>
      <c r="K87" s="39">
        <v>1.5299482016501937E-2</v>
      </c>
      <c r="L87" s="39">
        <v>1.6332409557926579E-2</v>
      </c>
      <c r="M87" s="57">
        <v>1.6083900589069607E-2</v>
      </c>
    </row>
    <row r="88" spans="1:13">
      <c r="A88" s="32" t="s">
        <v>95</v>
      </c>
      <c r="B88" s="33">
        <v>308.09965397761403</v>
      </c>
      <c r="C88" s="34">
        <v>21.258827943068201</v>
      </c>
      <c r="D88" s="35">
        <v>0.40291621721634513</v>
      </c>
      <c r="E88" s="39">
        <v>5.668985194974166E-2</v>
      </c>
      <c r="F88" s="39">
        <v>8.0730229151645155E-2</v>
      </c>
      <c r="G88" s="36">
        <v>0.18959466442201775</v>
      </c>
      <c r="H88" s="37">
        <v>0.24578902030504976</v>
      </c>
      <c r="I88" s="38">
        <v>0.24184077394545628</v>
      </c>
      <c r="J88" s="39">
        <v>5.5278252895035442E-2</v>
      </c>
      <c r="K88" s="39">
        <v>8.9587924849453757E-2</v>
      </c>
      <c r="L88" s="36">
        <v>0.9829655836545329</v>
      </c>
      <c r="M88" s="48">
        <v>1.3430367951972368</v>
      </c>
    </row>
    <row r="89" spans="1:13">
      <c r="A89" s="32" t="s">
        <v>96</v>
      </c>
      <c r="B89" s="33">
        <v>322.04529680524502</v>
      </c>
      <c r="C89" s="34">
        <v>15.019246510096901</v>
      </c>
      <c r="D89" s="41">
        <v>1.1717795341901345E-2</v>
      </c>
      <c r="E89" s="39">
        <v>3.1549837682565834E-2</v>
      </c>
      <c r="F89" s="39">
        <v>1.2105938229367584E-2</v>
      </c>
      <c r="G89" s="39">
        <v>1.0278559779190202E-2</v>
      </c>
      <c r="H89" s="44">
        <v>1.2941463112249647E-2</v>
      </c>
      <c r="I89" s="56">
        <v>1.0202070022527356E-2</v>
      </c>
      <c r="J89" s="39">
        <v>5.4133712096844346E-2</v>
      </c>
      <c r="K89" s="39">
        <v>4.4486770336844499E-2</v>
      </c>
      <c r="L89" s="39">
        <v>1.8492504244149343E-2</v>
      </c>
      <c r="M89" s="57">
        <v>2.0668621530673881E-2</v>
      </c>
    </row>
    <row r="90" spans="1:13">
      <c r="A90" s="32" t="s">
        <v>97</v>
      </c>
      <c r="B90" s="33">
        <v>323.02876633864099</v>
      </c>
      <c r="C90" s="34">
        <v>14.7776236900916</v>
      </c>
      <c r="D90" s="54">
        <v>2.6940493017645572E-2</v>
      </c>
      <c r="E90" s="36">
        <v>9.9581001496115262E-2</v>
      </c>
      <c r="F90" s="39">
        <v>5.4664569342324713E-2</v>
      </c>
      <c r="G90" s="43">
        <v>1.8725249251647237E-2</v>
      </c>
      <c r="H90" s="44">
        <v>2.5519492450107421E-2</v>
      </c>
      <c r="I90" s="56">
        <v>2.9573766878566565E-2</v>
      </c>
      <c r="J90" s="36">
        <v>0.18210085993038824</v>
      </c>
      <c r="K90" s="36">
        <v>0.13821140289398126</v>
      </c>
      <c r="L90" s="39">
        <v>4.3794626176128428E-2</v>
      </c>
      <c r="M90" s="57">
        <v>3.3712904985842236E-2</v>
      </c>
    </row>
    <row r="91" spans="1:13">
      <c r="A91" s="32" t="s">
        <v>98</v>
      </c>
      <c r="B91" s="33">
        <v>346.05703299386101</v>
      </c>
      <c r="C91" s="34">
        <v>15.4779847008841</v>
      </c>
      <c r="D91" s="41">
        <v>8.2189844402623363E-2</v>
      </c>
      <c r="E91" s="36">
        <v>0.26229860610632039</v>
      </c>
      <c r="F91" s="36">
        <v>0.11603917526254801</v>
      </c>
      <c r="G91" s="39">
        <v>7.1325184543933662E-2</v>
      </c>
      <c r="H91" s="37">
        <v>0.13479232706647173</v>
      </c>
      <c r="I91" s="42">
        <v>7.2842289873115529E-2</v>
      </c>
      <c r="J91" s="36">
        <v>0.46958833239263381</v>
      </c>
      <c r="K91" s="36">
        <v>0.32438342880689874</v>
      </c>
      <c r="L91" s="36">
        <v>0.17205258841388291</v>
      </c>
      <c r="M91" s="40">
        <v>0.14763555529143224</v>
      </c>
    </row>
    <row r="92" spans="1:13">
      <c r="A92" s="32" t="s">
        <v>99</v>
      </c>
      <c r="B92" s="33">
        <v>347.03956168038502</v>
      </c>
      <c r="C92" s="34">
        <v>15.0625841958182</v>
      </c>
      <c r="D92" s="54">
        <v>2.4593468310093462E-2</v>
      </c>
      <c r="E92" s="39">
        <v>2.9215059033992824E-2</v>
      </c>
      <c r="F92" s="39">
        <v>4.9218395118024998E-2</v>
      </c>
      <c r="G92" s="43">
        <v>1.675390345210756E-2</v>
      </c>
      <c r="H92" s="44">
        <v>1.4422179540634213E-2</v>
      </c>
      <c r="I92" s="56">
        <v>2.8828261795640627E-2</v>
      </c>
      <c r="J92" s="36">
        <v>0.20870675718308751</v>
      </c>
      <c r="K92" s="39">
        <v>6.462907265892813E-2</v>
      </c>
      <c r="L92" s="43">
        <v>2.1512741534607437E-2</v>
      </c>
      <c r="M92" s="70">
        <v>2.4866636276033752E-2</v>
      </c>
    </row>
    <row r="93" spans="1:13">
      <c r="A93" s="32" t="s">
        <v>100</v>
      </c>
      <c r="B93" s="33">
        <v>362.05207388741599</v>
      </c>
      <c r="C93" s="34">
        <v>15.680411951882499</v>
      </c>
      <c r="D93" s="41">
        <v>1.5499525904399231E-2</v>
      </c>
      <c r="E93" s="39">
        <v>3.7655390011795131E-2</v>
      </c>
      <c r="F93" s="39">
        <v>2.5536903206168578E-2</v>
      </c>
      <c r="G93" s="39">
        <v>1.2952570572275503E-2</v>
      </c>
      <c r="H93" s="44">
        <v>3.0945258908625001E-2</v>
      </c>
      <c r="I93" s="56">
        <v>1.2091825364353543E-2</v>
      </c>
      <c r="J93" s="39">
        <v>6.6958502862509262E-2</v>
      </c>
      <c r="K93" s="39">
        <v>4.4909298395136563E-2</v>
      </c>
      <c r="L93" s="39">
        <v>2.889268157542783E-2</v>
      </c>
      <c r="M93" s="57">
        <v>2.7605149359617435E-2</v>
      </c>
    </row>
    <row r="94" spans="1:13">
      <c r="A94" s="32" t="s">
        <v>101</v>
      </c>
      <c r="B94" s="33">
        <v>363.03580474853499</v>
      </c>
      <c r="C94" s="34">
        <v>12.457791328430099</v>
      </c>
      <c r="D94" s="49" t="s">
        <v>19</v>
      </c>
      <c r="E94" s="52" t="s">
        <v>19</v>
      </c>
      <c r="F94" s="52" t="s">
        <v>19</v>
      </c>
      <c r="G94" s="52" t="s">
        <v>19</v>
      </c>
      <c r="H94" s="50" t="s">
        <v>19</v>
      </c>
      <c r="I94" s="51" t="s">
        <v>19</v>
      </c>
      <c r="J94" s="43">
        <v>1.1324510679060075E-2</v>
      </c>
      <c r="K94" s="52" t="s">
        <v>19</v>
      </c>
      <c r="L94" s="52" t="s">
        <v>19</v>
      </c>
      <c r="M94" s="53" t="s">
        <v>19</v>
      </c>
    </row>
    <row r="95" spans="1:13">
      <c r="A95" s="32" t="s">
        <v>102</v>
      </c>
      <c r="B95" s="33">
        <v>371.539600917271</v>
      </c>
      <c r="C95" s="34">
        <v>13.280722822461801</v>
      </c>
      <c r="D95" s="35">
        <v>0.65562679910907495</v>
      </c>
      <c r="E95" s="36">
        <v>0.65063871594446299</v>
      </c>
      <c r="F95" s="46">
        <v>1.0370333901197499</v>
      </c>
      <c r="G95" s="36">
        <v>0.48513074482132257</v>
      </c>
      <c r="H95" s="37">
        <v>0.79419325006730446</v>
      </c>
      <c r="I95" s="38">
        <v>0.52467155306480628</v>
      </c>
      <c r="J95" s="36">
        <v>0.45900488085478602</v>
      </c>
      <c r="K95" s="36">
        <v>0.99331684149608745</v>
      </c>
      <c r="L95" s="36">
        <v>0.91614332408780264</v>
      </c>
      <c r="M95" s="40">
        <v>0.91287943555628959</v>
      </c>
    </row>
    <row r="96" spans="1:13">
      <c r="A96" s="32" t="s">
        <v>103</v>
      </c>
      <c r="B96" s="33">
        <v>382.55180576869401</v>
      </c>
      <c r="C96" s="34">
        <v>13.8930928366524</v>
      </c>
      <c r="D96" s="41">
        <v>1.4378083535604326E-2</v>
      </c>
      <c r="E96" s="67">
        <v>2.0794985531572777E-3</v>
      </c>
      <c r="F96" s="39">
        <v>1.7145728798851845E-2</v>
      </c>
      <c r="G96" s="39">
        <v>3.4465524970105646E-2</v>
      </c>
      <c r="H96" s="44">
        <v>5.4862750442925552E-2</v>
      </c>
      <c r="I96" s="42">
        <v>1.1442456921674376E-2</v>
      </c>
      <c r="J96" s="39">
        <v>1.3387931867733089E-2</v>
      </c>
      <c r="K96" s="39">
        <v>3.2880025210620563E-2</v>
      </c>
      <c r="L96" s="39">
        <v>6.6388215412732238E-2</v>
      </c>
      <c r="M96" s="57">
        <v>9.57026243907E-2</v>
      </c>
    </row>
    <row r="97" spans="1:13">
      <c r="A97" s="32" t="s">
        <v>104</v>
      </c>
      <c r="B97" s="33">
        <v>388.94752502441401</v>
      </c>
      <c r="C97" s="34">
        <v>11.011651720319399</v>
      </c>
      <c r="D97" s="54">
        <v>4.2237134136552119E-2</v>
      </c>
      <c r="E97" s="39">
        <v>6.7951486334298136E-2</v>
      </c>
      <c r="F97" s="36">
        <v>0.23547542955721446</v>
      </c>
      <c r="G97" s="39">
        <v>2.8152638659985279E-2</v>
      </c>
      <c r="H97" s="71">
        <v>1.2069257681731524E-2</v>
      </c>
      <c r="I97" s="56">
        <v>1.3868729987203541E-2</v>
      </c>
      <c r="J97" s="43">
        <v>4.4231718120772132E-2</v>
      </c>
      <c r="K97" s="39">
        <v>5.330478936287044E-2</v>
      </c>
      <c r="L97" s="39">
        <v>5.1488105508199676E-2</v>
      </c>
      <c r="M97" s="70">
        <v>3.2581127132211514E-2</v>
      </c>
    </row>
    <row r="98" spans="1:13">
      <c r="A98" s="32" t="s">
        <v>105</v>
      </c>
      <c r="B98" s="33">
        <v>402.011853899274</v>
      </c>
      <c r="C98" s="34">
        <v>13.1481334141322</v>
      </c>
      <c r="D98" s="41">
        <v>1.9606704304262403E-2</v>
      </c>
      <c r="E98" s="36">
        <v>0.10250163522347452</v>
      </c>
      <c r="F98" s="39">
        <v>7.4592783970342608E-2</v>
      </c>
      <c r="G98" s="67">
        <v>7.8209892235314108E-3</v>
      </c>
      <c r="H98" s="44">
        <v>1.080900383022E-2</v>
      </c>
      <c r="I98" s="42">
        <v>2.2427770047243438E-2</v>
      </c>
      <c r="J98" s="36">
        <v>0.13774284289492353</v>
      </c>
      <c r="K98" s="36">
        <v>0.12698622973516999</v>
      </c>
      <c r="L98" s="39">
        <v>4.2399226094406911E-2</v>
      </c>
      <c r="M98" s="57">
        <v>2.3929045245434735E-2</v>
      </c>
    </row>
    <row r="99" spans="1:13">
      <c r="A99" s="32" t="s">
        <v>106</v>
      </c>
      <c r="B99" s="33">
        <v>402.99516413762001</v>
      </c>
      <c r="C99" s="34">
        <v>13.0153763844416</v>
      </c>
      <c r="D99" s="41">
        <v>8.6338875045389507E-2</v>
      </c>
      <c r="E99" s="36">
        <v>0.25495729880273282</v>
      </c>
      <c r="F99" s="36">
        <v>0.21825549129819316</v>
      </c>
      <c r="G99" s="39">
        <v>3.5246218714982659E-2</v>
      </c>
      <c r="H99" s="44">
        <v>4.1270160442472559E-2</v>
      </c>
      <c r="I99" s="42">
        <v>6.4172840851517921E-2</v>
      </c>
      <c r="J99" s="36">
        <v>0.32604726261947059</v>
      </c>
      <c r="K99" s="36">
        <v>0.36695717611812251</v>
      </c>
      <c r="L99" s="36">
        <v>0.14222589404081909</v>
      </c>
      <c r="M99" s="40">
        <v>0.10405098091171645</v>
      </c>
    </row>
    <row r="100" spans="1:13">
      <c r="A100" s="32" t="s">
        <v>107</v>
      </c>
      <c r="B100" s="33">
        <v>417.57284545898398</v>
      </c>
      <c r="C100" s="34">
        <v>14.5386608839035</v>
      </c>
      <c r="D100" s="49" t="s">
        <v>19</v>
      </c>
      <c r="E100" s="52" t="s">
        <v>19</v>
      </c>
      <c r="F100" s="67">
        <v>4.8356524931940899E-3</v>
      </c>
      <c r="G100" s="67">
        <v>7.5945554523986899E-3</v>
      </c>
      <c r="H100" s="44">
        <v>1.1281622729399267E-2</v>
      </c>
      <c r="I100" s="51" t="s">
        <v>19</v>
      </c>
      <c r="J100" s="52" t="s">
        <v>19</v>
      </c>
      <c r="K100" s="52" t="s">
        <v>19</v>
      </c>
      <c r="L100" s="67">
        <v>5.8627885988478418E-3</v>
      </c>
      <c r="M100" s="83">
        <v>5.8521888593538298E-3</v>
      </c>
    </row>
    <row r="101" spans="1:13">
      <c r="A101" s="32" t="s">
        <v>108</v>
      </c>
      <c r="B101" s="33">
        <v>425.550881522042</v>
      </c>
      <c r="C101" s="34">
        <v>12.7961752755301</v>
      </c>
      <c r="D101" s="49" t="s">
        <v>19</v>
      </c>
      <c r="E101" s="52" t="s">
        <v>19</v>
      </c>
      <c r="F101" s="39">
        <v>1.5296395135128378E-2</v>
      </c>
      <c r="G101" s="39">
        <v>1.8307144880977219E-2</v>
      </c>
      <c r="H101" s="44">
        <v>1.9148613373357857E-2</v>
      </c>
      <c r="I101" s="51" t="s">
        <v>19</v>
      </c>
      <c r="J101" s="52" t="s">
        <v>19</v>
      </c>
      <c r="K101" s="52" t="s">
        <v>19</v>
      </c>
      <c r="L101" s="52" t="s">
        <v>19</v>
      </c>
      <c r="M101" s="53" t="s">
        <v>19</v>
      </c>
    </row>
    <row r="102" spans="1:13">
      <c r="A102" s="32" t="s">
        <v>109</v>
      </c>
      <c r="B102" s="33">
        <v>426.02054067758399</v>
      </c>
      <c r="C102" s="34">
        <v>12.0898995766272</v>
      </c>
      <c r="D102" s="76">
        <v>2.2813924678541345E-3</v>
      </c>
      <c r="E102" s="73">
        <v>3.7796479151588885E-3</v>
      </c>
      <c r="F102" s="73">
        <v>4.2694965260268751E-3</v>
      </c>
      <c r="G102" s="73">
        <v>1.563730683852998E-3</v>
      </c>
      <c r="H102" s="55">
        <v>2.4128329799314838E-3</v>
      </c>
      <c r="I102" s="77">
        <v>3.398416002160792E-3</v>
      </c>
      <c r="J102" s="73">
        <v>7.0425741524255594E-3</v>
      </c>
      <c r="K102" s="73">
        <v>5.022240427844606E-3</v>
      </c>
      <c r="L102" s="43">
        <v>1.0211457416464079E-2</v>
      </c>
      <c r="M102" s="74">
        <v>9.3072257468995393E-3</v>
      </c>
    </row>
    <row r="103" spans="1:13">
      <c r="A103" s="32" t="s">
        <v>110</v>
      </c>
      <c r="B103" s="33">
        <v>426.02268981933503</v>
      </c>
      <c r="C103" s="34">
        <v>13.584185055323999</v>
      </c>
      <c r="D103" s="35">
        <v>0.69794606719559804</v>
      </c>
      <c r="E103" s="46">
        <v>1.2021828407338748</v>
      </c>
      <c r="F103" s="36">
        <v>0.88589936635374422</v>
      </c>
      <c r="G103" s="36">
        <v>0.2322405365305</v>
      </c>
      <c r="H103" s="37">
        <v>0.32709195641521471</v>
      </c>
      <c r="I103" s="38">
        <v>0.63030901087821767</v>
      </c>
      <c r="J103" s="46">
        <v>1.4173276535246102</v>
      </c>
      <c r="K103" s="46">
        <v>1.4222965438199688</v>
      </c>
      <c r="L103" s="36">
        <v>0.94745226654769088</v>
      </c>
      <c r="M103" s="40">
        <v>0.73784717236006581</v>
      </c>
    </row>
    <row r="104" spans="1:13">
      <c r="A104" s="32" t="s">
        <v>111</v>
      </c>
      <c r="B104" s="33">
        <v>440.13442382812502</v>
      </c>
      <c r="C104" s="34">
        <v>14.266759490966701</v>
      </c>
      <c r="D104" s="49" t="s">
        <v>19</v>
      </c>
      <c r="E104" s="39">
        <v>4.6472555625568984E-2</v>
      </c>
      <c r="F104" s="52" t="s">
        <v>19</v>
      </c>
      <c r="G104" s="52" t="s">
        <v>19</v>
      </c>
      <c r="H104" s="50" t="s">
        <v>19</v>
      </c>
      <c r="I104" s="51" t="s">
        <v>19</v>
      </c>
      <c r="J104" s="39">
        <v>2.4927935013791029E-2</v>
      </c>
      <c r="K104" s="52" t="s">
        <v>19</v>
      </c>
      <c r="L104" s="52" t="s">
        <v>19</v>
      </c>
      <c r="M104" s="53" t="s">
        <v>19</v>
      </c>
    </row>
    <row r="105" spans="1:13">
      <c r="A105" s="32" t="s">
        <v>112</v>
      </c>
      <c r="B105" s="33">
        <v>442.01733834402899</v>
      </c>
      <c r="C105" s="34">
        <v>13.870095934186599</v>
      </c>
      <c r="D105" s="41">
        <v>8.3449005809551724E-2</v>
      </c>
      <c r="E105" s="39">
        <v>8.2587901912770365E-2</v>
      </c>
      <c r="F105" s="39">
        <v>8.6811912727794024E-2</v>
      </c>
      <c r="G105" s="73">
        <v>5.5410261760524392E-3</v>
      </c>
      <c r="H105" s="79">
        <v>6.4141548999832069E-3</v>
      </c>
      <c r="I105" s="42">
        <v>7.6513993018315532E-2</v>
      </c>
      <c r="J105" s="36">
        <v>0.21069202787324706</v>
      </c>
      <c r="K105" s="36">
        <v>0.19749113857936437</v>
      </c>
      <c r="L105" s="36">
        <v>0.10663587684560527</v>
      </c>
      <c r="M105" s="57">
        <v>8.6272725794173027E-2</v>
      </c>
    </row>
    <row r="106" spans="1:13">
      <c r="A106" s="32" t="s">
        <v>113</v>
      </c>
      <c r="B106" s="33">
        <v>462.06792195638002</v>
      </c>
      <c r="C106" s="34">
        <v>11.9282875061035</v>
      </c>
      <c r="D106" s="49" t="s">
        <v>19</v>
      </c>
      <c r="E106" s="67">
        <v>9.2419813341483789E-3</v>
      </c>
      <c r="F106" s="67">
        <v>5.3590754528488353E-3</v>
      </c>
      <c r="G106" s="73">
        <v>1.3344734924515865E-3</v>
      </c>
      <c r="H106" s="79">
        <v>2.2583476240972448E-3</v>
      </c>
      <c r="I106" s="51" t="s">
        <v>19</v>
      </c>
      <c r="J106" s="39">
        <v>2.2191551599550292E-2</v>
      </c>
      <c r="K106" s="39">
        <v>2.3242950528413811E-2</v>
      </c>
      <c r="L106" s="52" t="s">
        <v>19</v>
      </c>
      <c r="M106" s="53" t="s">
        <v>19</v>
      </c>
    </row>
    <row r="107" spans="1:13">
      <c r="A107" s="32" t="s">
        <v>114</v>
      </c>
      <c r="B107" s="33">
        <v>465.98344203404002</v>
      </c>
      <c r="C107" s="34">
        <v>12.6163204738071</v>
      </c>
      <c r="D107" s="41">
        <v>1.1694922540299038E-2</v>
      </c>
      <c r="E107" s="67">
        <v>8.706464586508195E-3</v>
      </c>
      <c r="F107" s="39">
        <v>1.7852422867201078E-2</v>
      </c>
      <c r="G107" s="67">
        <v>3.3709460538174593E-3</v>
      </c>
      <c r="H107" s="79">
        <v>2.1294775929916227E-3</v>
      </c>
      <c r="I107" s="42">
        <v>1.6789326872177605E-2</v>
      </c>
      <c r="J107" s="67">
        <v>6.9588036175106402E-3</v>
      </c>
      <c r="K107" s="67">
        <v>8.3487177240331254E-3</v>
      </c>
      <c r="L107" s="39">
        <v>1.0107971600785396E-2</v>
      </c>
      <c r="M107" s="83">
        <v>5.0195222738281774E-3</v>
      </c>
    </row>
    <row r="108" spans="1:13">
      <c r="A108" s="32" t="s">
        <v>115</v>
      </c>
      <c r="B108" s="33">
        <v>480.98268781389498</v>
      </c>
      <c r="C108" s="34">
        <v>12.8240542411804</v>
      </c>
      <c r="D108" s="54">
        <v>1.2737008096058653E-2</v>
      </c>
      <c r="E108" s="43">
        <v>1.478986028917759E-2</v>
      </c>
      <c r="F108" s="39">
        <v>3.6247613574363631E-2</v>
      </c>
      <c r="G108" s="73">
        <v>5.5025414452510276E-3</v>
      </c>
      <c r="H108" s="55">
        <v>3.8512603372772283E-3</v>
      </c>
      <c r="I108" s="56">
        <v>2.2419965151525625E-2</v>
      </c>
      <c r="J108" s="43">
        <v>2.2793433513496469E-2</v>
      </c>
      <c r="K108" s="43">
        <v>1.7317382232089687E-2</v>
      </c>
      <c r="L108" s="43">
        <v>1.0276513295449407E-2</v>
      </c>
      <c r="M108" s="74">
        <v>5.514970584181763E-3</v>
      </c>
    </row>
    <row r="109" spans="1:13">
      <c r="A109" s="32" t="s">
        <v>116</v>
      </c>
      <c r="B109" s="33">
        <v>481.97798810686299</v>
      </c>
      <c r="C109" s="34">
        <v>12.6465452057974</v>
      </c>
      <c r="D109" s="35">
        <v>0.5889136817549</v>
      </c>
      <c r="E109" s="36">
        <v>0.67821635114196754</v>
      </c>
      <c r="F109" s="46">
        <v>1.0634682762401619</v>
      </c>
      <c r="G109" s="36">
        <v>0.13896873404487298</v>
      </c>
      <c r="H109" s="37">
        <v>0.11312780662530708</v>
      </c>
      <c r="I109" s="38">
        <v>0.61320819759894996</v>
      </c>
      <c r="J109" s="36">
        <v>0.59478887361050803</v>
      </c>
      <c r="K109" s="36">
        <v>0.86099209190536874</v>
      </c>
      <c r="L109" s="36">
        <v>0.72750804833764482</v>
      </c>
      <c r="M109" s="40">
        <v>0.47414152150105332</v>
      </c>
    </row>
    <row r="110" spans="1:13">
      <c r="A110" s="32" t="s">
        <v>117</v>
      </c>
      <c r="B110" s="33">
        <v>482.96200997488802</v>
      </c>
      <c r="C110" s="34">
        <v>12.523875849587499</v>
      </c>
      <c r="D110" s="68">
        <v>1.747669868392798</v>
      </c>
      <c r="E110" s="46">
        <v>1.4487910730510092</v>
      </c>
      <c r="F110" s="46">
        <v>2.7150978218500081</v>
      </c>
      <c r="G110" s="36">
        <v>0.61852489632397178</v>
      </c>
      <c r="H110" s="37">
        <v>0.47790939434165497</v>
      </c>
      <c r="I110" s="69">
        <v>1.6474657126316041</v>
      </c>
      <c r="J110" s="46">
        <v>1.2542837234744044</v>
      </c>
      <c r="K110" s="46">
        <v>2.1590348788414437</v>
      </c>
      <c r="L110" s="46">
        <v>2.0142870141892368</v>
      </c>
      <c r="M110" s="48">
        <v>1.6504525007841711</v>
      </c>
    </row>
    <row r="111" spans="1:13">
      <c r="A111" s="32" t="s">
        <v>118</v>
      </c>
      <c r="B111" s="33">
        <v>489.99322509765602</v>
      </c>
      <c r="C111" s="34">
        <v>13.029400444030699</v>
      </c>
      <c r="D111" s="49" t="s">
        <v>19</v>
      </c>
      <c r="E111" s="52" t="s">
        <v>19</v>
      </c>
      <c r="F111" s="43">
        <v>1.3159184214132215E-2</v>
      </c>
      <c r="G111" s="52" t="s">
        <v>19</v>
      </c>
      <c r="H111" s="50" t="s">
        <v>19</v>
      </c>
      <c r="I111" s="51" t="s">
        <v>19</v>
      </c>
      <c r="J111" s="52" t="s">
        <v>19</v>
      </c>
      <c r="K111" s="52" t="s">
        <v>19</v>
      </c>
      <c r="L111" s="52" t="s">
        <v>19</v>
      </c>
      <c r="M111" s="53" t="s">
        <v>19</v>
      </c>
    </row>
    <row r="112" spans="1:13">
      <c r="A112" s="32" t="s">
        <v>119</v>
      </c>
      <c r="B112" s="33">
        <v>505.98940604073601</v>
      </c>
      <c r="C112" s="34">
        <v>12.964594159807399</v>
      </c>
      <c r="D112" s="62">
        <v>11.766774241466441</v>
      </c>
      <c r="E112" s="46">
        <v>7.267880089728286</v>
      </c>
      <c r="F112" s="66">
        <v>11.350381075108722</v>
      </c>
      <c r="G112" s="46">
        <v>3.1315574737483063</v>
      </c>
      <c r="H112" s="47">
        <v>3.0375772410600548</v>
      </c>
      <c r="I112" s="65">
        <v>10.741875707189791</v>
      </c>
      <c r="J112" s="46">
        <v>6.5724748118437137</v>
      </c>
      <c r="K112" s="46">
        <v>9.8016459264238129</v>
      </c>
      <c r="L112" s="66">
        <v>10.616094818068685</v>
      </c>
      <c r="M112" s="48">
        <v>8.8417267128078958</v>
      </c>
    </row>
    <row r="113" spans="1:13">
      <c r="A113" s="32" t="s">
        <v>120</v>
      </c>
      <c r="B113" s="33">
        <v>521.98360770089198</v>
      </c>
      <c r="C113" s="34">
        <v>13.242084230695401</v>
      </c>
      <c r="D113" s="68">
        <v>1.1579954728115864</v>
      </c>
      <c r="E113" s="46">
        <v>1.3267083443440231</v>
      </c>
      <c r="F113" s="46">
        <v>2.3398262286522269</v>
      </c>
      <c r="G113" s="36">
        <v>0.32519491607413509</v>
      </c>
      <c r="H113" s="37">
        <v>0.26877806251241226</v>
      </c>
      <c r="I113" s="69">
        <v>1.0763268434898126</v>
      </c>
      <c r="J113" s="46">
        <v>1.1009473374137206</v>
      </c>
      <c r="K113" s="46">
        <v>1.4091923442351688</v>
      </c>
      <c r="L113" s="46">
        <v>1.1460480743863355</v>
      </c>
      <c r="M113" s="40">
        <v>0.95618854234364481</v>
      </c>
    </row>
    <row r="114" spans="1:13">
      <c r="A114" s="32" t="s">
        <v>121</v>
      </c>
      <c r="B114" s="33">
        <v>547.11876971904996</v>
      </c>
      <c r="C114" s="34">
        <v>23.489896040696301</v>
      </c>
      <c r="D114" s="41">
        <v>7.4961600177052404E-2</v>
      </c>
      <c r="E114" s="39">
        <v>4.5300743937334534E-2</v>
      </c>
      <c r="F114" s="39">
        <v>2.6168091653349317E-2</v>
      </c>
      <c r="G114" s="39">
        <v>4.9401346271845767E-2</v>
      </c>
      <c r="H114" s="44">
        <v>7.5235227641535327E-2</v>
      </c>
      <c r="I114" s="42">
        <v>7.2580116876593437E-2</v>
      </c>
      <c r="J114" s="36">
        <v>0.10558254252071103</v>
      </c>
      <c r="K114" s="39">
        <v>7.1703250628337503E-2</v>
      </c>
      <c r="L114" s="39">
        <v>7.4560135319900009E-2</v>
      </c>
      <c r="M114" s="57">
        <v>2.9076593058643817E-2</v>
      </c>
    </row>
    <row r="115" spans="1:13">
      <c r="A115" s="32" t="s">
        <v>122</v>
      </c>
      <c r="B115" s="33">
        <v>558.065344238281</v>
      </c>
      <c r="C115" s="34">
        <v>16.919307708740199</v>
      </c>
      <c r="D115" s="49" t="s">
        <v>19</v>
      </c>
      <c r="E115" s="52" t="s">
        <v>19</v>
      </c>
      <c r="F115" s="52" t="s">
        <v>19</v>
      </c>
      <c r="G115" s="43">
        <v>2.1053679101280441E-2</v>
      </c>
      <c r="H115" s="44">
        <v>2.575435200473174E-2</v>
      </c>
      <c r="I115" s="51" t="s">
        <v>19</v>
      </c>
      <c r="J115" s="52" t="s">
        <v>19</v>
      </c>
      <c r="K115" s="52" t="s">
        <v>19</v>
      </c>
      <c r="L115" s="52" t="s">
        <v>19</v>
      </c>
      <c r="M115" s="53" t="s">
        <v>19</v>
      </c>
    </row>
    <row r="116" spans="1:13">
      <c r="A116" s="32" t="s">
        <v>123</v>
      </c>
      <c r="B116" s="33">
        <v>565.04763089693495</v>
      </c>
      <c r="C116" s="34">
        <v>16.642213234534601</v>
      </c>
      <c r="D116" s="35">
        <v>0.93467117141407974</v>
      </c>
      <c r="E116" s="36">
        <v>0.48994255000483333</v>
      </c>
      <c r="F116" s="36">
        <v>0.89810939444955962</v>
      </c>
      <c r="G116" s="36">
        <v>0.77901131889623787</v>
      </c>
      <c r="H116" s="37">
        <v>0.83395580249654078</v>
      </c>
      <c r="I116" s="38">
        <v>0.84648659617243849</v>
      </c>
      <c r="J116" s="36">
        <v>0.44768157466958974</v>
      </c>
      <c r="K116" s="36">
        <v>0.70422623962251873</v>
      </c>
      <c r="L116" s="36">
        <v>0.92198165716081593</v>
      </c>
      <c r="M116" s="48">
        <v>0.99902591751625014</v>
      </c>
    </row>
    <row r="117" spans="1:13">
      <c r="A117" s="32" t="s">
        <v>124</v>
      </c>
      <c r="B117" s="33">
        <v>579.02767709585305</v>
      </c>
      <c r="C117" s="34">
        <v>13.4888814045832</v>
      </c>
      <c r="D117" s="35">
        <v>0.69725511637120474</v>
      </c>
      <c r="E117" s="36">
        <v>0.98996082678187025</v>
      </c>
      <c r="F117" s="46">
        <v>1.5582691328001534</v>
      </c>
      <c r="G117" s="36">
        <v>0.60205353639501613</v>
      </c>
      <c r="H117" s="37">
        <v>0.47823192081216037</v>
      </c>
      <c r="I117" s="38">
        <v>0.59965112636569895</v>
      </c>
      <c r="J117" s="36">
        <v>0.69291965447239046</v>
      </c>
      <c r="K117" s="36">
        <v>0.90383338403535629</v>
      </c>
      <c r="L117" s="36">
        <v>0.77311278967619079</v>
      </c>
      <c r="M117" s="40">
        <v>0.68289895094844077</v>
      </c>
    </row>
    <row r="118" spans="1:13">
      <c r="A118" s="32" t="s">
        <v>125</v>
      </c>
      <c r="B118" s="33">
        <v>588.07332669771597</v>
      </c>
      <c r="C118" s="34">
        <v>17.3380728501539</v>
      </c>
      <c r="D118" s="41">
        <v>3.9346994994092784E-2</v>
      </c>
      <c r="E118" s="39">
        <v>3.840962298341722E-2</v>
      </c>
      <c r="F118" s="39">
        <v>5.7042119016670736E-2</v>
      </c>
      <c r="G118" s="39">
        <v>6.2089896211361094E-2</v>
      </c>
      <c r="H118" s="44">
        <v>7.7953824831738058E-2</v>
      </c>
      <c r="I118" s="42">
        <v>3.2277112876143439E-2</v>
      </c>
      <c r="J118" s="39">
        <v>2.9597026670245077E-2</v>
      </c>
      <c r="K118" s="39">
        <v>4.1162839954687939E-2</v>
      </c>
      <c r="L118" s="39">
        <v>4.0076862279925463E-2</v>
      </c>
      <c r="M118" s="57">
        <v>4.1121980728026773E-2</v>
      </c>
    </row>
    <row r="119" spans="1:13">
      <c r="A119" s="32" t="s">
        <v>126</v>
      </c>
      <c r="B119" s="33">
        <v>604.06925142728301</v>
      </c>
      <c r="C119" s="34">
        <v>17.413320247943499</v>
      </c>
      <c r="D119" s="41">
        <v>3.9546029209071444E-2</v>
      </c>
      <c r="E119" s="39">
        <v>1.8110938300348562E-2</v>
      </c>
      <c r="F119" s="39">
        <v>3.8713328490019031E-2</v>
      </c>
      <c r="G119" s="39">
        <v>5.0401016083191932E-2</v>
      </c>
      <c r="H119" s="44">
        <v>8.7981215377562233E-2</v>
      </c>
      <c r="I119" s="42">
        <v>3.1048382793233544E-2</v>
      </c>
      <c r="J119" s="67">
        <v>8.3630148072567651E-3</v>
      </c>
      <c r="K119" s="39">
        <v>1.7784303586078749E-2</v>
      </c>
      <c r="L119" s="39">
        <v>1.8943932603590528E-2</v>
      </c>
      <c r="M119" s="57">
        <v>2.6406153132533947E-2</v>
      </c>
    </row>
    <row r="120" spans="1:13">
      <c r="A120" s="32" t="s">
        <v>127</v>
      </c>
      <c r="B120" s="33">
        <v>606.07484318659795</v>
      </c>
      <c r="C120" s="34">
        <v>16.985990377572801</v>
      </c>
      <c r="D120" s="68">
        <v>1.2492498555796825</v>
      </c>
      <c r="E120" s="36">
        <v>0.90844744049653703</v>
      </c>
      <c r="F120" s="46">
        <v>1.7326428733969146</v>
      </c>
      <c r="G120" s="46">
        <v>2.5937875593840318</v>
      </c>
      <c r="H120" s="47">
        <v>3.4103002900665764</v>
      </c>
      <c r="I120" s="69">
        <v>1.0808520389332708</v>
      </c>
      <c r="J120" s="36">
        <v>0.80873758887347802</v>
      </c>
      <c r="K120" s="46">
        <v>1.4840738326910188</v>
      </c>
      <c r="L120" s="46">
        <v>1.8294123855945263</v>
      </c>
      <c r="M120" s="48">
        <v>1.8501628788383684</v>
      </c>
    </row>
    <row r="121" spans="1:13">
      <c r="A121" s="32" t="s">
        <v>128</v>
      </c>
      <c r="B121" s="33">
        <v>613.139840932992</v>
      </c>
      <c r="C121" s="34">
        <v>17.722061597383899</v>
      </c>
      <c r="D121" s="35">
        <v>0.21834729876093364</v>
      </c>
      <c r="E121" s="36">
        <v>0.10024462110239489</v>
      </c>
      <c r="F121" s="36">
        <v>0.17513617068433576</v>
      </c>
      <c r="G121" s="36">
        <v>0.18714753144318932</v>
      </c>
      <c r="H121" s="37">
        <v>0.21323515316203046</v>
      </c>
      <c r="I121" s="38">
        <v>0.15496424602805625</v>
      </c>
      <c r="J121" s="39">
        <v>6.7619952487968898E-2</v>
      </c>
      <c r="K121" s="36">
        <v>0.14582748277018626</v>
      </c>
      <c r="L121" s="36">
        <v>0.40316297363146514</v>
      </c>
      <c r="M121" s="40">
        <v>0.42695099542106379</v>
      </c>
    </row>
    <row r="122" spans="1:13">
      <c r="A122" s="32" t="s">
        <v>129</v>
      </c>
      <c r="B122" s="33">
        <v>662.10178048269995</v>
      </c>
      <c r="C122" s="34">
        <v>25.155381202697701</v>
      </c>
      <c r="D122" s="35">
        <v>0.94961415035517782</v>
      </c>
      <c r="E122" s="36">
        <v>0.66496913984318518</v>
      </c>
      <c r="F122" s="46">
        <v>1.4629998364364516</v>
      </c>
      <c r="G122" s="46">
        <v>2.508271186227137</v>
      </c>
      <c r="H122" s="47">
        <v>3.359675528920544</v>
      </c>
      <c r="I122" s="38">
        <v>0.72337146843241362</v>
      </c>
      <c r="J122" s="36">
        <v>0.6103412771612875</v>
      </c>
      <c r="K122" s="36">
        <v>0.8482617161353625</v>
      </c>
      <c r="L122" s="46">
        <v>1.3952511626866448</v>
      </c>
      <c r="M122" s="48">
        <v>1.6990711121419935</v>
      </c>
    </row>
    <row r="123" spans="1:13">
      <c r="A123" s="32" t="s">
        <v>130</v>
      </c>
      <c r="B123" s="33">
        <v>664.11788940429597</v>
      </c>
      <c r="C123" s="34">
        <v>17.681253296988299</v>
      </c>
      <c r="D123" s="35">
        <v>0.26788098627632401</v>
      </c>
      <c r="E123" s="36">
        <v>0.56692444036012035</v>
      </c>
      <c r="F123" s="36">
        <v>0.55699180505814483</v>
      </c>
      <c r="G123" s="36">
        <v>0.60995815133724796</v>
      </c>
      <c r="H123" s="47">
        <v>1.2168154230564974</v>
      </c>
      <c r="I123" s="38">
        <v>0.32585818825500207</v>
      </c>
      <c r="J123" s="36">
        <v>0.44060454697449414</v>
      </c>
      <c r="K123" s="36">
        <v>0.42325372153895124</v>
      </c>
      <c r="L123" s="36">
        <v>0.35337967998443426</v>
      </c>
      <c r="M123" s="40">
        <v>0.34717308873547503</v>
      </c>
    </row>
    <row r="124" spans="1:13">
      <c r="A124" s="32" t="s">
        <v>131</v>
      </c>
      <c r="B124" s="33">
        <v>742.06804547990998</v>
      </c>
      <c r="C124" s="34">
        <v>15.2896976470947</v>
      </c>
      <c r="D124" s="41">
        <v>3.1732189588144714E-2</v>
      </c>
      <c r="E124" s="39">
        <v>2.543254364510018E-2</v>
      </c>
      <c r="F124" s="39">
        <v>3.9526650604430114E-2</v>
      </c>
      <c r="G124" s="39">
        <v>2.7400853332437497E-2</v>
      </c>
      <c r="H124" s="44">
        <v>4.2564426314749736E-2</v>
      </c>
      <c r="I124" s="42">
        <v>1.8227278558775938E-2</v>
      </c>
      <c r="J124" s="39">
        <v>2.2331776050868456E-2</v>
      </c>
      <c r="K124" s="39">
        <v>2.6141295723557188E-2</v>
      </c>
      <c r="L124" s="39">
        <v>4.393999523443487E-2</v>
      </c>
      <c r="M124" s="57">
        <v>4.3983037749144603E-2</v>
      </c>
    </row>
    <row r="125" spans="1:13" ht="15" thickBot="1">
      <c r="A125" s="84" t="s">
        <v>132</v>
      </c>
      <c r="B125" s="85">
        <v>784.14923531668501</v>
      </c>
      <c r="C125" s="86">
        <v>18.574621745518201</v>
      </c>
      <c r="D125" s="87">
        <v>3.6904137282735769E-2</v>
      </c>
      <c r="E125" s="88">
        <v>3.4732909287090365E-2</v>
      </c>
      <c r="F125" s="88">
        <v>4.1680728905243464E-2</v>
      </c>
      <c r="G125" s="88">
        <v>6.6417172433147167E-2</v>
      </c>
      <c r="H125" s="89">
        <v>0.11393897095609457</v>
      </c>
      <c r="I125" s="90">
        <v>2.8783570580828647E-2</v>
      </c>
      <c r="J125" s="88">
        <v>2.0023903230300146E-2</v>
      </c>
      <c r="K125" s="88">
        <v>4.050451960819644E-2</v>
      </c>
      <c r="L125" s="88">
        <v>4.7194864122168487E-2</v>
      </c>
      <c r="M125" s="91">
        <v>7.0147833836634213E-2</v>
      </c>
    </row>
    <row r="126" spans="1:13">
      <c r="A126" s="135"/>
      <c r="B126" s="135"/>
      <c r="C126" s="136"/>
      <c r="D126" s="92" t="s">
        <v>133</v>
      </c>
      <c r="E126" s="93" t="s">
        <v>134</v>
      </c>
      <c r="F126" s="93" t="s">
        <v>135</v>
      </c>
      <c r="G126" s="93" t="s">
        <v>136</v>
      </c>
      <c r="H126" s="94" t="s">
        <v>137</v>
      </c>
      <c r="I126" s="95" t="s">
        <v>138</v>
      </c>
      <c r="J126" s="93" t="s">
        <v>139</v>
      </c>
      <c r="K126" s="93" t="s">
        <v>140</v>
      </c>
      <c r="L126" s="93" t="s">
        <v>141</v>
      </c>
      <c r="M126" s="96">
        <v>10</v>
      </c>
    </row>
    <row r="127" spans="1:13" ht="15" thickBot="1">
      <c r="A127" s="137"/>
      <c r="B127" s="137"/>
      <c r="C127" s="138"/>
      <c r="D127" s="139">
        <v>42401</v>
      </c>
      <c r="E127" s="140"/>
      <c r="F127" s="140"/>
      <c r="G127" s="140"/>
      <c r="H127" s="140"/>
      <c r="I127" s="140"/>
      <c r="J127" s="140"/>
      <c r="K127" s="140"/>
      <c r="L127" s="140"/>
      <c r="M127" s="141"/>
    </row>
  </sheetData>
  <mergeCells count="9">
    <mergeCell ref="B3:C3"/>
    <mergeCell ref="B4:C4"/>
    <mergeCell ref="A126:C126"/>
    <mergeCell ref="A127:C127"/>
    <mergeCell ref="D127:M127"/>
    <mergeCell ref="A2:A5"/>
    <mergeCell ref="B2:C2"/>
    <mergeCell ref="D2:H2"/>
    <mergeCell ref="I2:M2"/>
  </mergeCells>
  <phoneticPr fontId="4"/>
  <printOptions horizontalCentered="1" verticalCentered="1"/>
  <pageMargins left="0.19685039370078741" right="0.19685039370078741" top="0.59055118110236227" bottom="0.59055118110236227" header="0.31496062992125984" footer="0.31496062992125984"/>
  <pageSetup paperSize="8" scale="63" orientation="portrait" r:id="rId1"/>
  <headerFooter scaleWithDoc="0">
    <oddFooter>&amp;C&amp;F&amp;A&amp;R&amp;P/&amp;N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134"/>
  <sheetViews>
    <sheetView zoomScale="70" zoomScaleNormal="70" workbookViewId="0">
      <pane xSplit="3" ySplit="5" topLeftCell="D6" activePane="bottomRight" state="frozen"/>
      <selection activeCell="B5" sqref="A5:XFD5"/>
      <selection pane="topRight" activeCell="B5" sqref="A5:XFD5"/>
      <selection pane="bottomLeft" activeCell="B5" sqref="A5:XFD5"/>
      <selection pane="bottomRight"/>
    </sheetView>
  </sheetViews>
  <sheetFormatPr defaultRowHeight="14.25"/>
  <cols>
    <col min="1" max="1" width="36.125" style="1" bestFit="1" customWidth="1"/>
    <col min="2" max="2" width="10.875" style="1" bestFit="1" customWidth="1"/>
    <col min="3" max="3" width="10.625" style="1" bestFit="1" customWidth="1"/>
    <col min="4" max="16384" width="9" style="1"/>
  </cols>
  <sheetData>
    <row r="1" spans="1:14" ht="18.75" thickBot="1">
      <c r="A1" s="132" t="s">
        <v>281</v>
      </c>
      <c r="B1" s="2"/>
      <c r="M1" s="3"/>
    </row>
    <row r="2" spans="1:14" ht="15">
      <c r="A2" s="142" t="s">
        <v>143</v>
      </c>
      <c r="B2" s="145" t="s">
        <v>0</v>
      </c>
      <c r="C2" s="146"/>
      <c r="D2" s="147" t="s">
        <v>1</v>
      </c>
      <c r="E2" s="148"/>
      <c r="F2" s="148"/>
      <c r="G2" s="148"/>
      <c r="H2" s="149"/>
      <c r="I2" s="150" t="s">
        <v>7</v>
      </c>
      <c r="J2" s="151"/>
      <c r="K2" s="151"/>
      <c r="L2" s="151"/>
      <c r="M2" s="152"/>
    </row>
    <row r="3" spans="1:14" ht="30" customHeight="1">
      <c r="A3" s="143"/>
      <c r="B3" s="133" t="s">
        <v>144</v>
      </c>
      <c r="C3" s="134"/>
      <c r="D3" s="5" t="s">
        <v>2</v>
      </c>
      <c r="E3" s="6" t="s">
        <v>3</v>
      </c>
      <c r="F3" s="6" t="s">
        <v>4</v>
      </c>
      <c r="G3" s="6" t="s">
        <v>5</v>
      </c>
      <c r="H3" s="7" t="s">
        <v>6</v>
      </c>
      <c r="I3" s="8" t="s">
        <v>2</v>
      </c>
      <c r="J3" s="6" t="s">
        <v>3</v>
      </c>
      <c r="K3" s="6" t="s">
        <v>4</v>
      </c>
      <c r="L3" s="6" t="s">
        <v>5</v>
      </c>
      <c r="M3" s="9" t="s">
        <v>6</v>
      </c>
    </row>
    <row r="4" spans="1:14" ht="30" customHeight="1">
      <c r="A4" s="143"/>
      <c r="B4" s="133" t="s">
        <v>142</v>
      </c>
      <c r="C4" s="134"/>
      <c r="D4" s="10">
        <v>1.3</v>
      </c>
      <c r="E4" s="11">
        <v>2.7</v>
      </c>
      <c r="F4" s="11">
        <v>4.4000000000000004</v>
      </c>
      <c r="G4" s="11">
        <v>6.2</v>
      </c>
      <c r="H4" s="12">
        <v>4.5999999999999996</v>
      </c>
      <c r="I4" s="13">
        <v>1.2</v>
      </c>
      <c r="J4" s="11">
        <v>1.7</v>
      </c>
      <c r="K4" s="11">
        <v>2</v>
      </c>
      <c r="L4" s="11">
        <v>1.9</v>
      </c>
      <c r="M4" s="14">
        <v>1.9</v>
      </c>
    </row>
    <row r="5" spans="1:14" s="22" customFormat="1" ht="15" thickBot="1">
      <c r="A5" s="144"/>
      <c r="B5" s="15" t="s">
        <v>10</v>
      </c>
      <c r="C5" s="16" t="s">
        <v>11</v>
      </c>
      <c r="D5" s="17">
        <v>1</v>
      </c>
      <c r="E5" s="18">
        <v>2</v>
      </c>
      <c r="F5" s="18">
        <v>3</v>
      </c>
      <c r="G5" s="18">
        <v>4</v>
      </c>
      <c r="H5" s="19">
        <v>5</v>
      </c>
      <c r="I5" s="20">
        <v>6</v>
      </c>
      <c r="J5" s="18">
        <v>7</v>
      </c>
      <c r="K5" s="18">
        <v>8</v>
      </c>
      <c r="L5" s="18">
        <v>9</v>
      </c>
      <c r="M5" s="21">
        <v>10</v>
      </c>
    </row>
    <row r="6" spans="1:14">
      <c r="A6" s="23" t="s">
        <v>145</v>
      </c>
      <c r="B6" s="24">
        <v>61.041243144444003</v>
      </c>
      <c r="C6" s="25">
        <v>26.454373768397701</v>
      </c>
      <c r="D6" s="97">
        <v>1.2107024742405865</v>
      </c>
      <c r="E6" s="98">
        <v>1.1175688572615323</v>
      </c>
      <c r="F6" s="98">
        <v>1.0892199332619374</v>
      </c>
      <c r="G6" s="98">
        <v>1.0131415434004294</v>
      </c>
      <c r="H6" s="99">
        <v>1.4894073865146793</v>
      </c>
      <c r="I6" s="100">
        <v>1.0689407107042603</v>
      </c>
      <c r="J6" s="101">
        <v>1.379078804629897</v>
      </c>
      <c r="K6" s="101">
        <v>1.2792977619661374</v>
      </c>
      <c r="L6" s="101">
        <v>1.1827051894493883</v>
      </c>
      <c r="M6" s="102">
        <v>1.527064972325316</v>
      </c>
      <c r="N6" s="1">
        <f>COUNTIF(D6:M6,"N.D.")</f>
        <v>0</v>
      </c>
    </row>
    <row r="7" spans="1:14">
      <c r="A7" s="32" t="s">
        <v>146</v>
      </c>
      <c r="B7" s="33">
        <v>76.041161600748694</v>
      </c>
      <c r="C7" s="34">
        <v>10.919277000427201</v>
      </c>
      <c r="D7" s="108">
        <v>57.925580160046728</v>
      </c>
      <c r="E7" s="109">
        <v>24.85531784997125</v>
      </c>
      <c r="F7" s="109">
        <v>22.100190020000138</v>
      </c>
      <c r="G7" s="110">
        <v>22.946193829373385</v>
      </c>
      <c r="H7" s="111">
        <v>30.10857838522799</v>
      </c>
      <c r="I7" s="112">
        <v>49.189671771106255</v>
      </c>
      <c r="J7" s="109">
        <v>30.640200528078022</v>
      </c>
      <c r="K7" s="109">
        <v>33.959466750353123</v>
      </c>
      <c r="L7" s="109">
        <v>33.356940956360987</v>
      </c>
      <c r="M7" s="113">
        <v>33.558898785597364</v>
      </c>
      <c r="N7" s="1">
        <f t="shared" ref="N7:N32" si="0">COUNTIF(D7:M7,"N.D.")</f>
        <v>0</v>
      </c>
    </row>
    <row r="8" spans="1:14">
      <c r="A8" s="32" t="s">
        <v>147</v>
      </c>
      <c r="B8" s="33">
        <v>76.076947893415095</v>
      </c>
      <c r="C8" s="34">
        <v>8.7585797991071406</v>
      </c>
      <c r="D8" s="103" t="s">
        <v>19</v>
      </c>
      <c r="E8" s="104" t="s">
        <v>19</v>
      </c>
      <c r="F8" s="73">
        <v>3.5860996075589772E-3</v>
      </c>
      <c r="G8" s="73">
        <v>4.5488246669539521E-3</v>
      </c>
      <c r="H8" s="105" t="s">
        <v>19</v>
      </c>
      <c r="I8" s="106" t="s">
        <v>19</v>
      </c>
      <c r="J8" s="104" t="s">
        <v>19</v>
      </c>
      <c r="K8" s="73">
        <v>5.9000936087960434E-3</v>
      </c>
      <c r="L8" s="104" t="s">
        <v>19</v>
      </c>
      <c r="M8" s="107" t="s">
        <v>19</v>
      </c>
      <c r="N8" s="1">
        <f t="shared" si="0"/>
        <v>7</v>
      </c>
    </row>
    <row r="9" spans="1:14">
      <c r="A9" s="32" t="s">
        <v>148</v>
      </c>
      <c r="B9" s="33">
        <v>76.077020263671798</v>
      </c>
      <c r="C9" s="34">
        <v>9.3154142379760696</v>
      </c>
      <c r="D9" s="103" t="s">
        <v>19</v>
      </c>
      <c r="E9" s="104" t="s">
        <v>19</v>
      </c>
      <c r="F9" s="104" t="s">
        <v>19</v>
      </c>
      <c r="G9" s="104" t="s">
        <v>19</v>
      </c>
      <c r="H9" s="105" t="s">
        <v>19</v>
      </c>
      <c r="I9" s="106" t="s">
        <v>19</v>
      </c>
      <c r="J9" s="104" t="s">
        <v>19</v>
      </c>
      <c r="K9" s="43">
        <v>1.3547945766982625E-2</v>
      </c>
      <c r="L9" s="104" t="s">
        <v>19</v>
      </c>
      <c r="M9" s="107" t="s">
        <v>19</v>
      </c>
      <c r="N9" s="1">
        <f t="shared" si="0"/>
        <v>9</v>
      </c>
    </row>
    <row r="10" spans="1:14">
      <c r="A10" s="32" t="s">
        <v>149</v>
      </c>
      <c r="B10" s="33">
        <v>89.108411153157505</v>
      </c>
      <c r="C10" s="34">
        <v>6.2820911407470703</v>
      </c>
      <c r="D10" s="41">
        <v>3.4261884675464996E-2</v>
      </c>
      <c r="E10" s="39">
        <v>9.3129388296364815E-2</v>
      </c>
      <c r="F10" s="39">
        <v>5.3889616673113067E-2</v>
      </c>
      <c r="G10" s="73">
        <v>7.0066717381306251E-3</v>
      </c>
      <c r="H10" s="55">
        <v>6.1426035719811152E-3</v>
      </c>
      <c r="I10" s="56">
        <v>3.0708297203227188E-2</v>
      </c>
      <c r="J10" s="39">
        <v>4.816406034116949E-2</v>
      </c>
      <c r="K10" s="39">
        <v>4.3297362992111878E-2</v>
      </c>
      <c r="L10" s="39">
        <v>2.2664659910961189E-2</v>
      </c>
      <c r="M10" s="70">
        <v>1.1701916995299145E-2</v>
      </c>
      <c r="N10" s="1">
        <f t="shared" si="0"/>
        <v>0</v>
      </c>
    </row>
    <row r="11" spans="1:14">
      <c r="A11" s="32" t="s">
        <v>150</v>
      </c>
      <c r="B11" s="33">
        <v>90.056917317708297</v>
      </c>
      <c r="C11" s="34">
        <v>9.6931304931640607</v>
      </c>
      <c r="D11" s="68">
        <v>3.4151424853487886</v>
      </c>
      <c r="E11" s="46">
        <v>4.2806935608935177</v>
      </c>
      <c r="F11" s="46">
        <v>6.0036610216414479</v>
      </c>
      <c r="G11" s="46">
        <v>6.7681614947871758</v>
      </c>
      <c r="H11" s="114">
        <v>11.705609117110193</v>
      </c>
      <c r="I11" s="69">
        <v>2.6872796167230417</v>
      </c>
      <c r="J11" s="46">
        <v>4.6798042548314704</v>
      </c>
      <c r="K11" s="46">
        <v>3.7255710367250123</v>
      </c>
      <c r="L11" s="46">
        <v>2.7656351451662826</v>
      </c>
      <c r="M11" s="48">
        <v>2.8516017128918882</v>
      </c>
      <c r="N11" s="1">
        <f t="shared" si="0"/>
        <v>0</v>
      </c>
    </row>
    <row r="12" spans="1:14">
      <c r="A12" s="32" t="s">
        <v>151</v>
      </c>
      <c r="B12" s="33">
        <v>90.057025146484307</v>
      </c>
      <c r="C12" s="34">
        <v>11.8636772155761</v>
      </c>
      <c r="D12" s="108">
        <v>31.342854031507212</v>
      </c>
      <c r="E12" s="109">
        <v>12.168299864176296</v>
      </c>
      <c r="F12" s="109">
        <v>15.155624532445907</v>
      </c>
      <c r="G12" s="109">
        <v>12.716448199096591</v>
      </c>
      <c r="H12" s="114">
        <v>14.708438215197774</v>
      </c>
      <c r="I12" s="112">
        <v>27.598864157039269</v>
      </c>
      <c r="J12" s="109">
        <v>16.101786778256987</v>
      </c>
      <c r="K12" s="109">
        <v>19.164896602938686</v>
      </c>
      <c r="L12" s="109">
        <v>10.516554325342764</v>
      </c>
      <c r="M12" s="48">
        <v>8.7918662154676319</v>
      </c>
      <c r="N12" s="1">
        <f t="shared" si="0"/>
        <v>0</v>
      </c>
    </row>
    <row r="13" spans="1:14">
      <c r="A13" s="32" t="s">
        <v>152</v>
      </c>
      <c r="B13" s="33">
        <v>100.11273792811799</v>
      </c>
      <c r="C13" s="34">
        <v>10.2040248598371</v>
      </c>
      <c r="D13" s="41">
        <v>2.7405349140291441E-2</v>
      </c>
      <c r="E13" s="43">
        <v>1.0875586244782361E-2</v>
      </c>
      <c r="F13" s="73">
        <v>9.554166339128806E-3</v>
      </c>
      <c r="G13" s="67">
        <v>5.2052664923467138E-3</v>
      </c>
      <c r="H13" s="44">
        <v>1.1025118578820218E-2</v>
      </c>
      <c r="I13" s="42">
        <v>2.7004940444211561E-2</v>
      </c>
      <c r="J13" s="43">
        <v>1.6831662290329927E-2</v>
      </c>
      <c r="K13" s="39">
        <v>2.11634390398985E-2</v>
      </c>
      <c r="L13" s="39">
        <v>3.8560872071904541E-2</v>
      </c>
      <c r="M13" s="70">
        <v>1.5124205599909079E-2</v>
      </c>
      <c r="N13" s="1">
        <f t="shared" si="0"/>
        <v>0</v>
      </c>
    </row>
    <row r="14" spans="1:14">
      <c r="A14" s="32" t="s">
        <v>153</v>
      </c>
      <c r="B14" s="33">
        <v>102.12895965576099</v>
      </c>
      <c r="C14" s="34">
        <v>10.274229049682599</v>
      </c>
      <c r="D14" s="103" t="s">
        <v>19</v>
      </c>
      <c r="E14" s="104" t="s">
        <v>19</v>
      </c>
      <c r="F14" s="104" t="s">
        <v>19</v>
      </c>
      <c r="G14" s="104" t="s">
        <v>19</v>
      </c>
      <c r="H14" s="105" t="s">
        <v>19</v>
      </c>
      <c r="I14" s="106" t="s">
        <v>19</v>
      </c>
      <c r="J14" s="104" t="s">
        <v>19</v>
      </c>
      <c r="K14" s="73">
        <v>4.7269757443775496E-3</v>
      </c>
      <c r="L14" s="104" t="s">
        <v>19</v>
      </c>
      <c r="M14" s="107" t="s">
        <v>19</v>
      </c>
      <c r="N14" s="1">
        <f t="shared" si="0"/>
        <v>9</v>
      </c>
    </row>
    <row r="15" spans="1:14">
      <c r="A15" s="32" t="s">
        <v>154</v>
      </c>
      <c r="B15" s="33">
        <v>103.125192260742</v>
      </c>
      <c r="C15" s="34">
        <v>6.6462907791137598</v>
      </c>
      <c r="D15" s="103" t="s">
        <v>19</v>
      </c>
      <c r="E15" s="73">
        <v>3.2922941182355462E-3</v>
      </c>
      <c r="F15" s="104" t="s">
        <v>19</v>
      </c>
      <c r="G15" s="104" t="s">
        <v>19</v>
      </c>
      <c r="H15" s="105" t="s">
        <v>19</v>
      </c>
      <c r="I15" s="106" t="s">
        <v>19</v>
      </c>
      <c r="J15" s="104" t="s">
        <v>19</v>
      </c>
      <c r="K15" s="104" t="s">
        <v>19</v>
      </c>
      <c r="L15" s="104" t="s">
        <v>19</v>
      </c>
      <c r="M15" s="107" t="s">
        <v>19</v>
      </c>
      <c r="N15" s="1">
        <f t="shared" si="0"/>
        <v>9</v>
      </c>
    </row>
    <row r="16" spans="1:14">
      <c r="A16" s="32" t="s">
        <v>155</v>
      </c>
      <c r="B16" s="33">
        <v>104.071599324544</v>
      </c>
      <c r="C16" s="34">
        <v>10.1676114400227</v>
      </c>
      <c r="D16" s="68">
        <v>1.36023780672225</v>
      </c>
      <c r="E16" s="46">
        <v>1.1246295334198468</v>
      </c>
      <c r="F16" s="46">
        <v>1.6155629677517924</v>
      </c>
      <c r="G16" s="115">
        <v>0.75275439862389915</v>
      </c>
      <c r="H16" s="34">
        <v>0.74681822164184508</v>
      </c>
      <c r="I16" s="116">
        <v>0.87220738948026566</v>
      </c>
      <c r="J16" s="46">
        <v>0.99938099911077927</v>
      </c>
      <c r="K16" s="115">
        <v>0.7223403183589564</v>
      </c>
      <c r="L16" s="115">
        <v>0.49447476358788162</v>
      </c>
      <c r="M16" s="117">
        <v>0.4720448046026941</v>
      </c>
      <c r="N16" s="1">
        <f t="shared" si="0"/>
        <v>0</v>
      </c>
    </row>
    <row r="17" spans="1:14">
      <c r="A17" s="32" t="s">
        <v>156</v>
      </c>
      <c r="B17" s="33">
        <v>104.07149124145501</v>
      </c>
      <c r="C17" s="34">
        <v>10.3688839912414</v>
      </c>
      <c r="D17" s="54">
        <v>2.142459891792596E-2</v>
      </c>
      <c r="E17" s="104" t="s">
        <v>19</v>
      </c>
      <c r="F17" s="43">
        <v>1.826993847776821E-2</v>
      </c>
      <c r="G17" s="39">
        <v>2.1105124493946369E-2</v>
      </c>
      <c r="H17" s="44">
        <v>2.1876304187769514E-2</v>
      </c>
      <c r="I17" s="56">
        <v>1.6757151884065104E-2</v>
      </c>
      <c r="J17" s="104" t="s">
        <v>19</v>
      </c>
      <c r="K17" s="43">
        <v>1.4424920230631062E-2</v>
      </c>
      <c r="L17" s="104" t="s">
        <v>19</v>
      </c>
      <c r="M17" s="107" t="s">
        <v>19</v>
      </c>
      <c r="N17" s="1">
        <f t="shared" si="0"/>
        <v>4</v>
      </c>
    </row>
    <row r="18" spans="1:14">
      <c r="A18" s="32" t="s">
        <v>157</v>
      </c>
      <c r="B18" s="33">
        <v>104.07156270345</v>
      </c>
      <c r="C18" s="34">
        <v>12.665503311157201</v>
      </c>
      <c r="D18" s="41">
        <v>7.7370852083791436E-2</v>
      </c>
      <c r="E18" s="43">
        <v>4.4017911066670593E-2</v>
      </c>
      <c r="F18" s="39">
        <v>7.0304397786921297E-2</v>
      </c>
      <c r="G18" s="39">
        <v>3.554718710284456E-2</v>
      </c>
      <c r="H18" s="44">
        <v>2.8914344618377989E-2</v>
      </c>
      <c r="I18" s="56">
        <v>5.593312321523531E-2</v>
      </c>
      <c r="J18" s="43">
        <v>4.5470855287962721E-2</v>
      </c>
      <c r="K18" s="39">
        <v>7.4537371273453126E-2</v>
      </c>
      <c r="L18" s="39">
        <v>6.2121336205834807E-2</v>
      </c>
      <c r="M18" s="70">
        <v>4.7846431538410852E-2</v>
      </c>
      <c r="N18" s="1">
        <f t="shared" si="0"/>
        <v>0</v>
      </c>
    </row>
    <row r="19" spans="1:14">
      <c r="A19" s="32" t="s">
        <v>158</v>
      </c>
      <c r="B19" s="33">
        <v>104.07182598113999</v>
      </c>
      <c r="C19" s="34">
        <v>14.284926533699</v>
      </c>
      <c r="D19" s="54">
        <v>1.3154712212115865E-2</v>
      </c>
      <c r="E19" s="104" t="s">
        <v>19</v>
      </c>
      <c r="F19" s="43">
        <v>1.1938412708907015E-2</v>
      </c>
      <c r="G19" s="43">
        <v>1.4459400519574353E-2</v>
      </c>
      <c r="H19" s="71">
        <v>2.5862141295573314E-2</v>
      </c>
      <c r="I19" s="106" t="s">
        <v>19</v>
      </c>
      <c r="J19" s="104" t="s">
        <v>19</v>
      </c>
      <c r="K19" s="104" t="s">
        <v>19</v>
      </c>
      <c r="L19" s="104" t="s">
        <v>19</v>
      </c>
      <c r="M19" s="107" t="s">
        <v>19</v>
      </c>
      <c r="N19" s="1">
        <f t="shared" si="0"/>
        <v>6</v>
      </c>
    </row>
    <row r="20" spans="1:14">
      <c r="A20" s="32" t="s">
        <v>159</v>
      </c>
      <c r="B20" s="33">
        <v>104.108363015311</v>
      </c>
      <c r="C20" s="34">
        <v>9.1010553496224507</v>
      </c>
      <c r="D20" s="118">
        <v>0.88569154000794792</v>
      </c>
      <c r="E20" s="115">
        <v>0.21426322615140508</v>
      </c>
      <c r="F20" s="39">
        <v>7.0932115365396869E-2</v>
      </c>
      <c r="G20" s="115">
        <v>0.12483178978611956</v>
      </c>
      <c r="H20" s="34">
        <v>0.33336918688312234</v>
      </c>
      <c r="I20" s="116">
        <v>0.72478640307834175</v>
      </c>
      <c r="J20" s="115">
        <v>0.2138214409790728</v>
      </c>
      <c r="K20" s="115">
        <v>0.17126943850589002</v>
      </c>
      <c r="L20" s="115">
        <v>0.25010386197290069</v>
      </c>
      <c r="M20" s="117">
        <v>0.32660639254676382</v>
      </c>
      <c r="N20" s="1">
        <f t="shared" si="0"/>
        <v>0</v>
      </c>
    </row>
    <row r="21" spans="1:14">
      <c r="A21" s="32" t="s">
        <v>160</v>
      </c>
      <c r="B21" s="33">
        <v>106.051655069986</v>
      </c>
      <c r="C21" s="34">
        <v>13.073945299784301</v>
      </c>
      <c r="D21" s="68">
        <v>7.6782475185795471</v>
      </c>
      <c r="E21" s="46">
        <v>2.2021106927511109</v>
      </c>
      <c r="F21" s="46">
        <v>1.003380648972068</v>
      </c>
      <c r="G21" s="46">
        <v>1.3303576685320202</v>
      </c>
      <c r="H21" s="47">
        <v>1.7429175184467312</v>
      </c>
      <c r="I21" s="69">
        <v>6.3883301594590209</v>
      </c>
      <c r="J21" s="46">
        <v>3.8735905591639184</v>
      </c>
      <c r="K21" s="46">
        <v>3.8742270292010876</v>
      </c>
      <c r="L21" s="46">
        <v>6.8369554942712503</v>
      </c>
      <c r="M21" s="113">
        <v>10.426231247699015</v>
      </c>
      <c r="N21" s="1">
        <f t="shared" si="0"/>
        <v>0</v>
      </c>
    </row>
    <row r="22" spans="1:14">
      <c r="A22" s="32" t="s">
        <v>161</v>
      </c>
      <c r="B22" s="33">
        <v>106.087913513183</v>
      </c>
      <c r="C22" s="34">
        <v>10.1137783050537</v>
      </c>
      <c r="D22" s="119">
        <v>0.10319949642606153</v>
      </c>
      <c r="E22" s="104" t="s">
        <v>19</v>
      </c>
      <c r="F22" s="104" t="s">
        <v>19</v>
      </c>
      <c r="G22" s="104" t="s">
        <v>19</v>
      </c>
      <c r="H22" s="105" t="s">
        <v>19</v>
      </c>
      <c r="I22" s="106" t="s">
        <v>19</v>
      </c>
      <c r="J22" s="104" t="s">
        <v>19</v>
      </c>
      <c r="K22" s="104" t="s">
        <v>19</v>
      </c>
      <c r="L22" s="104" t="s">
        <v>19</v>
      </c>
      <c r="M22" s="107" t="s">
        <v>19</v>
      </c>
      <c r="N22" s="1">
        <f t="shared" si="0"/>
        <v>9</v>
      </c>
    </row>
    <row r="23" spans="1:14">
      <c r="A23" s="32" t="s">
        <v>162</v>
      </c>
      <c r="B23" s="33">
        <v>110.028647867838</v>
      </c>
      <c r="C23" s="34">
        <v>23.099766540527298</v>
      </c>
      <c r="D23" s="108">
        <v>14.903361918841345</v>
      </c>
      <c r="E23" s="46">
        <v>8.8897418412460638</v>
      </c>
      <c r="F23" s="46">
        <v>6.8819840035104827</v>
      </c>
      <c r="G23" s="46">
        <v>7.642132364586895</v>
      </c>
      <c r="H23" s="47">
        <v>9.2020314208615233</v>
      </c>
      <c r="I23" s="112">
        <v>13.626334767027085</v>
      </c>
      <c r="J23" s="109">
        <v>11.616249461972574</v>
      </c>
      <c r="K23" s="109">
        <v>10.334941207140625</v>
      </c>
      <c r="L23" s="109">
        <v>11.44890528393533</v>
      </c>
      <c r="M23" s="113">
        <v>11.188741122513488</v>
      </c>
      <c r="N23" s="1">
        <f t="shared" si="0"/>
        <v>0</v>
      </c>
    </row>
    <row r="24" spans="1:14">
      <c r="A24" s="32" t="s">
        <v>163</v>
      </c>
      <c r="B24" s="33">
        <v>114.06223093668601</v>
      </c>
      <c r="C24" s="34">
        <v>8.9860018412272105</v>
      </c>
      <c r="D24" s="41">
        <v>4.3251817813151343E-2</v>
      </c>
      <c r="E24" s="39">
        <v>3.5401845293980314E-2</v>
      </c>
      <c r="F24" s="39">
        <v>2.5998519665821705E-2</v>
      </c>
      <c r="G24" s="39">
        <v>1.8720881812539978E-2</v>
      </c>
      <c r="H24" s="44">
        <v>3.6293192306642387E-2</v>
      </c>
      <c r="I24" s="42">
        <v>3.9329139081137915E-2</v>
      </c>
      <c r="J24" s="39">
        <v>2.4349716900735809E-2</v>
      </c>
      <c r="K24" s="39">
        <v>3.8086266949595375E-2</v>
      </c>
      <c r="L24" s="39">
        <v>3.2512815445762171E-2</v>
      </c>
      <c r="M24" s="57">
        <v>3.7007714725241052E-2</v>
      </c>
      <c r="N24" s="1">
        <f t="shared" si="0"/>
        <v>0</v>
      </c>
    </row>
    <row r="25" spans="1:14">
      <c r="A25" s="32" t="s">
        <v>164</v>
      </c>
      <c r="B25" s="33">
        <v>114.067588806152</v>
      </c>
      <c r="C25" s="34">
        <v>9.6603609493800509</v>
      </c>
      <c r="D25" s="41">
        <v>7.6492032827841533E-2</v>
      </c>
      <c r="E25" s="115">
        <v>0.12437903409267312</v>
      </c>
      <c r="F25" s="115">
        <v>0.10259275338102271</v>
      </c>
      <c r="G25" s="39">
        <v>9.6333733917988912E-2</v>
      </c>
      <c r="H25" s="34">
        <v>0.13730034190180299</v>
      </c>
      <c r="I25" s="42">
        <v>6.8272714979150842E-2</v>
      </c>
      <c r="J25" s="39">
        <v>8.6536317839555885E-2</v>
      </c>
      <c r="K25" s="39">
        <v>8.996727211082875E-2</v>
      </c>
      <c r="L25" s="39">
        <v>8.4985054523121717E-2</v>
      </c>
      <c r="M25" s="117">
        <v>0.10998559361887895</v>
      </c>
      <c r="N25" s="1">
        <f t="shared" si="0"/>
        <v>0</v>
      </c>
    </row>
    <row r="26" spans="1:14">
      <c r="A26" s="32" t="s">
        <v>165</v>
      </c>
      <c r="B26" s="33">
        <v>116.072216796875</v>
      </c>
      <c r="C26" s="34">
        <v>14.1318454742431</v>
      </c>
      <c r="D26" s="108">
        <v>16.586447756245867</v>
      </c>
      <c r="E26" s="46">
        <v>6.1556569330475464</v>
      </c>
      <c r="F26" s="46">
        <v>3.535705305868579</v>
      </c>
      <c r="G26" s="46">
        <v>2.3905115063243145</v>
      </c>
      <c r="H26" s="47">
        <v>3.4442885346928267</v>
      </c>
      <c r="I26" s="112">
        <v>13.236934324828647</v>
      </c>
      <c r="J26" s="46">
        <v>5.5551052070410227</v>
      </c>
      <c r="K26" s="46">
        <v>5.9376620301519996</v>
      </c>
      <c r="L26" s="46">
        <v>6.5953748698213168</v>
      </c>
      <c r="M26" s="48">
        <v>6.4434579725546843</v>
      </c>
      <c r="N26" s="1">
        <f t="shared" si="0"/>
        <v>0</v>
      </c>
    </row>
    <row r="27" spans="1:14">
      <c r="A27" s="32" t="s">
        <v>166</v>
      </c>
      <c r="B27" s="33">
        <v>118.08839144025499</v>
      </c>
      <c r="C27" s="34">
        <v>10.629943030221099</v>
      </c>
      <c r="D27" s="119">
        <v>0.1048184517351077</v>
      </c>
      <c r="E27" s="43">
        <v>4.9670708867279166E-2</v>
      </c>
      <c r="F27" s="39">
        <v>8.5976848822451699E-2</v>
      </c>
      <c r="G27" s="43">
        <v>6.0297199519865924E-2</v>
      </c>
      <c r="H27" s="71">
        <v>6.0418332190853262E-2</v>
      </c>
      <c r="I27" s="56">
        <v>8.0118943211207092E-2</v>
      </c>
      <c r="J27" s="43">
        <v>4.9567243688103016E-2</v>
      </c>
      <c r="K27" s="43">
        <v>7.2084576019822502E-2</v>
      </c>
      <c r="L27" s="43">
        <v>5.182300469227033E-2</v>
      </c>
      <c r="M27" s="70">
        <v>6.2301913471744082E-2</v>
      </c>
      <c r="N27" s="1">
        <f t="shared" si="0"/>
        <v>0</v>
      </c>
    </row>
    <row r="28" spans="1:14">
      <c r="A28" s="32" t="s">
        <v>167</v>
      </c>
      <c r="B28" s="33">
        <v>118.08774617512999</v>
      </c>
      <c r="C28" s="34">
        <v>13.154145558675101</v>
      </c>
      <c r="D28" s="68">
        <v>5.8041185702692113</v>
      </c>
      <c r="E28" s="46">
        <v>4.5942229582922911</v>
      </c>
      <c r="F28" s="46">
        <v>3.7451560670149995</v>
      </c>
      <c r="G28" s="46">
        <v>2.2086439958973392</v>
      </c>
      <c r="H28" s="47">
        <v>2.3534455453233534</v>
      </c>
      <c r="I28" s="69">
        <v>4.7437933030595527</v>
      </c>
      <c r="J28" s="46">
        <v>4.1426070635207202</v>
      </c>
      <c r="K28" s="46">
        <v>4.4043700382155127</v>
      </c>
      <c r="L28" s="46">
        <v>3.0599702265136579</v>
      </c>
      <c r="M28" s="48">
        <v>2.7798481732833422</v>
      </c>
      <c r="N28" s="1">
        <f t="shared" si="0"/>
        <v>0</v>
      </c>
    </row>
    <row r="29" spans="1:14">
      <c r="A29" s="32" t="s">
        <v>168</v>
      </c>
      <c r="B29" s="33">
        <v>118.087522234235</v>
      </c>
      <c r="C29" s="34">
        <v>14.722522463117301</v>
      </c>
      <c r="D29" s="118">
        <v>0.22899952178838939</v>
      </c>
      <c r="E29" s="115">
        <v>0.18851017729783193</v>
      </c>
      <c r="F29" s="115">
        <v>0.22489383262269175</v>
      </c>
      <c r="G29" s="115">
        <v>0.25341980076980847</v>
      </c>
      <c r="H29" s="34">
        <v>0.38775875768511142</v>
      </c>
      <c r="I29" s="121">
        <v>0.20852336923888129</v>
      </c>
      <c r="J29" s="122">
        <v>0.14667493529801912</v>
      </c>
      <c r="K29" s="122">
        <v>0.17907124760014376</v>
      </c>
      <c r="L29" s="115">
        <v>0.23297080033758158</v>
      </c>
      <c r="M29" s="117">
        <v>0.27648425922074737</v>
      </c>
      <c r="N29" s="1">
        <f t="shared" si="0"/>
        <v>0</v>
      </c>
    </row>
    <row r="30" spans="1:14">
      <c r="A30" s="32" t="s">
        <v>169</v>
      </c>
      <c r="B30" s="33">
        <v>120.067432403564</v>
      </c>
      <c r="C30" s="34">
        <v>13.2091282844543</v>
      </c>
      <c r="D30" s="103" t="s">
        <v>19</v>
      </c>
      <c r="E30" s="104" t="s">
        <v>19</v>
      </c>
      <c r="F30" s="39">
        <v>3.6080966129175281E-2</v>
      </c>
      <c r="G30" s="39">
        <v>2.7634959333255441E-2</v>
      </c>
      <c r="H30" s="44">
        <v>2.7067969039702228E-2</v>
      </c>
      <c r="I30" s="56">
        <v>3.5009977366027185E-2</v>
      </c>
      <c r="J30" s="104" t="s">
        <v>19</v>
      </c>
      <c r="K30" s="104" t="s">
        <v>19</v>
      </c>
      <c r="L30" s="104" t="s">
        <v>19</v>
      </c>
      <c r="M30" s="70">
        <v>3.4370972999451382E-2</v>
      </c>
      <c r="N30" s="1">
        <f t="shared" si="0"/>
        <v>5</v>
      </c>
    </row>
    <row r="31" spans="1:14">
      <c r="A31" s="32" t="s">
        <v>170</v>
      </c>
      <c r="B31" s="33">
        <v>120.067161560058</v>
      </c>
      <c r="C31" s="34">
        <v>13.7360329945882</v>
      </c>
      <c r="D31" s="108">
        <v>19.165041898186825</v>
      </c>
      <c r="E31" s="46">
        <v>8.9621107996651848</v>
      </c>
      <c r="F31" s="109">
        <v>13.415021042073608</v>
      </c>
      <c r="G31" s="109">
        <v>10.587962436928629</v>
      </c>
      <c r="H31" s="114">
        <v>12.651027220050164</v>
      </c>
      <c r="I31" s="112">
        <v>14.852948855333542</v>
      </c>
      <c r="J31" s="109">
        <v>11.025678643304266</v>
      </c>
      <c r="K31" s="109">
        <v>15.971787223698501</v>
      </c>
      <c r="L31" s="109">
        <v>18.869841505348685</v>
      </c>
      <c r="M31" s="113">
        <v>23.632469063543883</v>
      </c>
      <c r="N31" s="1">
        <f t="shared" si="0"/>
        <v>0</v>
      </c>
    </row>
    <row r="32" spans="1:14">
      <c r="A32" s="32" t="s">
        <v>171</v>
      </c>
      <c r="B32" s="33">
        <v>122.02913856506299</v>
      </c>
      <c r="C32" s="34">
        <v>14.7429585456848</v>
      </c>
      <c r="D32" s="103" t="s">
        <v>19</v>
      </c>
      <c r="E32" s="104" t="s">
        <v>19</v>
      </c>
      <c r="F32" s="104" t="s">
        <v>19</v>
      </c>
      <c r="G32" s="73">
        <v>5.2870954010764311E-3</v>
      </c>
      <c r="H32" s="55">
        <v>5.4788166195922283E-3</v>
      </c>
      <c r="I32" s="106" t="s">
        <v>19</v>
      </c>
      <c r="J32" s="104" t="s">
        <v>19</v>
      </c>
      <c r="K32" s="39">
        <v>4.0816265683661063E-2</v>
      </c>
      <c r="L32" s="104" t="s">
        <v>19</v>
      </c>
      <c r="M32" s="107" t="s">
        <v>19</v>
      </c>
      <c r="N32" s="1">
        <f t="shared" si="0"/>
        <v>7</v>
      </c>
    </row>
    <row r="33" spans="1:14">
      <c r="A33" s="32" t="s">
        <v>172</v>
      </c>
      <c r="B33" s="33">
        <v>123.05677795410099</v>
      </c>
      <c r="C33" s="34">
        <v>9.7732581411089203</v>
      </c>
      <c r="D33" s="54">
        <v>2.5075335046675192E-2</v>
      </c>
      <c r="E33" s="39">
        <v>9.1528318439365278E-2</v>
      </c>
      <c r="F33" s="43">
        <v>2.8727960364224717E-2</v>
      </c>
      <c r="G33" s="39">
        <v>2.4866477878511692E-2</v>
      </c>
      <c r="H33" s="44">
        <v>3.9932433931088307E-2</v>
      </c>
      <c r="I33" s="56">
        <v>2.1813082311450002E-2</v>
      </c>
      <c r="J33" s="43">
        <v>5.3667260113973665E-2</v>
      </c>
      <c r="K33" s="43">
        <v>3.2135616519841065E-2</v>
      </c>
      <c r="L33" s="43">
        <v>2.0626566299219079E-2</v>
      </c>
      <c r="M33" s="70">
        <v>2.7659162915550393E-2</v>
      </c>
      <c r="N33" s="1">
        <f t="shared" ref="N33:N63" si="1">COUNTIF(D33:M33,"N.D.")</f>
        <v>0</v>
      </c>
    </row>
    <row r="34" spans="1:14">
      <c r="A34" s="120" t="s">
        <v>173</v>
      </c>
      <c r="B34" s="33">
        <v>126.023514811197</v>
      </c>
      <c r="C34" s="34">
        <v>27.4550366719563</v>
      </c>
      <c r="D34" s="68">
        <v>2.0826753943759231</v>
      </c>
      <c r="E34" s="115">
        <v>0.98176899076767132</v>
      </c>
      <c r="F34" s="115">
        <v>0.97879486141237204</v>
      </c>
      <c r="G34" s="46">
        <v>1.2767798853279153</v>
      </c>
      <c r="H34" s="47">
        <v>2.2463201906888965</v>
      </c>
      <c r="I34" s="69">
        <v>1.8811858308870522</v>
      </c>
      <c r="J34" s="46">
        <v>1.5408435054222869</v>
      </c>
      <c r="K34" s="46">
        <v>1.7286152182423065</v>
      </c>
      <c r="L34" s="46">
        <v>2.2619521816119472</v>
      </c>
      <c r="M34" s="48">
        <v>2.6800894974001976</v>
      </c>
      <c r="N34" s="1">
        <f t="shared" si="1"/>
        <v>0</v>
      </c>
    </row>
    <row r="35" spans="1:14">
      <c r="A35" s="32" t="s">
        <v>174</v>
      </c>
      <c r="B35" s="33">
        <v>127.073899078369</v>
      </c>
      <c r="C35" s="34">
        <v>10.070954322814901</v>
      </c>
      <c r="D35" s="54">
        <v>2.6208018163498076E-2</v>
      </c>
      <c r="E35" s="43">
        <v>1.3584194034021297E-2</v>
      </c>
      <c r="F35" s="104" t="s">
        <v>19</v>
      </c>
      <c r="G35" s="104" t="s">
        <v>19</v>
      </c>
      <c r="H35" s="55">
        <v>6.8732778629136144E-3</v>
      </c>
      <c r="I35" s="56">
        <v>2.6548108865005419E-2</v>
      </c>
      <c r="J35" s="43">
        <v>1.4949602231279339E-2</v>
      </c>
      <c r="K35" s="104" t="s">
        <v>19</v>
      </c>
      <c r="L35" s="104" t="s">
        <v>19</v>
      </c>
      <c r="M35" s="70">
        <v>1.6776938734696382E-2</v>
      </c>
      <c r="N35" s="1">
        <f t="shared" si="1"/>
        <v>4</v>
      </c>
    </row>
    <row r="36" spans="1:14">
      <c r="A36" s="32" t="s">
        <v>175</v>
      </c>
      <c r="B36" s="33">
        <v>130.08807373046801</v>
      </c>
      <c r="C36" s="34">
        <v>12.625452995300201</v>
      </c>
      <c r="D36" s="103" t="s">
        <v>19</v>
      </c>
      <c r="E36" s="104" t="s">
        <v>19</v>
      </c>
      <c r="F36" s="104" t="s">
        <v>19</v>
      </c>
      <c r="G36" s="104" t="s">
        <v>19</v>
      </c>
      <c r="H36" s="105" t="s">
        <v>19</v>
      </c>
      <c r="I36" s="106" t="s">
        <v>19</v>
      </c>
      <c r="J36" s="104" t="s">
        <v>19</v>
      </c>
      <c r="K36" s="73">
        <v>3.7260776333390439E-3</v>
      </c>
      <c r="L36" s="104" t="s">
        <v>19</v>
      </c>
      <c r="M36" s="107" t="s">
        <v>19</v>
      </c>
      <c r="N36" s="1">
        <f t="shared" si="1"/>
        <v>9</v>
      </c>
    </row>
    <row r="37" spans="1:14">
      <c r="A37" s="32" t="s">
        <v>176</v>
      </c>
      <c r="B37" s="33">
        <v>130.08786010742099</v>
      </c>
      <c r="C37" s="34">
        <v>13.4795075825282</v>
      </c>
      <c r="D37" s="103" t="s">
        <v>19</v>
      </c>
      <c r="E37" s="104" t="s">
        <v>19</v>
      </c>
      <c r="F37" s="73">
        <v>5.5386960504582097E-3</v>
      </c>
      <c r="G37" s="73">
        <v>3.987224023519355E-3</v>
      </c>
      <c r="H37" s="55">
        <v>4.916746139077173E-3</v>
      </c>
      <c r="I37" s="106" t="s">
        <v>19</v>
      </c>
      <c r="J37" s="104" t="s">
        <v>19</v>
      </c>
      <c r="K37" s="104" t="s">
        <v>19</v>
      </c>
      <c r="L37" s="104" t="s">
        <v>19</v>
      </c>
      <c r="M37" s="107" t="s">
        <v>19</v>
      </c>
      <c r="N37" s="1">
        <f t="shared" si="1"/>
        <v>7</v>
      </c>
    </row>
    <row r="38" spans="1:14">
      <c r="A38" s="32" t="s">
        <v>177</v>
      </c>
      <c r="B38" s="33">
        <v>130.11028442382801</v>
      </c>
      <c r="C38" s="34">
        <v>7.5009423255920398</v>
      </c>
      <c r="D38" s="103" t="s">
        <v>19</v>
      </c>
      <c r="E38" s="104" t="s">
        <v>19</v>
      </c>
      <c r="F38" s="104" t="s">
        <v>19</v>
      </c>
      <c r="G38" s="104" t="s">
        <v>19</v>
      </c>
      <c r="H38" s="105" t="s">
        <v>19</v>
      </c>
      <c r="I38" s="106" t="s">
        <v>19</v>
      </c>
      <c r="J38" s="104" t="s">
        <v>19</v>
      </c>
      <c r="K38" s="73">
        <v>2.9390678703631939E-3</v>
      </c>
      <c r="L38" s="104" t="s">
        <v>19</v>
      </c>
      <c r="M38" s="107" t="s">
        <v>19</v>
      </c>
      <c r="N38" s="1">
        <f t="shared" si="1"/>
        <v>9</v>
      </c>
    </row>
    <row r="39" spans="1:14">
      <c r="A39" s="32" t="s">
        <v>178</v>
      </c>
      <c r="B39" s="33">
        <v>131.11923726399701</v>
      </c>
      <c r="C39" s="34">
        <v>11.1520759264628</v>
      </c>
      <c r="D39" s="103" t="s">
        <v>19</v>
      </c>
      <c r="E39" s="104" t="s">
        <v>19</v>
      </c>
      <c r="F39" s="104" t="s">
        <v>19</v>
      </c>
      <c r="G39" s="104" t="s">
        <v>19</v>
      </c>
      <c r="H39" s="105" t="s">
        <v>19</v>
      </c>
      <c r="I39" s="106" t="s">
        <v>19</v>
      </c>
      <c r="J39" s="73">
        <v>7.633390312263089E-3</v>
      </c>
      <c r="K39" s="73">
        <v>7.4107165977395613E-3</v>
      </c>
      <c r="L39" s="104" t="s">
        <v>19</v>
      </c>
      <c r="M39" s="107" t="s">
        <v>19</v>
      </c>
      <c r="N39" s="1">
        <f t="shared" si="1"/>
        <v>8</v>
      </c>
    </row>
    <row r="40" spans="1:14">
      <c r="A40" s="32" t="s">
        <v>179</v>
      </c>
      <c r="B40" s="33">
        <v>131.13013000488201</v>
      </c>
      <c r="C40" s="34">
        <v>6.8900129318237298</v>
      </c>
      <c r="D40" s="103" t="s">
        <v>19</v>
      </c>
      <c r="E40" s="104" t="s">
        <v>19</v>
      </c>
      <c r="F40" s="104" t="s">
        <v>19</v>
      </c>
      <c r="G40" s="104" t="s">
        <v>19</v>
      </c>
      <c r="H40" s="105" t="s">
        <v>19</v>
      </c>
      <c r="I40" s="106" t="s">
        <v>19</v>
      </c>
      <c r="J40" s="104" t="s">
        <v>19</v>
      </c>
      <c r="K40" s="73">
        <v>3.1343770760485874E-3</v>
      </c>
      <c r="L40" s="104" t="s">
        <v>19</v>
      </c>
      <c r="M40" s="107" t="s">
        <v>19</v>
      </c>
      <c r="N40" s="1">
        <f t="shared" si="1"/>
        <v>9</v>
      </c>
    </row>
    <row r="41" spans="1:14">
      <c r="A41" s="32" t="s">
        <v>180</v>
      </c>
      <c r="B41" s="33">
        <v>132.06692911783799</v>
      </c>
      <c r="C41" s="34">
        <v>15.658857790629</v>
      </c>
      <c r="D41" s="118">
        <v>0.32211692551455001</v>
      </c>
      <c r="E41" s="115">
        <v>0.18629584862631343</v>
      </c>
      <c r="F41" s="115">
        <v>0.41830495811920165</v>
      </c>
      <c r="G41" s="115">
        <v>0.33591174142484675</v>
      </c>
      <c r="H41" s="34">
        <v>0.32133720541236138</v>
      </c>
      <c r="I41" s="116">
        <v>0.27103862926957295</v>
      </c>
      <c r="J41" s="115">
        <v>0.23820294440022796</v>
      </c>
      <c r="K41" s="115">
        <v>0.35364236902703622</v>
      </c>
      <c r="L41" s="115">
        <v>0.3508998006313736</v>
      </c>
      <c r="M41" s="117">
        <v>0.36543930543522896</v>
      </c>
      <c r="N41" s="1">
        <f t="shared" si="1"/>
        <v>0</v>
      </c>
    </row>
    <row r="42" spans="1:14">
      <c r="A42" s="32" t="s">
        <v>181</v>
      </c>
      <c r="B42" s="33">
        <v>132.07847493489501</v>
      </c>
      <c r="C42" s="34">
        <v>11.6554405212402</v>
      </c>
      <c r="D42" s="108">
        <v>10.253050735080096</v>
      </c>
      <c r="E42" s="46">
        <v>8.6529284924235164</v>
      </c>
      <c r="F42" s="109">
        <v>11.779071132139601</v>
      </c>
      <c r="G42" s="109">
        <v>10.933264629440927</v>
      </c>
      <c r="H42" s="114">
        <v>15.747249769501277</v>
      </c>
      <c r="I42" s="69">
        <v>7.7142615727687502</v>
      </c>
      <c r="J42" s="46">
        <v>8.0895380246882347</v>
      </c>
      <c r="K42" s="109">
        <v>12.297108257226</v>
      </c>
      <c r="L42" s="109">
        <v>10.379315550719804</v>
      </c>
      <c r="M42" s="48">
        <v>9.8974680845714467</v>
      </c>
      <c r="N42" s="1">
        <f t="shared" si="1"/>
        <v>0</v>
      </c>
    </row>
    <row r="43" spans="1:14">
      <c r="A43" s="32" t="s">
        <v>182</v>
      </c>
      <c r="B43" s="33">
        <v>132.10377400716101</v>
      </c>
      <c r="C43" s="34">
        <v>13.3965543111165</v>
      </c>
      <c r="D43" s="68">
        <v>5.2678518992436452</v>
      </c>
      <c r="E43" s="46">
        <v>4.7110403598123609</v>
      </c>
      <c r="F43" s="46">
        <v>3.0664203991842895</v>
      </c>
      <c r="G43" s="46">
        <v>1.2761942275949516</v>
      </c>
      <c r="H43" s="47">
        <v>1.1916826770591062</v>
      </c>
      <c r="I43" s="69">
        <v>4.1300266860241566</v>
      </c>
      <c r="J43" s="46">
        <v>3.8551072637410151</v>
      </c>
      <c r="K43" s="46">
        <v>4.0895546425953189</v>
      </c>
      <c r="L43" s="46">
        <v>2.3096402640896909</v>
      </c>
      <c r="M43" s="48">
        <v>1.8044176971889148</v>
      </c>
      <c r="N43" s="1">
        <f t="shared" si="1"/>
        <v>0</v>
      </c>
    </row>
    <row r="44" spans="1:14">
      <c r="A44" s="32" t="s">
        <v>183</v>
      </c>
      <c r="B44" s="33">
        <v>132.10381876627599</v>
      </c>
      <c r="C44" s="34">
        <v>13.5237665812174</v>
      </c>
      <c r="D44" s="68">
        <v>5.7168056579656632</v>
      </c>
      <c r="E44" s="46">
        <v>4.9530361584953706</v>
      </c>
      <c r="F44" s="46">
        <v>3.2777024434227839</v>
      </c>
      <c r="G44" s="46">
        <v>1.4012019447411412</v>
      </c>
      <c r="H44" s="47">
        <v>1.3428542662687257</v>
      </c>
      <c r="I44" s="69">
        <v>4.708663636324709</v>
      </c>
      <c r="J44" s="46">
        <v>4.3638642622760591</v>
      </c>
      <c r="K44" s="46">
        <v>4.3454194982794627</v>
      </c>
      <c r="L44" s="46">
        <v>2.3307567480552041</v>
      </c>
      <c r="M44" s="48">
        <v>1.670138557861355</v>
      </c>
      <c r="N44" s="1">
        <f t="shared" si="1"/>
        <v>0</v>
      </c>
    </row>
    <row r="45" spans="1:14">
      <c r="A45" s="32" t="s">
        <v>184</v>
      </c>
      <c r="B45" s="33">
        <v>133.06130436488499</v>
      </c>
      <c r="C45" s="34">
        <v>11.0382942472185</v>
      </c>
      <c r="D45" s="54">
        <v>6.5420309933020573E-2</v>
      </c>
      <c r="E45" s="43">
        <v>4.2631431118534353E-2</v>
      </c>
      <c r="F45" s="39">
        <v>4.7257599105336362E-2</v>
      </c>
      <c r="G45" s="43">
        <v>2.7620129590755639E-2</v>
      </c>
      <c r="H45" s="71">
        <v>2.6222425243372774E-2</v>
      </c>
      <c r="I45" s="56">
        <v>5.8717257239275421E-2</v>
      </c>
      <c r="J45" s="43">
        <v>3.6896339633379932E-2</v>
      </c>
      <c r="K45" s="39">
        <v>5.5436251892845491E-2</v>
      </c>
      <c r="L45" s="43">
        <v>3.9910404545354605E-2</v>
      </c>
      <c r="M45" s="70">
        <v>5.4613655926875851E-2</v>
      </c>
      <c r="N45" s="1">
        <f t="shared" si="1"/>
        <v>0</v>
      </c>
    </row>
    <row r="46" spans="1:14">
      <c r="A46" s="32" t="s">
        <v>185</v>
      </c>
      <c r="B46" s="33">
        <v>133.06243184407501</v>
      </c>
      <c r="C46" s="34">
        <v>13.681469408670999</v>
      </c>
      <c r="D46" s="68">
        <v>4.8309588471012406</v>
      </c>
      <c r="E46" s="46">
        <v>1.5679444875154858</v>
      </c>
      <c r="F46" s="46">
        <v>2.1476267870263404</v>
      </c>
      <c r="G46" s="46">
        <v>3.1502395239144958</v>
      </c>
      <c r="H46" s="47">
        <v>4.1183876667366581</v>
      </c>
      <c r="I46" s="69">
        <v>4.0907662277819998</v>
      </c>
      <c r="J46" s="46">
        <v>2.2117572783557353</v>
      </c>
      <c r="K46" s="46">
        <v>2.6453803904872375</v>
      </c>
      <c r="L46" s="46">
        <v>4.5366035401128748</v>
      </c>
      <c r="M46" s="48">
        <v>6.2097901372335791</v>
      </c>
      <c r="N46" s="1">
        <f t="shared" si="1"/>
        <v>0</v>
      </c>
    </row>
    <row r="47" spans="1:14">
      <c r="A47" s="32" t="s">
        <v>186</v>
      </c>
      <c r="B47" s="33">
        <v>133.09841003417901</v>
      </c>
      <c r="C47" s="34">
        <v>9.0478977203369109</v>
      </c>
      <c r="D47" s="118">
        <v>0.22900954029228557</v>
      </c>
      <c r="E47" s="115">
        <v>0.15148102747987685</v>
      </c>
      <c r="F47" s="39">
        <v>3.6546838700212213E-2</v>
      </c>
      <c r="G47" s="67">
        <v>9.6064463807496777E-3</v>
      </c>
      <c r="H47" s="44">
        <v>1.4502580718323888E-2</v>
      </c>
      <c r="I47" s="116">
        <v>0.20977771769011666</v>
      </c>
      <c r="J47" s="115">
        <v>0.16170613785189339</v>
      </c>
      <c r="K47" s="115">
        <v>0.1313316120868675</v>
      </c>
      <c r="L47" s="115">
        <v>0.10711634898397961</v>
      </c>
      <c r="M47" s="57">
        <v>6.769288184771842E-2</v>
      </c>
      <c r="N47" s="1">
        <f t="shared" si="1"/>
        <v>0</v>
      </c>
    </row>
    <row r="48" spans="1:14">
      <c r="A48" s="32" t="s">
        <v>187</v>
      </c>
      <c r="B48" s="33">
        <v>134.04649047851501</v>
      </c>
      <c r="C48" s="34">
        <v>15.032761955261201</v>
      </c>
      <c r="D48" s="108">
        <v>10.23492176574625</v>
      </c>
      <c r="E48" s="46">
        <v>1.2330968004524718</v>
      </c>
      <c r="F48" s="46">
        <v>2.4285482100630853</v>
      </c>
      <c r="G48" s="46">
        <v>1.9543945380909515</v>
      </c>
      <c r="H48" s="47">
        <v>2.0861894346567529</v>
      </c>
      <c r="I48" s="69">
        <v>8.5972565842232811</v>
      </c>
      <c r="J48" s="46">
        <v>4.0887787861245961</v>
      </c>
      <c r="K48" s="46">
        <v>6.4481424561257503</v>
      </c>
      <c r="L48" s="109">
        <v>11.314282079762435</v>
      </c>
      <c r="M48" s="113">
        <v>10.663372574539475</v>
      </c>
      <c r="N48" s="1">
        <f t="shared" si="1"/>
        <v>0</v>
      </c>
    </row>
    <row r="49" spans="1:14">
      <c r="A49" s="32" t="s">
        <v>188</v>
      </c>
      <c r="B49" s="33">
        <v>136.06282697405101</v>
      </c>
      <c r="C49" s="34">
        <v>10.072463853018601</v>
      </c>
      <c r="D49" s="103" t="s">
        <v>19</v>
      </c>
      <c r="E49" s="104" t="s">
        <v>19</v>
      </c>
      <c r="F49" s="39">
        <v>1.8715694266262413E-2</v>
      </c>
      <c r="G49" s="67">
        <v>8.9422988781367729E-3</v>
      </c>
      <c r="H49" s="105" t="s">
        <v>19</v>
      </c>
      <c r="I49" s="106" t="s">
        <v>19</v>
      </c>
      <c r="J49" s="104" t="s">
        <v>19</v>
      </c>
      <c r="K49" s="104" t="s">
        <v>19</v>
      </c>
      <c r="L49" s="104" t="s">
        <v>19</v>
      </c>
      <c r="M49" s="107" t="s">
        <v>19</v>
      </c>
      <c r="N49" s="1">
        <f t="shared" si="1"/>
        <v>8</v>
      </c>
    </row>
    <row r="50" spans="1:14">
      <c r="A50" s="32" t="s">
        <v>189</v>
      </c>
      <c r="B50" s="33">
        <v>137.04789225260399</v>
      </c>
      <c r="C50" s="34">
        <v>14.408761501312201</v>
      </c>
      <c r="D50" s="103" t="s">
        <v>19</v>
      </c>
      <c r="E50" s="104" t="s">
        <v>19</v>
      </c>
      <c r="F50" s="104" t="s">
        <v>19</v>
      </c>
      <c r="G50" s="104" t="s">
        <v>19</v>
      </c>
      <c r="H50" s="105" t="s">
        <v>19</v>
      </c>
      <c r="I50" s="106" t="s">
        <v>19</v>
      </c>
      <c r="J50" s="43">
        <v>3.1478521983620514E-2</v>
      </c>
      <c r="K50" s="104" t="s">
        <v>19</v>
      </c>
      <c r="L50" s="104" t="s">
        <v>19</v>
      </c>
      <c r="M50" s="107" t="s">
        <v>19</v>
      </c>
      <c r="N50" s="1">
        <f t="shared" si="1"/>
        <v>9</v>
      </c>
    </row>
    <row r="51" spans="1:14">
      <c r="A51" s="32" t="s">
        <v>190</v>
      </c>
      <c r="B51" s="33">
        <v>137.07277025495199</v>
      </c>
      <c r="C51" s="34">
        <v>9.7221277781895203</v>
      </c>
      <c r="D51" s="68">
        <v>1.456709988077673</v>
      </c>
      <c r="E51" s="46">
        <v>1.0517302556364676</v>
      </c>
      <c r="F51" s="46">
        <v>1.3171559176705283</v>
      </c>
      <c r="G51" s="46">
        <v>1.8939928471610665</v>
      </c>
      <c r="H51" s="47">
        <v>3.1115398023380707</v>
      </c>
      <c r="I51" s="69">
        <v>1.2255129352417189</v>
      </c>
      <c r="J51" s="115">
        <v>0.97945708550522792</v>
      </c>
      <c r="K51" s="46">
        <v>1.1256320551361501</v>
      </c>
      <c r="L51" s="46">
        <v>2.0906969927940988</v>
      </c>
      <c r="M51" s="48">
        <v>2.7260813084288098</v>
      </c>
      <c r="N51" s="1">
        <f t="shared" si="1"/>
        <v>0</v>
      </c>
    </row>
    <row r="52" spans="1:14">
      <c r="A52" s="32" t="s">
        <v>191</v>
      </c>
      <c r="B52" s="33">
        <v>138.05813598632801</v>
      </c>
      <c r="C52" s="34">
        <v>13.695862197875901</v>
      </c>
      <c r="D52" s="103" t="s">
        <v>19</v>
      </c>
      <c r="E52" s="104" t="s">
        <v>19</v>
      </c>
      <c r="F52" s="73">
        <v>3.9237825610198857E-3</v>
      </c>
      <c r="G52" s="104" t="s">
        <v>19</v>
      </c>
      <c r="H52" s="105" t="s">
        <v>19</v>
      </c>
      <c r="I52" s="106" t="s">
        <v>19</v>
      </c>
      <c r="J52" s="104" t="s">
        <v>19</v>
      </c>
      <c r="K52" s="104" t="s">
        <v>19</v>
      </c>
      <c r="L52" s="104" t="s">
        <v>19</v>
      </c>
      <c r="M52" s="107" t="s">
        <v>19</v>
      </c>
      <c r="N52" s="1">
        <f t="shared" si="1"/>
        <v>9</v>
      </c>
    </row>
    <row r="53" spans="1:14">
      <c r="A53" s="32" t="s">
        <v>192</v>
      </c>
      <c r="B53" s="33">
        <v>139.05286560058499</v>
      </c>
      <c r="C53" s="34">
        <v>10.8894897460937</v>
      </c>
      <c r="D53" s="103" t="s">
        <v>19</v>
      </c>
      <c r="E53" s="104" t="s">
        <v>19</v>
      </c>
      <c r="F53" s="73">
        <v>9.6918983683088634E-3</v>
      </c>
      <c r="G53" s="104" t="s">
        <v>19</v>
      </c>
      <c r="H53" s="105" t="s">
        <v>19</v>
      </c>
      <c r="I53" s="106" t="s">
        <v>19</v>
      </c>
      <c r="J53" s="104" t="s">
        <v>19</v>
      </c>
      <c r="K53" s="104" t="s">
        <v>19</v>
      </c>
      <c r="L53" s="104" t="s">
        <v>19</v>
      </c>
      <c r="M53" s="107" t="s">
        <v>19</v>
      </c>
      <c r="N53" s="1">
        <f t="shared" si="1"/>
        <v>9</v>
      </c>
    </row>
    <row r="54" spans="1:14">
      <c r="A54" s="32" t="s">
        <v>193</v>
      </c>
      <c r="B54" s="33">
        <v>142.12444850376599</v>
      </c>
      <c r="C54" s="34">
        <v>10.6351428713117</v>
      </c>
      <c r="D54" s="76">
        <v>5.1943538644476824E-3</v>
      </c>
      <c r="E54" s="104" t="s">
        <v>19</v>
      </c>
      <c r="F54" s="104" t="s">
        <v>19</v>
      </c>
      <c r="G54" s="104" t="s">
        <v>19</v>
      </c>
      <c r="H54" s="105" t="s">
        <v>19</v>
      </c>
      <c r="I54" s="77">
        <v>2.9584447887423542E-3</v>
      </c>
      <c r="J54" s="104" t="s">
        <v>19</v>
      </c>
      <c r="K54" s="73">
        <v>6.5180264409322496E-3</v>
      </c>
      <c r="L54" s="104" t="s">
        <v>19</v>
      </c>
      <c r="M54" s="107" t="s">
        <v>19</v>
      </c>
      <c r="N54" s="1">
        <f t="shared" si="1"/>
        <v>7</v>
      </c>
    </row>
    <row r="55" spans="1:14">
      <c r="A55" s="32" t="s">
        <v>194</v>
      </c>
      <c r="B55" s="33">
        <v>144.10185459681901</v>
      </c>
      <c r="C55" s="34">
        <v>15.0579782213483</v>
      </c>
      <c r="D55" s="103" t="s">
        <v>19</v>
      </c>
      <c r="E55" s="104" t="s">
        <v>19</v>
      </c>
      <c r="F55" s="104" t="s">
        <v>19</v>
      </c>
      <c r="G55" s="73">
        <v>1.8455070993177159E-3</v>
      </c>
      <c r="H55" s="55">
        <v>3.5716263776130711E-3</v>
      </c>
      <c r="I55" s="106" t="s">
        <v>19</v>
      </c>
      <c r="J55" s="104" t="s">
        <v>19</v>
      </c>
      <c r="K55" s="73">
        <v>5.9077955016937564E-3</v>
      </c>
      <c r="L55" s="104" t="s">
        <v>19</v>
      </c>
      <c r="M55" s="107" t="s">
        <v>19</v>
      </c>
      <c r="N55" s="1">
        <f t="shared" si="1"/>
        <v>7</v>
      </c>
    </row>
    <row r="56" spans="1:14">
      <c r="A56" s="32" t="s">
        <v>195</v>
      </c>
      <c r="B56" s="33">
        <v>144.12730712890601</v>
      </c>
      <c r="C56" s="34">
        <v>10.0165845870971</v>
      </c>
      <c r="D56" s="103" t="s">
        <v>19</v>
      </c>
      <c r="E56" s="104" t="s">
        <v>19</v>
      </c>
      <c r="F56" s="104" t="s">
        <v>19</v>
      </c>
      <c r="G56" s="104" t="s">
        <v>19</v>
      </c>
      <c r="H56" s="105" t="s">
        <v>19</v>
      </c>
      <c r="I56" s="106" t="s">
        <v>19</v>
      </c>
      <c r="J56" s="104" t="s">
        <v>19</v>
      </c>
      <c r="K56" s="73">
        <v>2.6012311040753437E-3</v>
      </c>
      <c r="L56" s="104" t="s">
        <v>19</v>
      </c>
      <c r="M56" s="107" t="s">
        <v>19</v>
      </c>
      <c r="N56" s="1">
        <f t="shared" si="1"/>
        <v>9</v>
      </c>
    </row>
    <row r="57" spans="1:14">
      <c r="A57" s="32" t="s">
        <v>196</v>
      </c>
      <c r="B57" s="33">
        <v>146.119075230189</v>
      </c>
      <c r="C57" s="34">
        <v>10.0802216529846</v>
      </c>
      <c r="D57" s="76">
        <v>6.290555934348587E-3</v>
      </c>
      <c r="E57" s="73">
        <v>2.8710707592185737E-3</v>
      </c>
      <c r="F57" s="73">
        <v>1.2242449923536305E-3</v>
      </c>
      <c r="G57" s="67">
        <v>3.6666472619580645E-3</v>
      </c>
      <c r="H57" s="44">
        <v>1.8674435235188316E-2</v>
      </c>
      <c r="I57" s="77">
        <v>4.4009672870078754E-3</v>
      </c>
      <c r="J57" s="73">
        <v>5.8285017838717503E-3</v>
      </c>
      <c r="K57" s="73">
        <v>7.0459045598661877E-3</v>
      </c>
      <c r="L57" s="73">
        <v>3.6885825491508226E-3</v>
      </c>
      <c r="M57" s="74">
        <v>3.9096964134017762E-3</v>
      </c>
      <c r="N57" s="1">
        <f t="shared" si="1"/>
        <v>0</v>
      </c>
    </row>
    <row r="58" spans="1:14">
      <c r="A58" s="32" t="s">
        <v>197</v>
      </c>
      <c r="B58" s="33">
        <v>146.11910029820001</v>
      </c>
      <c r="C58" s="34">
        <v>10.691950866154199</v>
      </c>
      <c r="D58" s="41">
        <v>5.6972897116846444E-2</v>
      </c>
      <c r="E58" s="39">
        <v>3.2547678876469172E-2</v>
      </c>
      <c r="F58" s="39">
        <v>4.5100922029498856E-2</v>
      </c>
      <c r="G58" s="39">
        <v>5.9082390263353428E-2</v>
      </c>
      <c r="H58" s="44">
        <v>9.7547997452727728E-2</v>
      </c>
      <c r="I58" s="42">
        <v>5.4472327710501048E-2</v>
      </c>
      <c r="J58" s="39">
        <v>2.9464480041268386E-2</v>
      </c>
      <c r="K58" s="39">
        <v>4.3879212505460251E-2</v>
      </c>
      <c r="L58" s="39">
        <v>6.1862581553386975E-2</v>
      </c>
      <c r="M58" s="57">
        <v>7.0781241012398688E-2</v>
      </c>
      <c r="N58" s="1">
        <f t="shared" si="1"/>
        <v>0</v>
      </c>
    </row>
    <row r="59" spans="1:14">
      <c r="A59" s="32" t="s">
        <v>198</v>
      </c>
      <c r="B59" s="33">
        <v>146.16650826590401</v>
      </c>
      <c r="C59" s="34">
        <v>6.0397147451128204</v>
      </c>
      <c r="D59" s="103" t="s">
        <v>19</v>
      </c>
      <c r="E59" s="39">
        <v>1.7283607958059118E-2</v>
      </c>
      <c r="F59" s="39">
        <v>2.8489640108211929E-2</v>
      </c>
      <c r="G59" s="104" t="s">
        <v>19</v>
      </c>
      <c r="H59" s="105" t="s">
        <v>19</v>
      </c>
      <c r="I59" s="106" t="s">
        <v>19</v>
      </c>
      <c r="J59" s="104" t="s">
        <v>19</v>
      </c>
      <c r="K59" s="104" t="s">
        <v>19</v>
      </c>
      <c r="L59" s="104" t="s">
        <v>19</v>
      </c>
      <c r="M59" s="107" t="s">
        <v>19</v>
      </c>
      <c r="N59" s="1">
        <f t="shared" si="1"/>
        <v>8</v>
      </c>
    </row>
    <row r="60" spans="1:14">
      <c r="A60" s="32" t="s">
        <v>199</v>
      </c>
      <c r="B60" s="33">
        <v>147.07864176432199</v>
      </c>
      <c r="C60" s="34">
        <v>14.015575218200601</v>
      </c>
      <c r="D60" s="108">
        <v>47.435664056463558</v>
      </c>
      <c r="E60" s="109">
        <v>25.923673330185647</v>
      </c>
      <c r="F60" s="110">
        <v>36.511001353052841</v>
      </c>
      <c r="G60" s="110">
        <v>36.095819395061284</v>
      </c>
      <c r="H60" s="111">
        <v>48.212361890029889</v>
      </c>
      <c r="I60" s="112">
        <v>38.664421250960103</v>
      </c>
      <c r="J60" s="109">
        <v>31.79786181035044</v>
      </c>
      <c r="K60" s="109">
        <v>42.883840818526302</v>
      </c>
      <c r="L60" s="110">
        <v>67.662546617869083</v>
      </c>
      <c r="M60" s="123">
        <v>94.36713669237632</v>
      </c>
      <c r="N60" s="1">
        <f t="shared" si="1"/>
        <v>0</v>
      </c>
    </row>
    <row r="61" spans="1:14">
      <c r="A61" s="32" t="s">
        <v>200</v>
      </c>
      <c r="B61" s="33">
        <v>147.11461893717399</v>
      </c>
      <c r="C61" s="34">
        <v>9.1296669642130492</v>
      </c>
      <c r="D61" s="68">
        <v>1.985230965747423</v>
      </c>
      <c r="E61" s="46">
        <v>4.0314653222209307</v>
      </c>
      <c r="F61" s="46">
        <v>1.9395083361230965</v>
      </c>
      <c r="G61" s="46">
        <v>1.549908392945629</v>
      </c>
      <c r="H61" s="47">
        <v>1.9898377014287638</v>
      </c>
      <c r="I61" s="69">
        <v>1.7319693151710729</v>
      </c>
      <c r="J61" s="46">
        <v>2.9517176030956032</v>
      </c>
      <c r="K61" s="46">
        <v>2.2291240550768814</v>
      </c>
      <c r="L61" s="46">
        <v>2.1226179796411189</v>
      </c>
      <c r="M61" s="48">
        <v>2.3396297807501973</v>
      </c>
      <c r="N61" s="1">
        <f t="shared" si="1"/>
        <v>0</v>
      </c>
    </row>
    <row r="62" spans="1:14">
      <c r="A62" s="32" t="s">
        <v>201</v>
      </c>
      <c r="B62" s="33">
        <v>148.06221415201799</v>
      </c>
      <c r="C62" s="34">
        <v>14.2686616897583</v>
      </c>
      <c r="D62" s="108">
        <v>68.89074537716337</v>
      </c>
      <c r="E62" s="109">
        <v>22.228158626313981</v>
      </c>
      <c r="F62" s="109">
        <v>18.34914301679872</v>
      </c>
      <c r="G62" s="109">
        <v>10.217133311180381</v>
      </c>
      <c r="H62" s="114">
        <v>14.166944816907204</v>
      </c>
      <c r="I62" s="112">
        <v>58.553590745835109</v>
      </c>
      <c r="J62" s="109">
        <v>39.355302474830005</v>
      </c>
      <c r="K62" s="109">
        <v>42.898828561741439</v>
      </c>
      <c r="L62" s="109">
        <v>40.602273818670007</v>
      </c>
      <c r="M62" s="113">
        <v>40.254647690036904</v>
      </c>
      <c r="N62" s="1">
        <f t="shared" si="1"/>
        <v>0</v>
      </c>
    </row>
    <row r="63" spans="1:14">
      <c r="A63" s="32" t="s">
        <v>202</v>
      </c>
      <c r="B63" s="33">
        <v>150.06018168131499</v>
      </c>
      <c r="C63" s="34">
        <v>13.989854367574001</v>
      </c>
      <c r="D63" s="68">
        <v>1.9192089484135095</v>
      </c>
      <c r="E63" s="46">
        <v>1.375587565837088</v>
      </c>
      <c r="F63" s="46">
        <v>1.5380178899294259</v>
      </c>
      <c r="G63" s="46">
        <v>1.277406611776982</v>
      </c>
      <c r="H63" s="47">
        <v>1.7873781653717609</v>
      </c>
      <c r="I63" s="69">
        <v>1.5136767707021876</v>
      </c>
      <c r="J63" s="46">
        <v>1.3024709576593896</v>
      </c>
      <c r="K63" s="46">
        <v>1.5787624275554064</v>
      </c>
      <c r="L63" s="46">
        <v>1.4878454728403223</v>
      </c>
      <c r="M63" s="48">
        <v>1.4975136011429406</v>
      </c>
      <c r="N63" s="1">
        <f t="shared" si="1"/>
        <v>0</v>
      </c>
    </row>
    <row r="64" spans="1:14">
      <c r="A64" s="32" t="s">
        <v>203</v>
      </c>
      <c r="B64" s="33">
        <v>156.07840983072899</v>
      </c>
      <c r="C64" s="34">
        <v>9.6525168100992804</v>
      </c>
      <c r="D64" s="68">
        <v>1.2600521463030288</v>
      </c>
      <c r="E64" s="115">
        <v>0.96520802756388424</v>
      </c>
      <c r="F64" s="46">
        <v>1.1208404973645965</v>
      </c>
      <c r="G64" s="115">
        <v>0.94753271775494363</v>
      </c>
      <c r="H64" s="47">
        <v>1.2130078521061225</v>
      </c>
      <c r="I64" s="69">
        <v>1.0136977164808469</v>
      </c>
      <c r="J64" s="115">
        <v>0.89584712076120598</v>
      </c>
      <c r="K64" s="46">
        <v>1.0916606522835</v>
      </c>
      <c r="L64" s="46">
        <v>1.0015228584416778</v>
      </c>
      <c r="M64" s="48">
        <v>1.0049994589881184</v>
      </c>
      <c r="N64" s="1">
        <f t="shared" ref="N64:N81" si="2">COUNTIF(D64:M64,"N.D.")</f>
        <v>0</v>
      </c>
    </row>
    <row r="65" spans="1:14">
      <c r="A65" s="32" t="s">
        <v>204</v>
      </c>
      <c r="B65" s="33">
        <v>162.07737077985399</v>
      </c>
      <c r="C65" s="34">
        <v>14.285106318337499</v>
      </c>
      <c r="D65" s="118">
        <v>0.17054668551005098</v>
      </c>
      <c r="E65" s="115">
        <v>0.33119642612100786</v>
      </c>
      <c r="F65" s="115">
        <v>0.38722790910652272</v>
      </c>
      <c r="G65" s="39">
        <v>9.1206840990864513E-2</v>
      </c>
      <c r="H65" s="44">
        <v>9.4759894129746475E-2</v>
      </c>
      <c r="I65" s="116">
        <v>0.12956022983736459</v>
      </c>
      <c r="J65" s="115">
        <v>0.1593421715415794</v>
      </c>
      <c r="K65" s="115">
        <v>0.14787150138599561</v>
      </c>
      <c r="L65" s="122">
        <v>0.11534176426305592</v>
      </c>
      <c r="M65" s="124">
        <v>0.11007078807348027</v>
      </c>
      <c r="N65" s="1">
        <f t="shared" si="2"/>
        <v>0</v>
      </c>
    </row>
    <row r="66" spans="1:14">
      <c r="A66" s="32" t="s">
        <v>205</v>
      </c>
      <c r="B66" s="33">
        <v>162.114375523158</v>
      </c>
      <c r="C66" s="34">
        <v>11.227547781807999</v>
      </c>
      <c r="D66" s="118">
        <v>0.49413329041756343</v>
      </c>
      <c r="E66" s="115">
        <v>0.15857690614647962</v>
      </c>
      <c r="F66" s="115">
        <v>0.34745430554400847</v>
      </c>
      <c r="G66" s="115">
        <v>0.43839011474010481</v>
      </c>
      <c r="H66" s="34">
        <v>0.75319698448648376</v>
      </c>
      <c r="I66" s="116">
        <v>0.33007622639365319</v>
      </c>
      <c r="J66" s="115">
        <v>0.15205842677713088</v>
      </c>
      <c r="K66" s="115">
        <v>0.34211171055763812</v>
      </c>
      <c r="L66" s="115">
        <v>0.482915528492183</v>
      </c>
      <c r="M66" s="117">
        <v>0.61290896446763288</v>
      </c>
      <c r="N66" s="1">
        <f t="shared" si="2"/>
        <v>0</v>
      </c>
    </row>
    <row r="67" spans="1:14">
      <c r="A67" s="32" t="s">
        <v>206</v>
      </c>
      <c r="B67" s="33">
        <v>163.10952758789</v>
      </c>
      <c r="C67" s="34">
        <v>9.47692574395073</v>
      </c>
      <c r="D67" s="76">
        <v>7.5192452545142976E-3</v>
      </c>
      <c r="E67" s="73">
        <v>7.8800694366053699E-3</v>
      </c>
      <c r="F67" s="73">
        <v>4.7424148050853685E-3</v>
      </c>
      <c r="G67" s="104" t="s">
        <v>19</v>
      </c>
      <c r="H67" s="105" t="s">
        <v>19</v>
      </c>
      <c r="I67" s="77">
        <v>8.4338423584890618E-3</v>
      </c>
      <c r="J67" s="104" t="s">
        <v>19</v>
      </c>
      <c r="K67" s="73">
        <v>9.8748950975031252E-3</v>
      </c>
      <c r="L67" s="104" t="s">
        <v>19</v>
      </c>
      <c r="M67" s="107" t="s">
        <v>19</v>
      </c>
      <c r="N67" s="1">
        <f t="shared" si="2"/>
        <v>5</v>
      </c>
    </row>
    <row r="68" spans="1:14">
      <c r="A68" s="32" t="s">
        <v>207</v>
      </c>
      <c r="B68" s="33">
        <v>164.05885314941401</v>
      </c>
      <c r="C68" s="34">
        <v>13.3225151062011</v>
      </c>
      <c r="D68" s="103" t="s">
        <v>19</v>
      </c>
      <c r="E68" s="104" t="s">
        <v>19</v>
      </c>
      <c r="F68" s="104" t="s">
        <v>19</v>
      </c>
      <c r="G68" s="104" t="s">
        <v>19</v>
      </c>
      <c r="H68" s="55">
        <v>3.1196863612628534E-3</v>
      </c>
      <c r="I68" s="106" t="s">
        <v>19</v>
      </c>
      <c r="J68" s="104" t="s">
        <v>19</v>
      </c>
      <c r="K68" s="104" t="s">
        <v>19</v>
      </c>
      <c r="L68" s="104" t="s">
        <v>19</v>
      </c>
      <c r="M68" s="107" t="s">
        <v>19</v>
      </c>
      <c r="N68" s="1">
        <f t="shared" si="2"/>
        <v>9</v>
      </c>
    </row>
    <row r="69" spans="1:14">
      <c r="A69" s="32" t="s">
        <v>208</v>
      </c>
      <c r="B69" s="33">
        <v>166.052789960588</v>
      </c>
      <c r="C69" s="34">
        <v>15.331696374075699</v>
      </c>
      <c r="D69" s="54">
        <v>8.3207250285525586E-2</v>
      </c>
      <c r="E69" s="43">
        <v>5.5753650107046755E-2</v>
      </c>
      <c r="F69" s="43">
        <v>4.4848448536925274E-2</v>
      </c>
      <c r="G69" s="39">
        <v>3.3483842260965922E-2</v>
      </c>
      <c r="H69" s="44">
        <v>3.8488085383939129E-2</v>
      </c>
      <c r="I69" s="56">
        <v>8.5979697712313355E-2</v>
      </c>
      <c r="J69" s="43">
        <v>8.1373277434780886E-2</v>
      </c>
      <c r="K69" s="43">
        <v>4.3445472896939688E-2</v>
      </c>
      <c r="L69" s="43">
        <v>3.6760026279568161E-2</v>
      </c>
      <c r="M69" s="70">
        <v>4.146026438098329E-2</v>
      </c>
      <c r="N69" s="1">
        <f t="shared" si="2"/>
        <v>0</v>
      </c>
    </row>
    <row r="70" spans="1:14">
      <c r="A70" s="32" t="s">
        <v>209</v>
      </c>
      <c r="B70" s="33">
        <v>166.08736877441399</v>
      </c>
      <c r="C70" s="34">
        <v>14.487562243143699</v>
      </c>
      <c r="D70" s="68">
        <v>3.4766984730422021</v>
      </c>
      <c r="E70" s="46">
        <v>2.8473734155464676</v>
      </c>
      <c r="F70" s="46">
        <v>3.2879212264795163</v>
      </c>
      <c r="G70" s="46">
        <v>2.799963022479274</v>
      </c>
      <c r="H70" s="47">
        <v>3.5063664159154078</v>
      </c>
      <c r="I70" s="69">
        <v>2.7468207344120317</v>
      </c>
      <c r="J70" s="46">
        <v>2.5031364690865732</v>
      </c>
      <c r="K70" s="46">
        <v>2.9834441433964498</v>
      </c>
      <c r="L70" s="46">
        <v>2.485216397750007</v>
      </c>
      <c r="M70" s="48">
        <v>2.6279637935168885</v>
      </c>
      <c r="N70" s="1">
        <f t="shared" si="2"/>
        <v>0</v>
      </c>
    </row>
    <row r="71" spans="1:14">
      <c r="A71" s="32" t="s">
        <v>210</v>
      </c>
      <c r="B71" s="33">
        <v>168.06709566983301</v>
      </c>
      <c r="C71" s="34">
        <v>11.5647126978093</v>
      </c>
      <c r="D71" s="54">
        <v>1.5966394857627304E-2</v>
      </c>
      <c r="E71" s="43">
        <v>2.3902022830360047E-2</v>
      </c>
      <c r="F71" s="43">
        <v>1.0627821111435681E-2</v>
      </c>
      <c r="G71" s="73">
        <v>8.4227057014387898E-3</v>
      </c>
      <c r="H71" s="44">
        <v>1.6437565976985355E-2</v>
      </c>
      <c r="I71" s="106" t="s">
        <v>19</v>
      </c>
      <c r="J71" s="104" t="s">
        <v>19</v>
      </c>
      <c r="K71" s="104" t="s">
        <v>19</v>
      </c>
      <c r="L71" s="43">
        <v>1.1243936767492763E-2</v>
      </c>
      <c r="M71" s="70">
        <v>1.3188321674296054E-2</v>
      </c>
      <c r="N71" s="1">
        <f t="shared" si="2"/>
        <v>3</v>
      </c>
    </row>
    <row r="72" spans="1:14">
      <c r="A72" s="32" t="s">
        <v>211</v>
      </c>
      <c r="B72" s="33">
        <v>168.10401000976501</v>
      </c>
      <c r="C72" s="34">
        <v>11.641660118102999</v>
      </c>
      <c r="D72" s="103" t="s">
        <v>19</v>
      </c>
      <c r="E72" s="104" t="s">
        <v>19</v>
      </c>
      <c r="F72" s="104" t="s">
        <v>19</v>
      </c>
      <c r="G72" s="104" t="s">
        <v>19</v>
      </c>
      <c r="H72" s="105" t="s">
        <v>19</v>
      </c>
      <c r="I72" s="106" t="s">
        <v>19</v>
      </c>
      <c r="J72" s="104" t="s">
        <v>19</v>
      </c>
      <c r="K72" s="73">
        <v>6.3707879570826251E-3</v>
      </c>
      <c r="L72" s="104" t="s">
        <v>19</v>
      </c>
      <c r="M72" s="107" t="s">
        <v>19</v>
      </c>
      <c r="N72" s="1">
        <f t="shared" si="2"/>
        <v>9</v>
      </c>
    </row>
    <row r="73" spans="1:14">
      <c r="A73" s="32" t="s">
        <v>212</v>
      </c>
      <c r="B73" s="33">
        <v>168.10404357910099</v>
      </c>
      <c r="C73" s="34">
        <v>11.797583198547301</v>
      </c>
      <c r="D73" s="103" t="s">
        <v>19</v>
      </c>
      <c r="E73" s="104" t="s">
        <v>19</v>
      </c>
      <c r="F73" s="104" t="s">
        <v>19</v>
      </c>
      <c r="G73" s="104" t="s">
        <v>19</v>
      </c>
      <c r="H73" s="105" t="s">
        <v>19</v>
      </c>
      <c r="I73" s="106" t="s">
        <v>19</v>
      </c>
      <c r="J73" s="104" t="s">
        <v>19</v>
      </c>
      <c r="K73" s="73">
        <v>6.9068019217555622E-3</v>
      </c>
      <c r="L73" s="104" t="s">
        <v>19</v>
      </c>
      <c r="M73" s="107" t="s">
        <v>19</v>
      </c>
      <c r="N73" s="1">
        <f t="shared" si="2"/>
        <v>9</v>
      </c>
    </row>
    <row r="74" spans="1:14">
      <c r="A74" s="32" t="s">
        <v>213</v>
      </c>
      <c r="B74" s="33">
        <v>170.08246503557399</v>
      </c>
      <c r="C74" s="34">
        <v>11.3911848068237</v>
      </c>
      <c r="D74" s="41">
        <v>3.5168536789490668E-2</v>
      </c>
      <c r="E74" s="115">
        <v>0.10286019469831852</v>
      </c>
      <c r="F74" s="39">
        <v>5.8749164394554819E-2</v>
      </c>
      <c r="G74" s="39">
        <v>3.877302829394496E-2</v>
      </c>
      <c r="H74" s="44">
        <v>6.4626483504742663E-2</v>
      </c>
      <c r="I74" s="42">
        <v>2.4822222566218126E-2</v>
      </c>
      <c r="J74" s="39">
        <v>5.5581259859997581E-2</v>
      </c>
      <c r="K74" s="39">
        <v>3.3173329382150937E-2</v>
      </c>
      <c r="L74" s="39">
        <v>1.8400527920190462E-2</v>
      </c>
      <c r="M74" s="57">
        <v>3.6160339603459678E-2</v>
      </c>
      <c r="N74" s="1">
        <f t="shared" si="2"/>
        <v>0</v>
      </c>
    </row>
    <row r="75" spans="1:14">
      <c r="A75" s="32" t="s">
        <v>214</v>
      </c>
      <c r="B75" s="33">
        <v>170.09309278215599</v>
      </c>
      <c r="C75" s="34">
        <v>9.9099719864981495</v>
      </c>
      <c r="D75" s="41">
        <v>3.3037364293667111E-2</v>
      </c>
      <c r="E75" s="39">
        <v>3.4065221250219803E-2</v>
      </c>
      <c r="F75" s="39">
        <v>3.8994667185786931E-2</v>
      </c>
      <c r="G75" s="39">
        <v>4.4776847678282654E-2</v>
      </c>
      <c r="H75" s="44">
        <v>4.5340589503400551E-2</v>
      </c>
      <c r="I75" s="56">
        <v>2.7707043428978024E-2</v>
      </c>
      <c r="J75" s="39">
        <v>3.3200726926705809E-2</v>
      </c>
      <c r="K75" s="39">
        <v>3.0260343500518001E-2</v>
      </c>
      <c r="L75" s="39">
        <v>3.2383298692858747E-2</v>
      </c>
      <c r="M75" s="57">
        <v>3.5349924600794606E-2</v>
      </c>
      <c r="N75" s="1">
        <f t="shared" si="2"/>
        <v>0</v>
      </c>
    </row>
    <row r="76" spans="1:14">
      <c r="A76" s="32" t="s">
        <v>215</v>
      </c>
      <c r="B76" s="33">
        <v>175.12030029296801</v>
      </c>
      <c r="C76" s="34">
        <v>9.4265415827433205</v>
      </c>
      <c r="D76" s="118">
        <v>0.907549522530398</v>
      </c>
      <c r="E76" s="46">
        <v>1.7798430658161526</v>
      </c>
      <c r="F76" s="115">
        <v>0.61274562066721583</v>
      </c>
      <c r="G76" s="115">
        <v>0.55051623248434678</v>
      </c>
      <c r="H76" s="34">
        <v>0.75360472033421189</v>
      </c>
      <c r="I76" s="116">
        <v>0.78340818611709373</v>
      </c>
      <c r="J76" s="46">
        <v>1.3010295576394266</v>
      </c>
      <c r="K76" s="115">
        <v>0.82420708566913126</v>
      </c>
      <c r="L76" s="115">
        <v>0.82400305074121061</v>
      </c>
      <c r="M76" s="117">
        <v>0.89208525873378297</v>
      </c>
      <c r="N76" s="1">
        <f t="shared" si="2"/>
        <v>0</v>
      </c>
    </row>
    <row r="77" spans="1:14">
      <c r="A77" s="32" t="s">
        <v>216</v>
      </c>
      <c r="B77" s="33">
        <v>176.10534885951401</v>
      </c>
      <c r="C77" s="34">
        <v>14.440093244825</v>
      </c>
      <c r="D77" s="54">
        <v>1.6086772407964037E-2</v>
      </c>
      <c r="E77" s="39">
        <v>2.8807667470803471E-2</v>
      </c>
      <c r="F77" s="39">
        <v>3.3967207006343467E-2</v>
      </c>
      <c r="G77" s="39">
        <v>4.0828619989794153E-2</v>
      </c>
      <c r="H77" s="44">
        <v>5.6212754072533976E-2</v>
      </c>
      <c r="I77" s="106" t="s">
        <v>19</v>
      </c>
      <c r="J77" s="43">
        <v>2.4732238316668896E-2</v>
      </c>
      <c r="K77" s="43">
        <v>2.3476426641411186E-2</v>
      </c>
      <c r="L77" s="39">
        <v>3.149775452951125E-2</v>
      </c>
      <c r="M77" s="57">
        <v>4.8973971070130726E-2</v>
      </c>
      <c r="N77" s="1">
        <f t="shared" si="2"/>
        <v>1</v>
      </c>
    </row>
    <row r="78" spans="1:14">
      <c r="A78" s="32" t="s">
        <v>217</v>
      </c>
      <c r="B78" s="33">
        <v>177.10306396484299</v>
      </c>
      <c r="C78" s="34">
        <v>11.555538940429599</v>
      </c>
      <c r="D78" s="54">
        <v>1.0708777491936635E-2</v>
      </c>
      <c r="E78" s="104" t="s">
        <v>19</v>
      </c>
      <c r="F78" s="104" t="s">
        <v>19</v>
      </c>
      <c r="G78" s="104" t="s">
        <v>19</v>
      </c>
      <c r="H78" s="105" t="s">
        <v>19</v>
      </c>
      <c r="I78" s="106" t="s">
        <v>19</v>
      </c>
      <c r="J78" s="104" t="s">
        <v>19</v>
      </c>
      <c r="K78" s="104" t="s">
        <v>19</v>
      </c>
      <c r="L78" s="104" t="s">
        <v>19</v>
      </c>
      <c r="M78" s="107" t="s">
        <v>19</v>
      </c>
      <c r="N78" s="1">
        <f t="shared" si="2"/>
        <v>9</v>
      </c>
    </row>
    <row r="79" spans="1:14">
      <c r="A79" s="32" t="s">
        <v>218</v>
      </c>
      <c r="B79" s="33">
        <v>182.083157348632</v>
      </c>
      <c r="C79" s="34">
        <v>14.814643033345501</v>
      </c>
      <c r="D79" s="68">
        <v>4.2687692727629907</v>
      </c>
      <c r="E79" s="46">
        <v>3.2400664689246113</v>
      </c>
      <c r="F79" s="46">
        <v>4.0555602108313069</v>
      </c>
      <c r="G79" s="46">
        <v>3.5036780910731449</v>
      </c>
      <c r="H79" s="47">
        <v>4.1021351350568214</v>
      </c>
      <c r="I79" s="69">
        <v>3.3562426626410109</v>
      </c>
      <c r="J79" s="46">
        <v>3.048696761619853</v>
      </c>
      <c r="K79" s="46">
        <v>3.7426305392707189</v>
      </c>
      <c r="L79" s="46">
        <v>3.2934188860589675</v>
      </c>
      <c r="M79" s="48">
        <v>3.6234494915801712</v>
      </c>
      <c r="N79" s="1">
        <f t="shared" si="2"/>
        <v>0</v>
      </c>
    </row>
    <row r="80" spans="1:14">
      <c r="A80" s="32" t="s">
        <v>219</v>
      </c>
      <c r="B80" s="33">
        <v>184.07487269810201</v>
      </c>
      <c r="C80" s="34">
        <v>25.859270368303498</v>
      </c>
      <c r="D80" s="68">
        <v>8.4274711351199318</v>
      </c>
      <c r="E80" s="46">
        <v>2.6336406601853835</v>
      </c>
      <c r="F80" s="46">
        <v>3.3360876047797152</v>
      </c>
      <c r="G80" s="46">
        <v>1.7466536024585524</v>
      </c>
      <c r="H80" s="47">
        <v>2.3676640872475359</v>
      </c>
      <c r="I80" s="112">
        <v>10.950001622200938</v>
      </c>
      <c r="J80" s="46">
        <v>6.4394750713559121</v>
      </c>
      <c r="K80" s="46">
        <v>8.5507916808006872</v>
      </c>
      <c r="L80" s="46">
        <v>8.7899882178479611</v>
      </c>
      <c r="M80" s="48">
        <v>9.3440948089438809</v>
      </c>
      <c r="N80" s="1">
        <f t="shared" si="2"/>
        <v>0</v>
      </c>
    </row>
    <row r="81" spans="1:14">
      <c r="A81" s="32" t="s">
        <v>220</v>
      </c>
      <c r="B81" s="33">
        <v>188.17593955993601</v>
      </c>
      <c r="C81" s="34">
        <v>8.4366941452026296</v>
      </c>
      <c r="D81" s="103" t="s">
        <v>19</v>
      </c>
      <c r="E81" s="104" t="s">
        <v>19</v>
      </c>
      <c r="F81" s="39">
        <v>2.5711066563656165E-2</v>
      </c>
      <c r="G81" s="73">
        <v>5.7951912220475807E-3</v>
      </c>
      <c r="H81" s="105" t="s">
        <v>19</v>
      </c>
      <c r="I81" s="106" t="s">
        <v>19</v>
      </c>
      <c r="J81" s="43">
        <v>1.1337304534825515E-2</v>
      </c>
      <c r="K81" s="73">
        <v>5.5324812376904E-3</v>
      </c>
      <c r="L81" s="104" t="s">
        <v>19</v>
      </c>
      <c r="M81" s="107" t="s">
        <v>19</v>
      </c>
      <c r="N81" s="1">
        <f t="shared" si="2"/>
        <v>6</v>
      </c>
    </row>
    <row r="82" spans="1:14">
      <c r="A82" s="32" t="s">
        <v>221</v>
      </c>
      <c r="B82" s="33">
        <v>189.12455749511699</v>
      </c>
      <c r="C82" s="34">
        <v>12.8239067077636</v>
      </c>
      <c r="D82" s="54">
        <v>1.3507612516873942E-2</v>
      </c>
      <c r="E82" s="104" t="s">
        <v>19</v>
      </c>
      <c r="F82" s="73">
        <v>6.0311519924945165E-3</v>
      </c>
      <c r="G82" s="104" t="s">
        <v>19</v>
      </c>
      <c r="H82" s="55">
        <v>6.8306107807583972E-3</v>
      </c>
      <c r="I82" s="106" t="s">
        <v>19</v>
      </c>
      <c r="J82" s="73">
        <v>7.3340033623954994E-3</v>
      </c>
      <c r="K82" s="73">
        <v>9.5824738379448118E-3</v>
      </c>
      <c r="L82" s="104" t="s">
        <v>19</v>
      </c>
      <c r="M82" s="70">
        <v>1.2830397763141118E-2</v>
      </c>
      <c r="N82" s="1">
        <f t="shared" ref="N82:N99" si="3">COUNTIF(D82:M82,"N.D.")</f>
        <v>4</v>
      </c>
    </row>
    <row r="83" spans="1:14">
      <c r="A83" s="32" t="s">
        <v>222</v>
      </c>
      <c r="B83" s="33">
        <v>189.12603759765599</v>
      </c>
      <c r="C83" s="34">
        <v>14.9254549026489</v>
      </c>
      <c r="D83" s="103" t="s">
        <v>19</v>
      </c>
      <c r="E83" s="104" t="s">
        <v>19</v>
      </c>
      <c r="F83" s="104" t="s">
        <v>19</v>
      </c>
      <c r="G83" s="104" t="s">
        <v>19</v>
      </c>
      <c r="H83" s="55">
        <v>6.4238676067848912E-3</v>
      </c>
      <c r="I83" s="106" t="s">
        <v>19</v>
      </c>
      <c r="J83" s="104" t="s">
        <v>19</v>
      </c>
      <c r="K83" s="104" t="s">
        <v>19</v>
      </c>
      <c r="L83" s="104" t="s">
        <v>19</v>
      </c>
      <c r="M83" s="107" t="s">
        <v>19</v>
      </c>
      <c r="N83" s="1">
        <f t="shared" si="3"/>
        <v>9</v>
      </c>
    </row>
    <row r="84" spans="1:14">
      <c r="A84" s="32" t="s">
        <v>223</v>
      </c>
      <c r="B84" s="33">
        <v>189.15690939767001</v>
      </c>
      <c r="C84" s="34">
        <v>9.5236926078796298</v>
      </c>
      <c r="D84" s="54">
        <v>1.6461425944107117E-2</v>
      </c>
      <c r="E84" s="73">
        <v>7.7904149786312028E-3</v>
      </c>
      <c r="F84" s="73">
        <v>7.3078046850223568E-3</v>
      </c>
      <c r="G84" s="67">
        <v>7.9102122791806645E-3</v>
      </c>
      <c r="H84" s="55">
        <v>8.2274419440961696E-3</v>
      </c>
      <c r="I84" s="56">
        <v>1.3876126933297293E-2</v>
      </c>
      <c r="J84" s="73">
        <v>6.7383599781777942E-3</v>
      </c>
      <c r="K84" s="43">
        <v>1.2809688783609312E-2</v>
      </c>
      <c r="L84" s="43">
        <v>1.2206464989459475E-2</v>
      </c>
      <c r="M84" s="70">
        <v>1.1040980414674672E-2</v>
      </c>
      <c r="N84" s="1">
        <f t="shared" si="3"/>
        <v>0</v>
      </c>
    </row>
    <row r="85" spans="1:14">
      <c r="A85" s="32" t="s">
        <v>224</v>
      </c>
      <c r="B85" s="33">
        <v>193.06980895996</v>
      </c>
      <c r="C85" s="34">
        <v>11.5071223974227</v>
      </c>
      <c r="D85" s="103" t="s">
        <v>19</v>
      </c>
      <c r="E85" s="104" t="s">
        <v>19</v>
      </c>
      <c r="F85" s="73">
        <v>6.8877959679236366E-3</v>
      </c>
      <c r="G85" s="73">
        <v>5.9672238255680443E-3</v>
      </c>
      <c r="H85" s="55">
        <v>8.1855706037035608E-3</v>
      </c>
      <c r="I85" s="106" t="s">
        <v>19</v>
      </c>
      <c r="J85" s="104" t="s">
        <v>19</v>
      </c>
      <c r="K85" s="104" t="s">
        <v>19</v>
      </c>
      <c r="L85" s="104" t="s">
        <v>19</v>
      </c>
      <c r="M85" s="107" t="s">
        <v>19</v>
      </c>
      <c r="N85" s="1">
        <f t="shared" si="3"/>
        <v>7</v>
      </c>
    </row>
    <row r="86" spans="1:14">
      <c r="A86" s="32" t="s">
        <v>225</v>
      </c>
      <c r="B86" s="33">
        <v>198.08808898925699</v>
      </c>
      <c r="C86" s="34">
        <v>12.8913089036941</v>
      </c>
      <c r="D86" s="76">
        <v>4.6657612468252209E-3</v>
      </c>
      <c r="E86" s="104" t="s">
        <v>19</v>
      </c>
      <c r="F86" s="73">
        <v>3.8192099943376418E-3</v>
      </c>
      <c r="G86" s="73">
        <v>3.8399379154397781E-3</v>
      </c>
      <c r="H86" s="55">
        <v>3.7989042135100274E-3</v>
      </c>
      <c r="I86" s="106" t="s">
        <v>19</v>
      </c>
      <c r="J86" s="104" t="s">
        <v>19</v>
      </c>
      <c r="K86" s="104" t="s">
        <v>19</v>
      </c>
      <c r="L86" s="104" t="s">
        <v>19</v>
      </c>
      <c r="M86" s="107" t="s">
        <v>19</v>
      </c>
      <c r="N86" s="1">
        <f t="shared" si="3"/>
        <v>6</v>
      </c>
    </row>
    <row r="87" spans="1:14">
      <c r="A87" s="32" t="s">
        <v>226</v>
      </c>
      <c r="B87" s="33">
        <v>200.07808329264299</v>
      </c>
      <c r="C87" s="34">
        <v>9.4250398635864201</v>
      </c>
      <c r="D87" s="118">
        <v>0.36561514471746442</v>
      </c>
      <c r="E87" s="115">
        <v>0.3196852028857694</v>
      </c>
      <c r="F87" s="115">
        <v>0.52182262435215621</v>
      </c>
      <c r="G87" s="115">
        <v>0.25087189208716332</v>
      </c>
      <c r="H87" s="34">
        <v>0.27840091867805705</v>
      </c>
      <c r="I87" s="116">
        <v>0.27993455095031144</v>
      </c>
      <c r="J87" s="115">
        <v>0.31646114676749632</v>
      </c>
      <c r="K87" s="115">
        <v>0.34586878720631126</v>
      </c>
      <c r="L87" s="115">
        <v>0.34732651359657302</v>
      </c>
      <c r="M87" s="117">
        <v>0.33192470101615396</v>
      </c>
      <c r="N87" s="1">
        <f t="shared" si="3"/>
        <v>0</v>
      </c>
    </row>
    <row r="88" spans="1:14">
      <c r="A88" s="32" t="s">
        <v>227</v>
      </c>
      <c r="B88" s="33">
        <v>203.15144920349101</v>
      </c>
      <c r="C88" s="34">
        <v>10.150394916534401</v>
      </c>
      <c r="D88" s="103" t="s">
        <v>19</v>
      </c>
      <c r="E88" s="43">
        <v>1.2853078315884905E-2</v>
      </c>
      <c r="F88" s="39">
        <v>1.3719091638984373E-2</v>
      </c>
      <c r="G88" s="39">
        <v>1.2088968880705948E-2</v>
      </c>
      <c r="H88" s="71">
        <v>1.1070739694874349E-2</v>
      </c>
      <c r="I88" s="106" t="s">
        <v>19</v>
      </c>
      <c r="J88" s="104" t="s">
        <v>19</v>
      </c>
      <c r="K88" s="104" t="s">
        <v>19</v>
      </c>
      <c r="L88" s="104" t="s">
        <v>19</v>
      </c>
      <c r="M88" s="107" t="s">
        <v>19</v>
      </c>
      <c r="N88" s="1">
        <f t="shared" si="3"/>
        <v>6</v>
      </c>
    </row>
    <row r="89" spans="1:14">
      <c r="A89" s="32" t="s">
        <v>228</v>
      </c>
      <c r="B89" s="33">
        <v>204.12384905133899</v>
      </c>
      <c r="C89" s="34">
        <v>11.8959743635995</v>
      </c>
      <c r="D89" s="118">
        <v>0.27334290595918748</v>
      </c>
      <c r="E89" s="115">
        <v>0.13772128645885973</v>
      </c>
      <c r="F89" s="115">
        <v>0.10829680678777101</v>
      </c>
      <c r="G89" s="115">
        <v>0.14263226173863283</v>
      </c>
      <c r="H89" s="34">
        <v>0.21587598559115379</v>
      </c>
      <c r="I89" s="116">
        <v>0.26397629618441354</v>
      </c>
      <c r="J89" s="115">
        <v>0.16897401877583015</v>
      </c>
      <c r="K89" s="115">
        <v>0.12150417232107751</v>
      </c>
      <c r="L89" s="115">
        <v>0.19016011482764539</v>
      </c>
      <c r="M89" s="117">
        <v>0.14946227016406249</v>
      </c>
      <c r="N89" s="1">
        <f t="shared" si="3"/>
        <v>0</v>
      </c>
    </row>
    <row r="90" spans="1:14">
      <c r="A90" s="32" t="s">
        <v>229</v>
      </c>
      <c r="B90" s="33">
        <v>205.09855346679601</v>
      </c>
      <c r="C90" s="34">
        <v>14.393465105692499</v>
      </c>
      <c r="D90" s="118">
        <v>0.94201745366499134</v>
      </c>
      <c r="E90" s="115">
        <v>0.81779326882971759</v>
      </c>
      <c r="F90" s="115">
        <v>0.81001221243641475</v>
      </c>
      <c r="G90" s="115">
        <v>0.77173642394755437</v>
      </c>
      <c r="H90" s="47">
        <v>1.0040470654785325</v>
      </c>
      <c r="I90" s="116">
        <v>0.85266044982913336</v>
      </c>
      <c r="J90" s="115">
        <v>0.76001671172238228</v>
      </c>
      <c r="K90" s="115">
        <v>0.84440415781583755</v>
      </c>
      <c r="L90" s="115">
        <v>0.79148332064367122</v>
      </c>
      <c r="M90" s="117">
        <v>0.81150702017540788</v>
      </c>
      <c r="N90" s="1">
        <f t="shared" si="3"/>
        <v>0</v>
      </c>
    </row>
    <row r="91" spans="1:14">
      <c r="A91" s="32" t="s">
        <v>230</v>
      </c>
      <c r="B91" s="33">
        <v>209.09506056043799</v>
      </c>
      <c r="C91" s="34">
        <v>12.915636804368701</v>
      </c>
      <c r="D91" s="103" t="s">
        <v>19</v>
      </c>
      <c r="E91" s="104" t="s">
        <v>19</v>
      </c>
      <c r="F91" s="73">
        <v>8.0580251494513644E-3</v>
      </c>
      <c r="G91" s="73">
        <v>5.2219562741732863E-3</v>
      </c>
      <c r="H91" s="55">
        <v>8.0933886044973376E-3</v>
      </c>
      <c r="I91" s="77">
        <v>7.2845603745718438E-3</v>
      </c>
      <c r="J91" s="104" t="s">
        <v>19</v>
      </c>
      <c r="K91" s="73">
        <v>7.9446123319915629E-3</v>
      </c>
      <c r="L91" s="104" t="s">
        <v>19</v>
      </c>
      <c r="M91" s="107" t="s">
        <v>19</v>
      </c>
      <c r="N91" s="1">
        <f t="shared" si="3"/>
        <v>5</v>
      </c>
    </row>
    <row r="92" spans="1:14">
      <c r="A92" s="32" t="s">
        <v>231</v>
      </c>
      <c r="B92" s="33">
        <v>214.052406897911</v>
      </c>
      <c r="C92" s="34">
        <v>15.1661630043616</v>
      </c>
      <c r="D92" s="103" t="s">
        <v>19</v>
      </c>
      <c r="E92" s="115">
        <v>0.25800827998799081</v>
      </c>
      <c r="F92" s="39">
        <v>5.0995656328191474E-2</v>
      </c>
      <c r="G92" s="39">
        <v>2.8648296407957453E-2</v>
      </c>
      <c r="H92" s="55">
        <v>6.3068056924582066E-3</v>
      </c>
      <c r="I92" s="42">
        <v>5.3321898291367187E-2</v>
      </c>
      <c r="J92" s="43">
        <v>5.2823746731880519E-2</v>
      </c>
      <c r="K92" s="39">
        <v>6.8041380773994381E-2</v>
      </c>
      <c r="L92" s="39">
        <v>5.3650437659079203E-2</v>
      </c>
      <c r="M92" s="57">
        <v>4.9243807616356723E-2</v>
      </c>
      <c r="N92" s="1">
        <f t="shared" si="3"/>
        <v>1</v>
      </c>
    </row>
    <row r="93" spans="1:14">
      <c r="A93" s="120" t="s">
        <v>232</v>
      </c>
      <c r="B93" s="33">
        <v>222.099344889322</v>
      </c>
      <c r="C93" s="34">
        <v>27.510906060536701</v>
      </c>
      <c r="D93" s="119">
        <v>0.11529049077030576</v>
      </c>
      <c r="E93" s="43">
        <v>4.4681003643712726E-2</v>
      </c>
      <c r="F93" s="43">
        <v>2.3349851995387725E-2</v>
      </c>
      <c r="G93" s="104" t="s">
        <v>19</v>
      </c>
      <c r="H93" s="105" t="s">
        <v>19</v>
      </c>
      <c r="I93" s="56">
        <v>8.0983179251085211E-2</v>
      </c>
      <c r="J93" s="43">
        <v>4.9247886263639191E-2</v>
      </c>
      <c r="K93" s="43">
        <v>5.3931584507555128E-2</v>
      </c>
      <c r="L93" s="43">
        <v>4.7169387465554997E-2</v>
      </c>
      <c r="M93" s="70">
        <v>5.8218241638626503E-2</v>
      </c>
      <c r="N93" s="1">
        <f t="shared" si="3"/>
        <v>2</v>
      </c>
    </row>
    <row r="94" spans="1:14">
      <c r="A94" s="32" t="s">
        <v>233</v>
      </c>
      <c r="B94" s="33">
        <v>228.098885672433</v>
      </c>
      <c r="C94" s="34">
        <v>12.384829044342</v>
      </c>
      <c r="D94" s="54">
        <v>2.0579980572812882E-2</v>
      </c>
      <c r="E94" s="43">
        <v>1.2571671675529212E-2</v>
      </c>
      <c r="F94" s="73">
        <v>7.3644350810124987E-3</v>
      </c>
      <c r="G94" s="67">
        <v>9.5145147835238898E-3</v>
      </c>
      <c r="H94" s="79">
        <v>7.0289222111140229E-3</v>
      </c>
      <c r="I94" s="56">
        <v>1.7078018943329897E-2</v>
      </c>
      <c r="J94" s="43">
        <v>1.5676671528827575E-2</v>
      </c>
      <c r="K94" s="43">
        <v>1.0678626533154562E-2</v>
      </c>
      <c r="L94" s="43">
        <v>1.2200207688552303E-2</v>
      </c>
      <c r="M94" s="74">
        <v>9.8804614375815128E-3</v>
      </c>
      <c r="N94" s="1">
        <f t="shared" si="3"/>
        <v>0</v>
      </c>
    </row>
    <row r="95" spans="1:14">
      <c r="A95" s="32" t="s">
        <v>234</v>
      </c>
      <c r="B95" s="33">
        <v>230.18753051757801</v>
      </c>
      <c r="C95" s="34">
        <v>13.4623607907976</v>
      </c>
      <c r="D95" s="103" t="s">
        <v>19</v>
      </c>
      <c r="E95" s="104" t="s">
        <v>19</v>
      </c>
      <c r="F95" s="80">
        <v>3.954812856003011E-4</v>
      </c>
      <c r="G95" s="104" t="s">
        <v>19</v>
      </c>
      <c r="H95" s="105" t="s">
        <v>19</v>
      </c>
      <c r="I95" s="77">
        <v>2.0997696769296669E-3</v>
      </c>
      <c r="J95" s="104" t="s">
        <v>19</v>
      </c>
      <c r="K95" s="73">
        <v>4.7283242816630313E-3</v>
      </c>
      <c r="L95" s="104" t="s">
        <v>19</v>
      </c>
      <c r="M95" s="107" t="s">
        <v>19</v>
      </c>
      <c r="N95" s="1">
        <f t="shared" si="3"/>
        <v>7</v>
      </c>
    </row>
    <row r="96" spans="1:14">
      <c r="A96" s="120" t="s">
        <v>235</v>
      </c>
      <c r="B96" s="33">
        <v>243.10800170898401</v>
      </c>
      <c r="C96" s="34">
        <v>27.553817476544999</v>
      </c>
      <c r="D96" s="108">
        <v>19.969965207783652</v>
      </c>
      <c r="E96" s="109">
        <v>18.952442220245324</v>
      </c>
      <c r="F96" s="109">
        <v>11.349069684450738</v>
      </c>
      <c r="G96" s="46">
        <v>5.1737487025278828</v>
      </c>
      <c r="H96" s="47">
        <v>6.3330104217185061</v>
      </c>
      <c r="I96" s="112">
        <v>22.201336114123329</v>
      </c>
      <c r="J96" s="109">
        <v>26.061522549803897</v>
      </c>
      <c r="K96" s="109">
        <v>20.910852690392563</v>
      </c>
      <c r="L96" s="109">
        <v>16.48356194507204</v>
      </c>
      <c r="M96" s="113">
        <v>16.399905716275462</v>
      </c>
      <c r="N96" s="1">
        <f t="shared" si="3"/>
        <v>0</v>
      </c>
    </row>
    <row r="97" spans="1:14">
      <c r="A97" s="32" t="s">
        <v>236</v>
      </c>
      <c r="B97" s="33">
        <v>244.10334777832</v>
      </c>
      <c r="C97" s="34">
        <v>12.717720858256</v>
      </c>
      <c r="D97" s="41">
        <v>4.098943118763413E-2</v>
      </c>
      <c r="E97" s="39">
        <v>7.4764201607412956E-2</v>
      </c>
      <c r="F97" s="39">
        <v>9.8826807759609933E-2</v>
      </c>
      <c r="G97" s="39">
        <v>4.2114914740198593E-2</v>
      </c>
      <c r="H97" s="44">
        <v>3.1549205092778532E-2</v>
      </c>
      <c r="I97" s="56">
        <v>2.5232728589705523E-2</v>
      </c>
      <c r="J97" s="39">
        <v>5.9676480875619331E-2</v>
      </c>
      <c r="K97" s="39">
        <v>6.1095558153987435E-2</v>
      </c>
      <c r="L97" s="39">
        <v>5.1617565258953294E-2</v>
      </c>
      <c r="M97" s="57">
        <v>4.5574782370418489E-2</v>
      </c>
      <c r="N97" s="1">
        <f t="shared" si="3"/>
        <v>0</v>
      </c>
    </row>
    <row r="98" spans="1:14">
      <c r="A98" s="32" t="s">
        <v>237</v>
      </c>
      <c r="B98" s="33">
        <v>249.06511252267001</v>
      </c>
      <c r="C98" s="34">
        <v>13.685883045196499</v>
      </c>
      <c r="D98" s="54">
        <v>2.3056628271599999E-2</v>
      </c>
      <c r="E98" s="43">
        <v>1.5442499391319628E-2</v>
      </c>
      <c r="F98" s="43">
        <v>1.6052680733079659E-2</v>
      </c>
      <c r="G98" s="43">
        <v>1.1137512144973187E-2</v>
      </c>
      <c r="H98" s="71">
        <v>2.0883073298282557E-2</v>
      </c>
      <c r="I98" s="56">
        <v>2.1909306866806772E-2</v>
      </c>
      <c r="J98" s="43">
        <v>2.037817553443522E-2</v>
      </c>
      <c r="K98" s="43">
        <v>2.6035817858713561E-2</v>
      </c>
      <c r="L98" s="43">
        <v>2.1338727842978814E-2</v>
      </c>
      <c r="M98" s="70">
        <v>1.3830090978570459E-2</v>
      </c>
      <c r="N98" s="1">
        <f t="shared" si="3"/>
        <v>0</v>
      </c>
    </row>
    <row r="99" spans="1:14">
      <c r="A99" s="32" t="s">
        <v>238</v>
      </c>
      <c r="B99" s="33">
        <v>252.10958557128899</v>
      </c>
      <c r="C99" s="34">
        <v>12.7057695388793</v>
      </c>
      <c r="D99" s="103" t="s">
        <v>19</v>
      </c>
      <c r="E99" s="104" t="s">
        <v>19</v>
      </c>
      <c r="F99" s="104" t="s">
        <v>19</v>
      </c>
      <c r="G99" s="104" t="s">
        <v>19</v>
      </c>
      <c r="H99" s="105" t="s">
        <v>19</v>
      </c>
      <c r="I99" s="106" t="s">
        <v>19</v>
      </c>
      <c r="J99" s="104" t="s">
        <v>19</v>
      </c>
      <c r="K99" s="73">
        <v>4.3628398471752122E-3</v>
      </c>
      <c r="L99" s="104" t="s">
        <v>19</v>
      </c>
      <c r="M99" s="107" t="s">
        <v>19</v>
      </c>
      <c r="N99" s="1">
        <f t="shared" si="3"/>
        <v>9</v>
      </c>
    </row>
    <row r="100" spans="1:14">
      <c r="A100" s="32" t="s">
        <v>239</v>
      </c>
      <c r="B100" s="33">
        <v>253.09439849853501</v>
      </c>
      <c r="C100" s="34">
        <v>16.340309143066399</v>
      </c>
      <c r="D100" s="103" t="s">
        <v>19</v>
      </c>
      <c r="E100" s="104" t="s">
        <v>19</v>
      </c>
      <c r="F100" s="104" t="s">
        <v>19</v>
      </c>
      <c r="G100" s="104" t="s">
        <v>19</v>
      </c>
      <c r="H100" s="105" t="s">
        <v>19</v>
      </c>
      <c r="I100" s="106" t="s">
        <v>19</v>
      </c>
      <c r="J100" s="104" t="s">
        <v>19</v>
      </c>
      <c r="K100" s="104" t="s">
        <v>19</v>
      </c>
      <c r="L100" s="104" t="s">
        <v>19</v>
      </c>
      <c r="M100" s="107" t="s">
        <v>19</v>
      </c>
    </row>
    <row r="101" spans="1:14">
      <c r="A101" s="32" t="s">
        <v>240</v>
      </c>
      <c r="B101" s="33">
        <v>253.09521865844701</v>
      </c>
      <c r="C101" s="34">
        <v>23.014111995697</v>
      </c>
      <c r="D101" s="103" t="s">
        <v>19</v>
      </c>
      <c r="E101" s="104" t="s">
        <v>19</v>
      </c>
      <c r="F101" s="104" t="s">
        <v>19</v>
      </c>
      <c r="G101" s="104" t="s">
        <v>19</v>
      </c>
      <c r="H101" s="105" t="s">
        <v>19</v>
      </c>
      <c r="I101" s="106" t="s">
        <v>19</v>
      </c>
      <c r="J101" s="104" t="s">
        <v>19</v>
      </c>
      <c r="K101" s="104" t="s">
        <v>19</v>
      </c>
      <c r="L101" s="104" t="s">
        <v>19</v>
      </c>
      <c r="M101" s="107" t="s">
        <v>19</v>
      </c>
    </row>
    <row r="102" spans="1:14">
      <c r="A102" s="32" t="s">
        <v>241</v>
      </c>
      <c r="B102" s="33">
        <v>256.10576629638598</v>
      </c>
      <c r="C102" s="34">
        <v>14.525089740753099</v>
      </c>
      <c r="D102" s="103" t="s">
        <v>19</v>
      </c>
      <c r="E102" s="104" t="s">
        <v>19</v>
      </c>
      <c r="F102" s="104" t="s">
        <v>19</v>
      </c>
      <c r="G102" s="104" t="s">
        <v>19</v>
      </c>
      <c r="H102" s="105" t="s">
        <v>19</v>
      </c>
      <c r="I102" s="106" t="s">
        <v>19</v>
      </c>
      <c r="J102" s="104" t="s">
        <v>19</v>
      </c>
      <c r="K102" s="104" t="s">
        <v>19</v>
      </c>
      <c r="L102" s="104" t="s">
        <v>19</v>
      </c>
      <c r="M102" s="107" t="s">
        <v>19</v>
      </c>
    </row>
    <row r="103" spans="1:14">
      <c r="A103" s="32" t="s">
        <v>242</v>
      </c>
      <c r="B103" s="33">
        <v>258.11122131347599</v>
      </c>
      <c r="C103" s="34">
        <v>27.089748382568299</v>
      </c>
      <c r="D103" s="68">
        <v>1.9210076762404809</v>
      </c>
      <c r="E103" s="115">
        <v>0.366502149742231</v>
      </c>
      <c r="F103" s="115">
        <v>0.70080697779430956</v>
      </c>
      <c r="G103" s="46">
        <v>1.3491187975854717</v>
      </c>
      <c r="H103" s="47">
        <v>1.5976783789656281</v>
      </c>
      <c r="I103" s="69">
        <v>1.8186800539292602</v>
      </c>
      <c r="J103" s="115">
        <v>0.52106025836358238</v>
      </c>
      <c r="K103" s="115">
        <v>0.82260881384930007</v>
      </c>
      <c r="L103" s="46">
        <v>2.0520419890422041</v>
      </c>
      <c r="M103" s="48">
        <v>2.840951681792987</v>
      </c>
    </row>
    <row r="104" spans="1:14">
      <c r="A104" s="32" t="s">
        <v>243</v>
      </c>
      <c r="B104" s="33">
        <v>265.11305098100098</v>
      </c>
      <c r="C104" s="34">
        <v>8.7875987833196394</v>
      </c>
      <c r="D104" s="103" t="s">
        <v>19</v>
      </c>
      <c r="E104" s="115">
        <v>0.17565498691238379</v>
      </c>
      <c r="F104" s="39">
        <v>2.1226895217427242E-2</v>
      </c>
      <c r="G104" s="73">
        <v>6.4014008510725612E-3</v>
      </c>
      <c r="H104" s="55">
        <v>7.5962690054503816E-3</v>
      </c>
      <c r="I104" s="56">
        <v>1.3053190114138229E-2</v>
      </c>
      <c r="J104" s="39">
        <v>9.6614137960496338E-2</v>
      </c>
      <c r="K104" s="39">
        <v>2.4930810134659628E-2</v>
      </c>
      <c r="L104" s="104" t="s">
        <v>19</v>
      </c>
      <c r="M104" s="107" t="s">
        <v>19</v>
      </c>
    </row>
    <row r="105" spans="1:14">
      <c r="A105" s="32" t="s">
        <v>244</v>
      </c>
      <c r="B105" s="33">
        <v>266.12608337402298</v>
      </c>
      <c r="C105" s="34">
        <v>13.139068126678399</v>
      </c>
      <c r="D105" s="103" t="s">
        <v>19</v>
      </c>
      <c r="E105" s="104" t="s">
        <v>19</v>
      </c>
      <c r="F105" s="104" t="s">
        <v>19</v>
      </c>
      <c r="G105" s="104" t="s">
        <v>19</v>
      </c>
      <c r="H105" s="105" t="s">
        <v>19</v>
      </c>
      <c r="I105" s="106" t="s">
        <v>19</v>
      </c>
      <c r="J105" s="104" t="s">
        <v>19</v>
      </c>
      <c r="K105" s="104" t="s">
        <v>19</v>
      </c>
      <c r="L105" s="104" t="s">
        <v>19</v>
      </c>
      <c r="M105" s="107" t="s">
        <v>19</v>
      </c>
    </row>
    <row r="106" spans="1:14">
      <c r="A106" s="32" t="s">
        <v>245</v>
      </c>
      <c r="B106" s="33">
        <v>268.10433088030101</v>
      </c>
      <c r="C106" s="34">
        <v>12.934636252267</v>
      </c>
      <c r="D106" s="76">
        <v>5.7727724009649329E-3</v>
      </c>
      <c r="E106" s="104" t="s">
        <v>19</v>
      </c>
      <c r="F106" s="73">
        <v>2.5232071375358976E-3</v>
      </c>
      <c r="G106" s="104" t="s">
        <v>19</v>
      </c>
      <c r="H106" s="105" t="s">
        <v>19</v>
      </c>
      <c r="I106" s="106" t="s">
        <v>19</v>
      </c>
      <c r="J106" s="104" t="s">
        <v>19</v>
      </c>
      <c r="K106" s="104" t="s">
        <v>19</v>
      </c>
      <c r="L106" s="104" t="s">
        <v>19</v>
      </c>
      <c r="M106" s="107" t="s">
        <v>19</v>
      </c>
    </row>
    <row r="107" spans="1:14">
      <c r="A107" s="32" t="s">
        <v>246</v>
      </c>
      <c r="B107" s="33">
        <v>268.10613505045501</v>
      </c>
      <c r="C107" s="34">
        <v>14.943891207377099</v>
      </c>
      <c r="D107" s="54">
        <v>1.9732422730913936E-2</v>
      </c>
      <c r="E107" s="104" t="s">
        <v>19</v>
      </c>
      <c r="F107" s="104" t="s">
        <v>19</v>
      </c>
      <c r="G107" s="73">
        <v>5.1233073772343745E-3</v>
      </c>
      <c r="H107" s="105" t="s">
        <v>19</v>
      </c>
      <c r="I107" s="106" t="s">
        <v>19</v>
      </c>
      <c r="J107" s="104" t="s">
        <v>19</v>
      </c>
      <c r="K107" s="104" t="s">
        <v>19</v>
      </c>
      <c r="L107" s="104" t="s">
        <v>19</v>
      </c>
      <c r="M107" s="107" t="s">
        <v>19</v>
      </c>
    </row>
    <row r="108" spans="1:14">
      <c r="A108" s="32" t="s">
        <v>247</v>
      </c>
      <c r="B108" s="33">
        <v>269.06405639648398</v>
      </c>
      <c r="C108" s="34">
        <v>12.619980812072701</v>
      </c>
      <c r="D108" s="103" t="s">
        <v>19</v>
      </c>
      <c r="E108" s="104" t="s">
        <v>19</v>
      </c>
      <c r="F108" s="104" t="s">
        <v>19</v>
      </c>
      <c r="G108" s="104" t="s">
        <v>19</v>
      </c>
      <c r="H108" s="105" t="s">
        <v>19</v>
      </c>
      <c r="I108" s="106" t="s">
        <v>19</v>
      </c>
      <c r="J108" s="104" t="s">
        <v>19</v>
      </c>
      <c r="K108" s="104" t="s">
        <v>19</v>
      </c>
      <c r="L108" s="104" t="s">
        <v>19</v>
      </c>
      <c r="M108" s="107" t="s">
        <v>19</v>
      </c>
    </row>
    <row r="109" spans="1:14">
      <c r="A109" s="32" t="s">
        <v>248</v>
      </c>
      <c r="B109" s="33">
        <v>269.08929443359301</v>
      </c>
      <c r="C109" s="34">
        <v>24.579374101426801</v>
      </c>
      <c r="D109" s="103" t="s">
        <v>19</v>
      </c>
      <c r="E109" s="104" t="s">
        <v>19</v>
      </c>
      <c r="F109" s="43">
        <v>2.0110556837175456E-2</v>
      </c>
      <c r="G109" s="73">
        <v>6.7327651463884482E-3</v>
      </c>
      <c r="H109" s="105" t="s">
        <v>19</v>
      </c>
      <c r="I109" s="106" t="s">
        <v>19</v>
      </c>
      <c r="J109" s="43">
        <v>2.2322332683082428E-2</v>
      </c>
      <c r="K109" s="43">
        <v>2.1428523107699063E-2</v>
      </c>
      <c r="L109" s="104" t="s">
        <v>19</v>
      </c>
      <c r="M109" s="107" t="s">
        <v>19</v>
      </c>
    </row>
    <row r="110" spans="1:14">
      <c r="A110" s="32" t="s">
        <v>249</v>
      </c>
      <c r="B110" s="33">
        <v>277.10533650716098</v>
      </c>
      <c r="C110" s="34">
        <v>14.2240611712137</v>
      </c>
      <c r="D110" s="103" t="s">
        <v>19</v>
      </c>
      <c r="E110" s="104" t="s">
        <v>19</v>
      </c>
      <c r="F110" s="73">
        <v>3.8541084679807095E-3</v>
      </c>
      <c r="G110" s="104" t="s">
        <v>19</v>
      </c>
      <c r="H110" s="105" t="s">
        <v>19</v>
      </c>
      <c r="I110" s="56">
        <v>2.5077743221074481E-2</v>
      </c>
      <c r="J110" s="104" t="s">
        <v>19</v>
      </c>
      <c r="K110" s="104" t="s">
        <v>19</v>
      </c>
      <c r="L110" s="104" t="s">
        <v>19</v>
      </c>
      <c r="M110" s="107" t="s">
        <v>19</v>
      </c>
    </row>
    <row r="111" spans="1:14">
      <c r="A111" s="32" t="s">
        <v>250</v>
      </c>
      <c r="B111" s="33">
        <v>277.14093780517499</v>
      </c>
      <c r="C111" s="34">
        <v>14.0517320632934</v>
      </c>
      <c r="D111" s="103" t="s">
        <v>19</v>
      </c>
      <c r="E111" s="104" t="s">
        <v>19</v>
      </c>
      <c r="F111" s="104" t="s">
        <v>19</v>
      </c>
      <c r="G111" s="104" t="s">
        <v>19</v>
      </c>
      <c r="H111" s="105" t="s">
        <v>19</v>
      </c>
      <c r="I111" s="106" t="s">
        <v>19</v>
      </c>
      <c r="J111" s="104" t="s">
        <v>19</v>
      </c>
      <c r="K111" s="104" t="s">
        <v>19</v>
      </c>
      <c r="L111" s="104" t="s">
        <v>19</v>
      </c>
      <c r="M111" s="107" t="s">
        <v>19</v>
      </c>
    </row>
    <row r="112" spans="1:14">
      <c r="A112" s="32" t="s">
        <v>251</v>
      </c>
      <c r="B112" s="33">
        <v>282.11881602894101</v>
      </c>
      <c r="C112" s="34">
        <v>13.073343623768199</v>
      </c>
      <c r="D112" s="103" t="s">
        <v>19</v>
      </c>
      <c r="E112" s="73">
        <v>3.3622340209360042E-3</v>
      </c>
      <c r="F112" s="73">
        <v>1.4210649165282555E-3</v>
      </c>
      <c r="G112" s="67">
        <v>4.3628765726807257E-3</v>
      </c>
      <c r="H112" s="79">
        <v>6.2589016821765217E-3</v>
      </c>
      <c r="I112" s="106" t="s">
        <v>19</v>
      </c>
      <c r="J112" s="73">
        <v>3.2204424712678455E-3</v>
      </c>
      <c r="K112" s="73">
        <v>2.8954558842782187E-3</v>
      </c>
      <c r="L112" s="104" t="s">
        <v>19</v>
      </c>
      <c r="M112" s="74">
        <v>5.5366301982713896E-3</v>
      </c>
    </row>
    <row r="113" spans="1:13">
      <c r="A113" s="32" t="s">
        <v>252</v>
      </c>
      <c r="B113" s="33">
        <v>284.09829711914</v>
      </c>
      <c r="C113" s="34">
        <v>16.206767400105701</v>
      </c>
      <c r="D113" s="76">
        <v>8.5698628159495763E-3</v>
      </c>
      <c r="E113" s="104" t="s">
        <v>19</v>
      </c>
      <c r="F113" s="73">
        <v>6.4540349495498858E-3</v>
      </c>
      <c r="G113" s="73">
        <v>3.8199329064055034E-3</v>
      </c>
      <c r="H113" s="55">
        <v>5.4368600643174472E-3</v>
      </c>
      <c r="I113" s="77">
        <v>8.7835230288008243E-3</v>
      </c>
      <c r="J113" s="73">
        <v>5.980854423441883E-3</v>
      </c>
      <c r="K113" s="73">
        <v>5.272791331921294E-3</v>
      </c>
      <c r="L113" s="104" t="s">
        <v>19</v>
      </c>
      <c r="M113" s="107" t="s">
        <v>19</v>
      </c>
    </row>
    <row r="114" spans="1:13">
      <c r="A114" s="32" t="s">
        <v>253</v>
      </c>
      <c r="B114" s="33">
        <v>285.08486175537098</v>
      </c>
      <c r="C114" s="34">
        <v>26.249242782592699</v>
      </c>
      <c r="D114" s="103" t="s">
        <v>19</v>
      </c>
      <c r="E114" s="104" t="s">
        <v>19</v>
      </c>
      <c r="F114" s="104" t="s">
        <v>19</v>
      </c>
      <c r="G114" s="104" t="s">
        <v>19</v>
      </c>
      <c r="H114" s="105" t="s">
        <v>19</v>
      </c>
      <c r="I114" s="106" t="s">
        <v>19</v>
      </c>
      <c r="J114" s="104" t="s">
        <v>19</v>
      </c>
      <c r="K114" s="104" t="s">
        <v>19</v>
      </c>
      <c r="L114" s="104" t="s">
        <v>19</v>
      </c>
      <c r="M114" s="107" t="s">
        <v>19</v>
      </c>
    </row>
    <row r="115" spans="1:13">
      <c r="A115" s="32" t="s">
        <v>254</v>
      </c>
      <c r="B115" s="33">
        <v>290.135884602864</v>
      </c>
      <c r="C115" s="34">
        <v>17.0992430369059</v>
      </c>
      <c r="D115" s="54">
        <v>1.978940177361423E-2</v>
      </c>
      <c r="E115" s="39">
        <v>4.1483572561194955E-2</v>
      </c>
      <c r="F115" s="39">
        <v>2.8108621862055993E-2</v>
      </c>
      <c r="G115" s="43">
        <v>1.4196053503490182E-2</v>
      </c>
      <c r="H115" s="71">
        <v>1.2052428680932691E-2</v>
      </c>
      <c r="I115" s="56">
        <v>2.1499749778270003E-2</v>
      </c>
      <c r="J115" s="39">
        <v>6.7219224202604927E-2</v>
      </c>
      <c r="K115" s="39">
        <v>8.0372437710364369E-2</v>
      </c>
      <c r="L115" s="39">
        <v>4.5333676463157835E-2</v>
      </c>
      <c r="M115" s="70">
        <v>3.6620878140555861E-2</v>
      </c>
    </row>
    <row r="116" spans="1:13">
      <c r="A116" s="32" t="s">
        <v>255</v>
      </c>
      <c r="B116" s="33">
        <v>291.13309369768399</v>
      </c>
      <c r="C116" s="34">
        <v>12.387488160814501</v>
      </c>
      <c r="D116" s="54">
        <v>8.9401253424161053E-2</v>
      </c>
      <c r="E116" s="43">
        <v>5.057228689943935E-2</v>
      </c>
      <c r="F116" s="115">
        <v>0.1396809631106011</v>
      </c>
      <c r="G116" s="115">
        <v>0.14658863417710161</v>
      </c>
      <c r="H116" s="34">
        <v>0.20558586412745924</v>
      </c>
      <c r="I116" s="56">
        <v>5.5640022902834478E-2</v>
      </c>
      <c r="J116" s="43">
        <v>9.7609224890882362E-2</v>
      </c>
      <c r="K116" s="115">
        <v>0.12338741658292812</v>
      </c>
      <c r="L116" s="115">
        <v>0.24306274261227501</v>
      </c>
      <c r="M116" s="117">
        <v>0.18822111663213029</v>
      </c>
    </row>
    <row r="117" spans="1:13">
      <c r="A117" s="32" t="s">
        <v>256</v>
      </c>
      <c r="B117" s="33">
        <v>298.09792872837602</v>
      </c>
      <c r="C117" s="34">
        <v>13.2259980610438</v>
      </c>
      <c r="D117" s="41">
        <v>3.7475072657249038E-2</v>
      </c>
      <c r="E117" s="39">
        <v>3.1361922967302315E-2</v>
      </c>
      <c r="F117" s="39">
        <v>4.0986913458935792E-2</v>
      </c>
      <c r="G117" s="39">
        <v>1.8954246418802338E-2</v>
      </c>
      <c r="H117" s="44">
        <v>3.0560621811273097E-2</v>
      </c>
      <c r="I117" s="42">
        <v>3.1402136031344688E-2</v>
      </c>
      <c r="J117" s="39">
        <v>3.0821822887948973E-2</v>
      </c>
      <c r="K117" s="39">
        <v>3.2948947653794997E-2</v>
      </c>
      <c r="L117" s="39">
        <v>2.7805171904988289E-2</v>
      </c>
      <c r="M117" s="57">
        <v>3.1377969994562174E-2</v>
      </c>
    </row>
    <row r="118" spans="1:13">
      <c r="A118" s="32" t="s">
        <v>257</v>
      </c>
      <c r="B118" s="33">
        <v>307.08519694010403</v>
      </c>
      <c r="C118" s="34">
        <v>15.829646682739201</v>
      </c>
      <c r="D118" s="68">
        <v>1.1122204137169902</v>
      </c>
      <c r="E118" s="46">
        <v>3.8506976268816944</v>
      </c>
      <c r="F118" s="46">
        <v>3.7236237169823863</v>
      </c>
      <c r="G118" s="46">
        <v>1.8109563847067496</v>
      </c>
      <c r="H118" s="34">
        <v>0.9766120348664783</v>
      </c>
      <c r="I118" s="69">
        <v>1.3889030035963958</v>
      </c>
      <c r="J118" s="46">
        <v>1.4692394303684191</v>
      </c>
      <c r="K118" s="46">
        <v>3.8653056885073687</v>
      </c>
      <c r="L118" s="46">
        <v>2.9407470678074148</v>
      </c>
      <c r="M118" s="48">
        <v>3.1841604605666909</v>
      </c>
    </row>
    <row r="119" spans="1:13">
      <c r="A119" s="32" t="s">
        <v>258</v>
      </c>
      <c r="B119" s="33">
        <v>307.17557373046799</v>
      </c>
      <c r="C119" s="34">
        <v>13.769095039367601</v>
      </c>
      <c r="D119" s="103" t="s">
        <v>19</v>
      </c>
      <c r="E119" s="104" t="s">
        <v>19</v>
      </c>
      <c r="F119" s="104" t="s">
        <v>19</v>
      </c>
      <c r="G119" s="104" t="s">
        <v>19</v>
      </c>
      <c r="H119" s="105" t="s">
        <v>19</v>
      </c>
      <c r="I119" s="77">
        <v>2.1821878747924897E-3</v>
      </c>
      <c r="J119" s="104" t="s">
        <v>19</v>
      </c>
      <c r="K119" s="104" t="s">
        <v>19</v>
      </c>
      <c r="L119" s="104" t="s">
        <v>19</v>
      </c>
      <c r="M119" s="107" t="s">
        <v>19</v>
      </c>
    </row>
    <row r="120" spans="1:13">
      <c r="A120" s="32" t="s">
        <v>259</v>
      </c>
      <c r="B120" s="33">
        <v>307.97923278808503</v>
      </c>
      <c r="C120" s="34">
        <v>15.693419218063299</v>
      </c>
      <c r="D120" s="103" t="s">
        <v>19</v>
      </c>
      <c r="E120" s="104" t="s">
        <v>19</v>
      </c>
      <c r="F120" s="104" t="s">
        <v>19</v>
      </c>
      <c r="G120" s="104" t="s">
        <v>19</v>
      </c>
      <c r="H120" s="105" t="s">
        <v>19</v>
      </c>
      <c r="I120" s="106" t="s">
        <v>19</v>
      </c>
      <c r="J120" s="104" t="s">
        <v>19</v>
      </c>
      <c r="K120" s="104" t="s">
        <v>19</v>
      </c>
      <c r="L120" s="104" t="s">
        <v>19</v>
      </c>
      <c r="M120" s="107" t="s">
        <v>19</v>
      </c>
    </row>
    <row r="121" spans="1:13">
      <c r="A121" s="32" t="s">
        <v>260</v>
      </c>
      <c r="B121" s="33">
        <v>308.09411621093699</v>
      </c>
      <c r="C121" s="34">
        <v>17.115816497802701</v>
      </c>
      <c r="D121" s="108">
        <v>14.14192238087721</v>
      </c>
      <c r="E121" s="115">
        <v>0.33458002839118328</v>
      </c>
      <c r="F121" s="46">
        <v>6.2997625809215911</v>
      </c>
      <c r="G121" s="46">
        <v>5.6331230641205643</v>
      </c>
      <c r="H121" s="47">
        <v>9.107848276190273</v>
      </c>
      <c r="I121" s="112">
        <v>9.9596112356168867</v>
      </c>
      <c r="J121" s="46">
        <v>7.5617729743113227</v>
      </c>
      <c r="K121" s="46">
        <v>6.8677764958066874</v>
      </c>
      <c r="L121" s="109">
        <v>9.9915944823761187</v>
      </c>
      <c r="M121" s="48">
        <v>8.3394612898003952</v>
      </c>
    </row>
    <row r="122" spans="1:13">
      <c r="A122" s="32" t="s">
        <v>261</v>
      </c>
      <c r="B122" s="33">
        <v>313.15591430664</v>
      </c>
      <c r="C122" s="34">
        <v>14.2843873500823</v>
      </c>
      <c r="D122" s="103" t="s">
        <v>19</v>
      </c>
      <c r="E122" s="104" t="s">
        <v>19</v>
      </c>
      <c r="F122" s="104" t="s">
        <v>19</v>
      </c>
      <c r="G122" s="104" t="s">
        <v>19</v>
      </c>
      <c r="H122" s="105" t="s">
        <v>19</v>
      </c>
      <c r="I122" s="106" t="s">
        <v>19</v>
      </c>
      <c r="J122" s="104" t="s">
        <v>19</v>
      </c>
      <c r="K122" s="104" t="s">
        <v>19</v>
      </c>
      <c r="L122" s="104" t="s">
        <v>19</v>
      </c>
      <c r="M122" s="107" t="s">
        <v>19</v>
      </c>
    </row>
    <row r="123" spans="1:13">
      <c r="A123" s="120" t="s">
        <v>262</v>
      </c>
      <c r="B123" s="33">
        <v>339.07313842773402</v>
      </c>
      <c r="C123" s="34">
        <v>27.827436828613202</v>
      </c>
      <c r="D123" s="103" t="s">
        <v>19</v>
      </c>
      <c r="E123" s="104" t="s">
        <v>19</v>
      </c>
      <c r="F123" s="39">
        <v>2.919295581513693E-2</v>
      </c>
      <c r="G123" s="104" t="s">
        <v>19</v>
      </c>
      <c r="H123" s="105" t="s">
        <v>19</v>
      </c>
      <c r="I123" s="106" t="s">
        <v>19</v>
      </c>
      <c r="J123" s="104" t="s">
        <v>19</v>
      </c>
      <c r="K123" s="104" t="s">
        <v>19</v>
      </c>
      <c r="L123" s="104" t="s">
        <v>19</v>
      </c>
      <c r="M123" s="107" t="s">
        <v>19</v>
      </c>
    </row>
    <row r="124" spans="1:13">
      <c r="A124" s="32" t="s">
        <v>263</v>
      </c>
      <c r="B124" s="33">
        <v>345.07876864346503</v>
      </c>
      <c r="C124" s="34">
        <v>14.005236105485301</v>
      </c>
      <c r="D124" s="103" t="s">
        <v>19</v>
      </c>
      <c r="E124" s="104" t="s">
        <v>19</v>
      </c>
      <c r="F124" s="73">
        <v>5.9619907248524718E-3</v>
      </c>
      <c r="G124" s="67">
        <v>6.7845903155584865E-3</v>
      </c>
      <c r="H124" s="44">
        <v>1.9718177988061032E-2</v>
      </c>
      <c r="I124" s="106" t="s">
        <v>19</v>
      </c>
      <c r="J124" s="43">
        <v>1.116913093016831E-2</v>
      </c>
      <c r="K124" s="43">
        <v>1.8789942420810751E-2</v>
      </c>
      <c r="L124" s="43">
        <v>1.0658564268940988E-2</v>
      </c>
      <c r="M124" s="70">
        <v>2.1755322366470726E-2</v>
      </c>
    </row>
    <row r="125" spans="1:13">
      <c r="A125" s="32" t="s">
        <v>264</v>
      </c>
      <c r="B125" s="33">
        <v>356.18737792968699</v>
      </c>
      <c r="C125" s="34">
        <v>14.603760004043499</v>
      </c>
      <c r="D125" s="103" t="s">
        <v>19</v>
      </c>
      <c r="E125" s="104" t="s">
        <v>19</v>
      </c>
      <c r="F125" s="104" t="s">
        <v>19</v>
      </c>
      <c r="G125" s="104" t="s">
        <v>19</v>
      </c>
      <c r="H125" s="105" t="s">
        <v>19</v>
      </c>
      <c r="I125" s="106" t="s">
        <v>19</v>
      </c>
      <c r="J125" s="104" t="s">
        <v>19</v>
      </c>
      <c r="K125" s="104" t="s">
        <v>19</v>
      </c>
      <c r="L125" s="104" t="s">
        <v>19</v>
      </c>
      <c r="M125" s="107" t="s">
        <v>19</v>
      </c>
    </row>
    <row r="126" spans="1:13">
      <c r="A126" s="32" t="s">
        <v>265</v>
      </c>
      <c r="B126" s="33">
        <v>363.17924499511702</v>
      </c>
      <c r="C126" s="34">
        <v>14.0470917224884</v>
      </c>
      <c r="D126" s="103" t="s">
        <v>19</v>
      </c>
      <c r="E126" s="104" t="s">
        <v>19</v>
      </c>
      <c r="F126" s="104" t="s">
        <v>19</v>
      </c>
      <c r="G126" s="104" t="s">
        <v>19</v>
      </c>
      <c r="H126" s="105" t="s">
        <v>19</v>
      </c>
      <c r="I126" s="106" t="s">
        <v>19</v>
      </c>
      <c r="J126" s="104" t="s">
        <v>19</v>
      </c>
      <c r="K126" s="104" t="s">
        <v>19</v>
      </c>
      <c r="L126" s="104" t="s">
        <v>19</v>
      </c>
      <c r="M126" s="107" t="s">
        <v>19</v>
      </c>
    </row>
    <row r="127" spans="1:13">
      <c r="A127" s="32" t="s">
        <v>266</v>
      </c>
      <c r="B127" s="33">
        <v>377.146186828613</v>
      </c>
      <c r="C127" s="34">
        <v>27.385525226593</v>
      </c>
      <c r="D127" s="103" t="s">
        <v>19</v>
      </c>
      <c r="E127" s="104" t="s">
        <v>19</v>
      </c>
      <c r="F127" s="104" t="s">
        <v>19</v>
      </c>
      <c r="G127" s="104" t="s">
        <v>19</v>
      </c>
      <c r="H127" s="105" t="s">
        <v>19</v>
      </c>
      <c r="I127" s="106" t="s">
        <v>19</v>
      </c>
      <c r="J127" s="104" t="s">
        <v>19</v>
      </c>
      <c r="K127" s="104" t="s">
        <v>19</v>
      </c>
      <c r="L127" s="104" t="s">
        <v>19</v>
      </c>
      <c r="M127" s="107" t="s">
        <v>19</v>
      </c>
    </row>
    <row r="128" spans="1:13">
      <c r="A128" s="32" t="s">
        <v>267</v>
      </c>
      <c r="B128" s="33">
        <v>380.118372990534</v>
      </c>
      <c r="C128" s="34">
        <v>17.767921447753899</v>
      </c>
      <c r="D128" s="54">
        <v>1.9597274495096729E-2</v>
      </c>
      <c r="E128" s="104" t="s">
        <v>19</v>
      </c>
      <c r="F128" s="39">
        <v>1.4842023683236645E-2</v>
      </c>
      <c r="G128" s="67">
        <v>9.1652266767996357E-3</v>
      </c>
      <c r="H128" s="44">
        <v>1.236437820317011E-2</v>
      </c>
      <c r="I128" s="56">
        <v>1.103953675519625E-2</v>
      </c>
      <c r="J128" s="43">
        <v>1.1968044098357793E-2</v>
      </c>
      <c r="K128" s="43">
        <v>1.4284052576456563E-2</v>
      </c>
      <c r="L128" s="43">
        <v>1.5874492575361644E-2</v>
      </c>
      <c r="M128" s="70">
        <v>1.685233755410908E-2</v>
      </c>
    </row>
    <row r="129" spans="1:13">
      <c r="A129" s="32" t="s">
        <v>268</v>
      </c>
      <c r="B129" s="33">
        <v>408.25085449218699</v>
      </c>
      <c r="C129" s="34">
        <v>15.5334551334381</v>
      </c>
      <c r="D129" s="103" t="s">
        <v>19</v>
      </c>
      <c r="E129" s="104" t="s">
        <v>19</v>
      </c>
      <c r="F129" s="104" t="s">
        <v>19</v>
      </c>
      <c r="G129" s="104" t="s">
        <v>19</v>
      </c>
      <c r="H129" s="105" t="s">
        <v>19</v>
      </c>
      <c r="I129" s="106" t="s">
        <v>19</v>
      </c>
      <c r="J129" s="104" t="s">
        <v>19</v>
      </c>
      <c r="K129" s="104" t="s">
        <v>19</v>
      </c>
      <c r="L129" s="104" t="s">
        <v>19</v>
      </c>
      <c r="M129" s="107" t="s">
        <v>19</v>
      </c>
    </row>
    <row r="130" spans="1:13">
      <c r="A130" s="32" t="s">
        <v>269</v>
      </c>
      <c r="B130" s="33">
        <v>433.87567138671801</v>
      </c>
      <c r="C130" s="34">
        <v>16.317007541656402</v>
      </c>
      <c r="D130" s="103" t="s">
        <v>19</v>
      </c>
      <c r="E130" s="104" t="s">
        <v>19</v>
      </c>
      <c r="F130" s="104" t="s">
        <v>19</v>
      </c>
      <c r="G130" s="104" t="s">
        <v>19</v>
      </c>
      <c r="H130" s="105" t="s">
        <v>19</v>
      </c>
      <c r="I130" s="106" t="s">
        <v>19</v>
      </c>
      <c r="J130" s="104" t="s">
        <v>19</v>
      </c>
      <c r="K130" s="104" t="s">
        <v>19</v>
      </c>
      <c r="L130" s="104" t="s">
        <v>19</v>
      </c>
      <c r="M130" s="107" t="s">
        <v>19</v>
      </c>
    </row>
    <row r="131" spans="1:13">
      <c r="A131" s="32" t="s">
        <v>270</v>
      </c>
      <c r="B131" s="33">
        <v>460.199053955078</v>
      </c>
      <c r="C131" s="34">
        <v>15.4530031204223</v>
      </c>
      <c r="D131" s="103" t="s">
        <v>19</v>
      </c>
      <c r="E131" s="104" t="s">
        <v>19</v>
      </c>
      <c r="F131" s="104" t="s">
        <v>19</v>
      </c>
      <c r="G131" s="104" t="s">
        <v>19</v>
      </c>
      <c r="H131" s="105" t="s">
        <v>19</v>
      </c>
      <c r="I131" s="106" t="s">
        <v>19</v>
      </c>
      <c r="J131" s="104" t="s">
        <v>19</v>
      </c>
      <c r="K131" s="104" t="s">
        <v>19</v>
      </c>
      <c r="L131" s="104" t="s">
        <v>19</v>
      </c>
      <c r="M131" s="70">
        <v>3.7175653840546517E-2</v>
      </c>
    </row>
    <row r="132" spans="1:13" ht="15" thickBot="1">
      <c r="A132" s="84" t="s">
        <v>271</v>
      </c>
      <c r="B132" s="85">
        <v>651.79754638671795</v>
      </c>
      <c r="C132" s="86">
        <v>18.088601112365701</v>
      </c>
      <c r="D132" s="125" t="s">
        <v>19</v>
      </c>
      <c r="E132" s="126" t="s">
        <v>19</v>
      </c>
      <c r="F132" s="126" t="s">
        <v>19</v>
      </c>
      <c r="G132" s="126" t="s">
        <v>19</v>
      </c>
      <c r="H132" s="127" t="s">
        <v>19</v>
      </c>
      <c r="I132" s="128" t="s">
        <v>19</v>
      </c>
      <c r="J132" s="126" t="s">
        <v>19</v>
      </c>
      <c r="K132" s="126" t="s">
        <v>19</v>
      </c>
      <c r="L132" s="126" t="s">
        <v>19</v>
      </c>
      <c r="M132" s="129" t="s">
        <v>19</v>
      </c>
    </row>
    <row r="133" spans="1:13">
      <c r="A133" s="153"/>
      <c r="B133" s="153"/>
      <c r="C133" s="153"/>
      <c r="D133" s="93" t="s">
        <v>272</v>
      </c>
      <c r="E133" s="93" t="s">
        <v>273</v>
      </c>
      <c r="F133" s="93" t="s">
        <v>274</v>
      </c>
      <c r="G133" s="93" t="s">
        <v>275</v>
      </c>
      <c r="H133" s="130" t="s">
        <v>276</v>
      </c>
      <c r="I133" s="131" t="s">
        <v>277</v>
      </c>
      <c r="J133" s="93" t="s">
        <v>278</v>
      </c>
      <c r="K133" s="93" t="s">
        <v>279</v>
      </c>
      <c r="L133" s="93" t="s">
        <v>280</v>
      </c>
      <c r="M133" s="96">
        <v>10</v>
      </c>
    </row>
    <row r="134" spans="1:13" ht="15" thickBot="1">
      <c r="A134" s="154"/>
      <c r="B134" s="154"/>
      <c r="C134" s="154"/>
      <c r="D134" s="155">
        <v>42401</v>
      </c>
      <c r="E134" s="154"/>
      <c r="F134" s="154"/>
      <c r="G134" s="154"/>
      <c r="H134" s="154"/>
      <c r="I134" s="154"/>
      <c r="J134" s="154"/>
      <c r="K134" s="154"/>
      <c r="L134" s="154"/>
      <c r="M134" s="156"/>
    </row>
  </sheetData>
  <mergeCells count="9">
    <mergeCell ref="B3:C3"/>
    <mergeCell ref="B4:C4"/>
    <mergeCell ref="A133:C133"/>
    <mergeCell ref="A134:C134"/>
    <mergeCell ref="D134:M134"/>
    <mergeCell ref="A2:A5"/>
    <mergeCell ref="B2:C2"/>
    <mergeCell ref="D2:H2"/>
    <mergeCell ref="I2:M2"/>
  </mergeCells>
  <phoneticPr fontId="4"/>
  <printOptions horizontalCentered="1" verticalCentered="1"/>
  <pageMargins left="0.19685039370078741" right="0.19685039370078741" top="0.59055118110236227" bottom="0.59055118110236227" header="0.31496062992125984" footer="0.31496062992125984"/>
  <pageSetup paperSize="8" scale="63" orientation="portrait" r:id="rId1"/>
  <headerFooter scaleWithDoc="0">
    <oddFooter>&amp;C&amp;F&amp;A&amp;R&amp;P/&amp;N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results_anion</vt:lpstr>
      <vt:lpstr>results_cation</vt:lpstr>
      <vt:lpstr>results_anion!Print_Titles</vt:lpstr>
      <vt:lpstr>results_cation!Print_Titles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2025-05-21T06:16:14Z</dcterms:modified>
</cp:coreProperties>
</file>