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4c855662801823/Desktop/"/>
    </mc:Choice>
  </mc:AlternateContent>
  <xr:revisionPtr revIDLastSave="5" documentId="8_{2DBE10C5-82AD-48EF-9002-68B6D11B9494}" xr6:coauthVersionLast="47" xr6:coauthVersionMax="47" xr10:uidLastSave="{1EDB24E3-4453-4B92-971A-4BDAD78807AA}"/>
  <bookViews>
    <workbookView xWindow="-108" yWindow="-108" windowWidth="23256" windowHeight="13896" xr2:uid="{93DE70FF-7D35-4DB0-80E3-CED5D804E078}"/>
  </bookViews>
  <sheets>
    <sheet name="Molecules_Negative-ion mode" sheetId="1" r:id="rId1"/>
    <sheet name="Molecules_Positive ion mode" sheetId="7" r:id="rId2"/>
    <sheet name="Lipid class level" sheetId="4" r:id="rId3"/>
    <sheet name="CoA-Car比" sheetId="5" state="hidden" r:id="rId4"/>
  </sheets>
  <definedNames>
    <definedName name="_xlnm._FilterDatabase" localSheetId="2" hidden="1">'Lipid class level'!$A$3:$AC$3</definedName>
    <definedName name="_xlnm._FilterDatabase" localSheetId="0" hidden="1">'Molecules_Negative-ion mode'!$A$3:$AM$3</definedName>
    <definedName name="_xlnm._FilterDatabase" localSheetId="1" hidden="1">'Molecules_Positive ion mode'!$A$3:$AM$3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55" i="7" l="1"/>
  <c r="AL193" i="7"/>
  <c r="AL199" i="7"/>
  <c r="AL56" i="7" s="1"/>
  <c r="AL190" i="7" s="1"/>
  <c r="AL76" i="7" s="1"/>
  <c r="AL34" i="7" s="1"/>
  <c r="AL210" i="7" s="1"/>
  <c r="AL187" i="7" s="1"/>
  <c r="AL86" i="7" s="1"/>
  <c r="AL62" i="7" s="1"/>
  <c r="AL73" i="7" s="1"/>
  <c r="AL192" i="7" s="1"/>
  <c r="AL75" i="7" s="1"/>
  <c r="AL82" i="7" s="1"/>
  <c r="AL212" i="7" s="1"/>
  <c r="AL206" i="7" s="1"/>
  <c r="AL55" i="7" s="1"/>
  <c r="AL138" i="7" s="1"/>
  <c r="AL211" i="7" s="1"/>
  <c r="AL72" i="7" s="1"/>
  <c r="AL179" i="7" s="1"/>
  <c r="AL198" i="7" s="1"/>
  <c r="AL180" i="7" s="1"/>
  <c r="AL137" i="7" s="1"/>
  <c r="AL61" i="7" s="1"/>
  <c r="AL125" i="7" s="1"/>
  <c r="AL191" i="7" s="1"/>
  <c r="AL201" i="7" s="1"/>
  <c r="AL58" i="7" s="1"/>
  <c r="AL69" i="7" s="1"/>
  <c r="AL79" i="7" s="1"/>
  <c r="AL83" i="7" s="1"/>
  <c r="AL194" i="7" s="1"/>
  <c r="AL184" i="7" s="1"/>
  <c r="AL195" i="7" s="1"/>
  <c r="AL205" i="7" s="1"/>
  <c r="AL127" i="7" s="1"/>
  <c r="AL203" i="7" s="1"/>
  <c r="AL70" i="7" s="1"/>
  <c r="AL112" i="7" s="1"/>
  <c r="AL54" i="7" s="1"/>
  <c r="AL197" i="7" s="1"/>
  <c r="AL208" i="7" s="1"/>
  <c r="AL207" i="7" s="1"/>
  <c r="AL181" i="7" s="1"/>
  <c r="AL189" i="7" s="1"/>
  <c r="AL130" i="7" s="1"/>
  <c r="AL182" i="7" s="1"/>
  <c r="AL63" i="7" s="1"/>
  <c r="AL204" i="7" s="1"/>
  <c r="AL153" i="7" s="1"/>
  <c r="AL64" i="7" s="1"/>
  <c r="AL60" i="7" s="1"/>
  <c r="AL186" i="7" s="1"/>
  <c r="AL148" i="7" s="1"/>
  <c r="AL71" i="7" s="1"/>
  <c r="AL65" i="7" s="1"/>
  <c r="AL202" i="7" s="1"/>
  <c r="AL84" i="7" s="1"/>
  <c r="AL77" i="7" s="1"/>
  <c r="AL124" i="7" s="1"/>
  <c r="AL52" i="7" s="1"/>
  <c r="AL78" i="7" s="1"/>
  <c r="AL81" i="7" s="1"/>
  <c r="AL68" i="7" s="1"/>
  <c r="AL188" i="7" s="1"/>
  <c r="AL200" i="7" s="1"/>
  <c r="AL74" i="7" s="1"/>
  <c r="AL156" i="7" s="1"/>
  <c r="AL45" i="7" s="1"/>
  <c r="AL122" i="7" s="1"/>
  <c r="AL85" i="7" s="1"/>
  <c r="AL159" i="7" s="1"/>
  <c r="AL100" i="7" s="1"/>
  <c r="AL66" i="7" s="1"/>
  <c r="AL39" i="7" s="1"/>
  <c r="AL143" i="7" s="1"/>
  <c r="AL146" i="7" s="1"/>
  <c r="AL102" i="7" s="1"/>
  <c r="AL101" i="7" s="1"/>
  <c r="AL116" i="7" s="1"/>
  <c r="AL53" i="7" s="1"/>
  <c r="AL57" i="7" s="1"/>
  <c r="AL49" i="7" s="1"/>
  <c r="AL31" i="7" s="1"/>
  <c r="AL24" i="7" s="1"/>
  <c r="AL46" i="7" s="1"/>
  <c r="AL114" i="7" s="1"/>
  <c r="AL183" i="7" s="1"/>
  <c r="AL92" i="7" s="1"/>
  <c r="AL18" i="7" s="1"/>
  <c r="AL178" i="7" s="1"/>
  <c r="AL20" i="7" s="1"/>
  <c r="AL95" i="7" s="1"/>
  <c r="AL185" i="7" s="1"/>
  <c r="AL164" i="7" s="1"/>
  <c r="AL144" i="7" s="1"/>
  <c r="AL196" i="7" s="1"/>
  <c r="AL157" i="7" s="1"/>
  <c r="AL42" i="7" s="1"/>
  <c r="AL162" i="7" s="1"/>
  <c r="AL140" i="7" s="1"/>
  <c r="AL142" i="7" s="1"/>
  <c r="AL132" i="7" s="1"/>
  <c r="AL129" i="7" s="1"/>
  <c r="AL44" i="7" s="1"/>
  <c r="AL36" i="7" s="1"/>
  <c r="AL113" i="7" s="1"/>
  <c r="AL88" i="7" s="1"/>
  <c r="AL149" i="7" s="1"/>
  <c r="AL90" i="7" s="1"/>
  <c r="AL99" i="7" s="1"/>
  <c r="AL15" i="7" s="1"/>
  <c r="AL47" i="7" s="1"/>
  <c r="AL38" i="7" s="1"/>
  <c r="AL29" i="7" s="1"/>
  <c r="AL167" i="7" s="1"/>
  <c r="AL43" i="7" s="1"/>
  <c r="AL134" i="7" s="1"/>
  <c r="AL12" i="7" s="1"/>
  <c r="AL163" i="7" s="1"/>
  <c r="AL67" i="7" s="1"/>
  <c r="AL27" i="7" s="1"/>
  <c r="AL126" i="7" s="1"/>
  <c r="AL118" i="7" s="1"/>
  <c r="AL21" i="7" s="1"/>
  <c r="AL51" i="7" s="1"/>
  <c r="AL94" i="7" s="1"/>
  <c r="AL11" i="7" s="1"/>
  <c r="AL35" i="7" s="1"/>
  <c r="AL5" i="7" s="1"/>
  <c r="AL105" i="7" s="1"/>
  <c r="AL14" i="7" s="1"/>
  <c r="AL37" i="7" s="1"/>
  <c r="AL161" i="7" s="1"/>
  <c r="AL87" i="7" s="1"/>
  <c r="AL80" i="7" s="1"/>
  <c r="AL13" i="7" s="1"/>
  <c r="AL150" i="7" s="1"/>
  <c r="AL19" i="7" s="1"/>
  <c r="AL165" i="7" s="1"/>
  <c r="AL209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6" i="7"/>
  <c r="AJ137" i="7"/>
  <c r="AJ138" i="7"/>
  <c r="AJ139" i="7"/>
  <c r="AJ140" i="7"/>
  <c r="AJ141" i="7"/>
  <c r="AJ142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J178" i="7"/>
  <c r="AJ179" i="7"/>
  <c r="AJ180" i="7"/>
  <c r="AJ181" i="7"/>
  <c r="AJ182" i="7"/>
  <c r="AJ183" i="7"/>
  <c r="AJ184" i="7"/>
  <c r="AJ185" i="7"/>
  <c r="AJ186" i="7"/>
  <c r="AJ187" i="7"/>
  <c r="AJ188" i="7"/>
  <c r="AJ189" i="7"/>
  <c r="AJ190" i="7"/>
  <c r="AJ191" i="7"/>
  <c r="AJ192" i="7"/>
  <c r="AJ193" i="7"/>
  <c r="AJ194" i="7"/>
  <c r="AJ195" i="7"/>
  <c r="AJ196" i="7"/>
  <c r="AJ197" i="7"/>
  <c r="AJ198" i="7"/>
  <c r="AJ199" i="7"/>
  <c r="AJ200" i="7"/>
  <c r="AJ201" i="7"/>
  <c r="AJ202" i="7"/>
  <c r="AJ203" i="7"/>
  <c r="AJ204" i="7"/>
  <c r="AJ205" i="7"/>
  <c r="AJ206" i="7"/>
  <c r="AJ207" i="7"/>
  <c r="AJ208" i="7"/>
  <c r="AJ209" i="7"/>
  <c r="AJ210" i="7"/>
  <c r="AJ211" i="7"/>
  <c r="AJ212" i="7"/>
  <c r="AJ4" i="7"/>
  <c r="AF5" i="7" l="1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4" i="7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4" i="1"/>
  <c r="W44" i="4" l="1"/>
  <c r="V44" i="4"/>
  <c r="U44" i="4"/>
  <c r="T44" i="4"/>
  <c r="R44" i="4"/>
  <c r="Q44" i="4"/>
  <c r="P44" i="4"/>
  <c r="O44" i="4"/>
  <c r="N44" i="4"/>
  <c r="M44" i="4"/>
  <c r="L44" i="4"/>
  <c r="J44" i="4"/>
  <c r="I44" i="4"/>
  <c r="H44" i="4"/>
  <c r="G44" i="4"/>
  <c r="F44" i="4"/>
  <c r="E44" i="4"/>
  <c r="D44" i="4"/>
  <c r="C44" i="4"/>
  <c r="W43" i="4"/>
  <c r="V43" i="4"/>
  <c r="U43" i="4"/>
  <c r="T43" i="4"/>
  <c r="R43" i="4"/>
  <c r="Q43" i="4"/>
  <c r="P43" i="4"/>
  <c r="O43" i="4"/>
  <c r="N43" i="4"/>
  <c r="M43" i="4"/>
  <c r="L43" i="4"/>
  <c r="J43" i="4"/>
  <c r="I43" i="4"/>
  <c r="H43" i="4"/>
  <c r="G43" i="4"/>
  <c r="F43" i="4"/>
  <c r="E43" i="4"/>
  <c r="D43" i="4"/>
  <c r="C43" i="4"/>
  <c r="W12" i="4"/>
  <c r="V12" i="4"/>
  <c r="U12" i="4"/>
  <c r="T12" i="4"/>
  <c r="R12" i="4"/>
  <c r="Q12" i="4"/>
  <c r="P12" i="4"/>
  <c r="O12" i="4"/>
  <c r="N12" i="4"/>
  <c r="M12" i="4"/>
  <c r="L12" i="4"/>
  <c r="J12" i="4"/>
  <c r="I12" i="4"/>
  <c r="H12" i="4"/>
  <c r="G12" i="4"/>
  <c r="F12" i="4"/>
  <c r="E12" i="4"/>
  <c r="D12" i="4"/>
  <c r="C12" i="4"/>
  <c r="W11" i="4"/>
  <c r="V11" i="4"/>
  <c r="U11" i="4"/>
  <c r="T11" i="4"/>
  <c r="R11" i="4"/>
  <c r="Q11" i="4"/>
  <c r="P11" i="4"/>
  <c r="O11" i="4"/>
  <c r="N11" i="4"/>
  <c r="M11" i="4"/>
  <c r="L11" i="4"/>
  <c r="J11" i="4"/>
  <c r="I11" i="4"/>
  <c r="H11" i="4"/>
  <c r="G11" i="4"/>
  <c r="F11" i="4"/>
  <c r="E11" i="4"/>
  <c r="D11" i="4"/>
  <c r="C11" i="4"/>
  <c r="W10" i="4"/>
  <c r="V10" i="4"/>
  <c r="U10" i="4"/>
  <c r="T10" i="4"/>
  <c r="R10" i="4"/>
  <c r="Q10" i="4"/>
  <c r="P10" i="4"/>
  <c r="O10" i="4"/>
  <c r="N10" i="4"/>
  <c r="M10" i="4"/>
  <c r="L10" i="4"/>
  <c r="J10" i="4"/>
  <c r="I10" i="4"/>
  <c r="H10" i="4"/>
  <c r="G10" i="4"/>
  <c r="F10" i="4"/>
  <c r="E10" i="4"/>
  <c r="D10" i="4"/>
  <c r="C10" i="4"/>
  <c r="W8" i="4"/>
  <c r="V8" i="4"/>
  <c r="U8" i="4"/>
  <c r="T8" i="4"/>
  <c r="R8" i="4"/>
  <c r="Q8" i="4"/>
  <c r="P8" i="4"/>
  <c r="O8" i="4"/>
  <c r="N8" i="4"/>
  <c r="M8" i="4"/>
  <c r="L8" i="4"/>
  <c r="J8" i="4"/>
  <c r="I8" i="4"/>
  <c r="H8" i="4"/>
  <c r="G8" i="4"/>
  <c r="F8" i="4"/>
  <c r="E8" i="4"/>
  <c r="D8" i="4"/>
  <c r="C8" i="4"/>
  <c r="W7" i="4"/>
  <c r="V7" i="4"/>
  <c r="U7" i="4"/>
  <c r="T7" i="4"/>
  <c r="R7" i="4"/>
  <c r="Q7" i="4"/>
  <c r="P7" i="4"/>
  <c r="O7" i="4"/>
  <c r="N7" i="4"/>
  <c r="M7" i="4"/>
  <c r="L7" i="4"/>
  <c r="J7" i="4"/>
  <c r="I7" i="4"/>
  <c r="H7" i="4"/>
  <c r="G7" i="4"/>
  <c r="F7" i="4"/>
  <c r="E7" i="4"/>
  <c r="D7" i="4"/>
  <c r="C7" i="4"/>
  <c r="W45" i="4"/>
  <c r="V45" i="4"/>
  <c r="U45" i="4"/>
  <c r="T45" i="4"/>
  <c r="R45" i="4"/>
  <c r="Q45" i="4"/>
  <c r="P45" i="4"/>
  <c r="O45" i="4"/>
  <c r="N45" i="4"/>
  <c r="M45" i="4"/>
  <c r="L45" i="4"/>
  <c r="J45" i="4"/>
  <c r="I45" i="4"/>
  <c r="H45" i="4"/>
  <c r="G45" i="4"/>
  <c r="F45" i="4"/>
  <c r="E45" i="4"/>
  <c r="D45" i="4"/>
  <c r="C45" i="4"/>
  <c r="W42" i="4"/>
  <c r="V42" i="4"/>
  <c r="U42" i="4"/>
  <c r="T42" i="4"/>
  <c r="R42" i="4"/>
  <c r="Q42" i="4"/>
  <c r="P42" i="4"/>
  <c r="O42" i="4"/>
  <c r="N42" i="4"/>
  <c r="M42" i="4"/>
  <c r="L42" i="4"/>
  <c r="J42" i="4"/>
  <c r="I42" i="4"/>
  <c r="H42" i="4"/>
  <c r="G42" i="4"/>
  <c r="F42" i="4"/>
  <c r="E42" i="4"/>
  <c r="D42" i="4"/>
  <c r="C42" i="4"/>
  <c r="W41" i="4"/>
  <c r="V41" i="4"/>
  <c r="U41" i="4"/>
  <c r="T41" i="4"/>
  <c r="R41" i="4"/>
  <c r="Q41" i="4"/>
  <c r="P41" i="4"/>
  <c r="O41" i="4"/>
  <c r="N41" i="4"/>
  <c r="M41" i="4"/>
  <c r="L41" i="4"/>
  <c r="J41" i="4"/>
  <c r="I41" i="4"/>
  <c r="H41" i="4"/>
  <c r="G41" i="4"/>
  <c r="F41" i="4"/>
  <c r="E41" i="4"/>
  <c r="D41" i="4"/>
  <c r="C41" i="4"/>
  <c r="W40" i="4"/>
  <c r="V40" i="4"/>
  <c r="U40" i="4"/>
  <c r="T40" i="4"/>
  <c r="R40" i="4"/>
  <c r="Q40" i="4"/>
  <c r="P40" i="4"/>
  <c r="O40" i="4"/>
  <c r="N40" i="4"/>
  <c r="M40" i="4"/>
  <c r="L40" i="4"/>
  <c r="J40" i="4"/>
  <c r="I40" i="4"/>
  <c r="H40" i="4"/>
  <c r="G40" i="4"/>
  <c r="F40" i="4"/>
  <c r="E40" i="4"/>
  <c r="D40" i="4"/>
  <c r="C40" i="4"/>
  <c r="W39" i="4"/>
  <c r="V39" i="4"/>
  <c r="U39" i="4"/>
  <c r="T39" i="4"/>
  <c r="R39" i="4"/>
  <c r="Q39" i="4"/>
  <c r="P39" i="4"/>
  <c r="O39" i="4"/>
  <c r="N39" i="4"/>
  <c r="M39" i="4"/>
  <c r="L39" i="4"/>
  <c r="J39" i="4"/>
  <c r="I39" i="4"/>
  <c r="H39" i="4"/>
  <c r="G39" i="4"/>
  <c r="F39" i="4"/>
  <c r="E39" i="4"/>
  <c r="D39" i="4"/>
  <c r="C39" i="4"/>
  <c r="W38" i="4"/>
  <c r="V38" i="4"/>
  <c r="U38" i="4"/>
  <c r="T38" i="4"/>
  <c r="R38" i="4"/>
  <c r="Q38" i="4"/>
  <c r="P38" i="4"/>
  <c r="O38" i="4"/>
  <c r="N38" i="4"/>
  <c r="M38" i="4"/>
  <c r="L38" i="4"/>
  <c r="J38" i="4"/>
  <c r="I38" i="4"/>
  <c r="H38" i="4"/>
  <c r="G38" i="4"/>
  <c r="F38" i="4"/>
  <c r="E38" i="4"/>
  <c r="D38" i="4"/>
  <c r="C38" i="4"/>
  <c r="W37" i="4"/>
  <c r="V37" i="4"/>
  <c r="U37" i="4"/>
  <c r="T37" i="4"/>
  <c r="R37" i="4"/>
  <c r="Q37" i="4"/>
  <c r="P37" i="4"/>
  <c r="O37" i="4"/>
  <c r="N37" i="4"/>
  <c r="M37" i="4"/>
  <c r="L37" i="4"/>
  <c r="J37" i="4"/>
  <c r="I37" i="4"/>
  <c r="H37" i="4"/>
  <c r="G37" i="4"/>
  <c r="F37" i="4"/>
  <c r="E37" i="4"/>
  <c r="D37" i="4"/>
  <c r="C37" i="4"/>
  <c r="W36" i="4"/>
  <c r="V36" i="4"/>
  <c r="U36" i="4"/>
  <c r="T36" i="4"/>
  <c r="R36" i="4"/>
  <c r="Q36" i="4"/>
  <c r="P36" i="4"/>
  <c r="O36" i="4"/>
  <c r="N36" i="4"/>
  <c r="M36" i="4"/>
  <c r="L36" i="4"/>
  <c r="J36" i="4"/>
  <c r="I36" i="4"/>
  <c r="H36" i="4"/>
  <c r="G36" i="4"/>
  <c r="F36" i="4"/>
  <c r="E36" i="4"/>
  <c r="D36" i="4"/>
  <c r="C36" i="4"/>
  <c r="W35" i="4"/>
  <c r="V35" i="4"/>
  <c r="U35" i="4"/>
  <c r="T35" i="4"/>
  <c r="R35" i="4"/>
  <c r="Q35" i="4"/>
  <c r="P35" i="4"/>
  <c r="O35" i="4"/>
  <c r="N35" i="4"/>
  <c r="M35" i="4"/>
  <c r="L35" i="4"/>
  <c r="J35" i="4"/>
  <c r="I35" i="4"/>
  <c r="H35" i="4"/>
  <c r="G35" i="4"/>
  <c r="F35" i="4"/>
  <c r="E35" i="4"/>
  <c r="D35" i="4"/>
  <c r="C35" i="4"/>
  <c r="W34" i="4"/>
  <c r="V34" i="4"/>
  <c r="U34" i="4"/>
  <c r="T34" i="4"/>
  <c r="R34" i="4"/>
  <c r="Q34" i="4"/>
  <c r="P34" i="4"/>
  <c r="O34" i="4"/>
  <c r="N34" i="4"/>
  <c r="M34" i="4"/>
  <c r="L34" i="4"/>
  <c r="J34" i="4"/>
  <c r="I34" i="4"/>
  <c r="H34" i="4"/>
  <c r="G34" i="4"/>
  <c r="F34" i="4"/>
  <c r="E34" i="4"/>
  <c r="D34" i="4"/>
  <c r="C34" i="4"/>
  <c r="W33" i="4"/>
  <c r="V33" i="4"/>
  <c r="U33" i="4"/>
  <c r="T33" i="4"/>
  <c r="R33" i="4"/>
  <c r="Q33" i="4"/>
  <c r="P33" i="4"/>
  <c r="O33" i="4"/>
  <c r="N33" i="4"/>
  <c r="M33" i="4"/>
  <c r="L33" i="4"/>
  <c r="J33" i="4"/>
  <c r="I33" i="4"/>
  <c r="H33" i="4"/>
  <c r="G33" i="4"/>
  <c r="F33" i="4"/>
  <c r="E33" i="4"/>
  <c r="D33" i="4"/>
  <c r="C33" i="4"/>
  <c r="W32" i="4"/>
  <c r="V32" i="4"/>
  <c r="U32" i="4"/>
  <c r="T32" i="4"/>
  <c r="R32" i="4"/>
  <c r="Q32" i="4"/>
  <c r="P32" i="4"/>
  <c r="O32" i="4"/>
  <c r="N32" i="4"/>
  <c r="M32" i="4"/>
  <c r="L32" i="4"/>
  <c r="J32" i="4"/>
  <c r="I32" i="4"/>
  <c r="H32" i="4"/>
  <c r="G32" i="4"/>
  <c r="F32" i="4"/>
  <c r="E32" i="4"/>
  <c r="D32" i="4"/>
  <c r="C32" i="4"/>
  <c r="W31" i="4"/>
  <c r="V31" i="4"/>
  <c r="U31" i="4"/>
  <c r="T31" i="4"/>
  <c r="R31" i="4"/>
  <c r="Q31" i="4"/>
  <c r="P31" i="4"/>
  <c r="O31" i="4"/>
  <c r="N31" i="4"/>
  <c r="M31" i="4"/>
  <c r="L31" i="4"/>
  <c r="J31" i="4"/>
  <c r="I31" i="4"/>
  <c r="H31" i="4"/>
  <c r="G31" i="4"/>
  <c r="F31" i="4"/>
  <c r="E31" i="4"/>
  <c r="D31" i="4"/>
  <c r="C31" i="4"/>
  <c r="W30" i="4"/>
  <c r="V30" i="4"/>
  <c r="U30" i="4"/>
  <c r="T30" i="4"/>
  <c r="R30" i="4"/>
  <c r="Q30" i="4"/>
  <c r="P30" i="4"/>
  <c r="O30" i="4"/>
  <c r="N30" i="4"/>
  <c r="M30" i="4"/>
  <c r="L30" i="4"/>
  <c r="J30" i="4"/>
  <c r="I30" i="4"/>
  <c r="H30" i="4"/>
  <c r="G30" i="4"/>
  <c r="F30" i="4"/>
  <c r="E30" i="4"/>
  <c r="D30" i="4"/>
  <c r="C30" i="4"/>
  <c r="W29" i="4"/>
  <c r="V29" i="4"/>
  <c r="U29" i="4"/>
  <c r="T29" i="4"/>
  <c r="R29" i="4"/>
  <c r="Q29" i="4"/>
  <c r="P29" i="4"/>
  <c r="O29" i="4"/>
  <c r="N29" i="4"/>
  <c r="M29" i="4"/>
  <c r="L29" i="4"/>
  <c r="J29" i="4"/>
  <c r="I29" i="4"/>
  <c r="H29" i="4"/>
  <c r="G29" i="4"/>
  <c r="F29" i="4"/>
  <c r="E29" i="4"/>
  <c r="D29" i="4"/>
  <c r="C29" i="4"/>
  <c r="W28" i="4"/>
  <c r="V28" i="4"/>
  <c r="U28" i="4"/>
  <c r="T28" i="4"/>
  <c r="R28" i="4"/>
  <c r="Q28" i="4"/>
  <c r="P28" i="4"/>
  <c r="O28" i="4"/>
  <c r="N28" i="4"/>
  <c r="M28" i="4"/>
  <c r="L28" i="4"/>
  <c r="J28" i="4"/>
  <c r="I28" i="4"/>
  <c r="H28" i="4"/>
  <c r="G28" i="4"/>
  <c r="F28" i="4"/>
  <c r="E28" i="4"/>
  <c r="D28" i="4"/>
  <c r="C28" i="4"/>
  <c r="W27" i="4"/>
  <c r="V27" i="4"/>
  <c r="U27" i="4"/>
  <c r="T27" i="4"/>
  <c r="R27" i="4"/>
  <c r="Q27" i="4"/>
  <c r="P27" i="4"/>
  <c r="O27" i="4"/>
  <c r="N27" i="4"/>
  <c r="M27" i="4"/>
  <c r="L27" i="4"/>
  <c r="J27" i="4"/>
  <c r="I27" i="4"/>
  <c r="H27" i="4"/>
  <c r="G27" i="4"/>
  <c r="F27" i="4"/>
  <c r="E27" i="4"/>
  <c r="D27" i="4"/>
  <c r="C27" i="4"/>
  <c r="W26" i="4"/>
  <c r="V26" i="4"/>
  <c r="U26" i="4"/>
  <c r="T26" i="4"/>
  <c r="R26" i="4"/>
  <c r="Q26" i="4"/>
  <c r="P26" i="4"/>
  <c r="O26" i="4"/>
  <c r="N26" i="4"/>
  <c r="M26" i="4"/>
  <c r="L26" i="4"/>
  <c r="J26" i="4"/>
  <c r="I26" i="4"/>
  <c r="H26" i="4"/>
  <c r="G26" i="4"/>
  <c r="F26" i="4"/>
  <c r="E26" i="4"/>
  <c r="D26" i="4"/>
  <c r="C26" i="4"/>
  <c r="W25" i="4"/>
  <c r="V25" i="4"/>
  <c r="U25" i="4"/>
  <c r="T25" i="4"/>
  <c r="R25" i="4"/>
  <c r="Q25" i="4"/>
  <c r="P25" i="4"/>
  <c r="O25" i="4"/>
  <c r="N25" i="4"/>
  <c r="M25" i="4"/>
  <c r="L25" i="4"/>
  <c r="J25" i="4"/>
  <c r="I25" i="4"/>
  <c r="H25" i="4"/>
  <c r="G25" i="4"/>
  <c r="F25" i="4"/>
  <c r="E25" i="4"/>
  <c r="D25" i="4"/>
  <c r="C25" i="4"/>
  <c r="W24" i="4"/>
  <c r="V24" i="4"/>
  <c r="U24" i="4"/>
  <c r="T24" i="4"/>
  <c r="R24" i="4"/>
  <c r="Q24" i="4"/>
  <c r="P24" i="4"/>
  <c r="O24" i="4"/>
  <c r="N24" i="4"/>
  <c r="M24" i="4"/>
  <c r="L24" i="4"/>
  <c r="J24" i="4"/>
  <c r="I24" i="4"/>
  <c r="H24" i="4"/>
  <c r="G24" i="4"/>
  <c r="F24" i="4"/>
  <c r="E24" i="4"/>
  <c r="D24" i="4"/>
  <c r="C24" i="4"/>
  <c r="W23" i="4"/>
  <c r="V23" i="4"/>
  <c r="U23" i="4"/>
  <c r="T23" i="4"/>
  <c r="R23" i="4"/>
  <c r="Q23" i="4"/>
  <c r="P23" i="4"/>
  <c r="O23" i="4"/>
  <c r="N23" i="4"/>
  <c r="M23" i="4"/>
  <c r="L23" i="4"/>
  <c r="J23" i="4"/>
  <c r="I23" i="4"/>
  <c r="H23" i="4"/>
  <c r="G23" i="4"/>
  <c r="F23" i="4"/>
  <c r="E23" i="4"/>
  <c r="D23" i="4"/>
  <c r="C23" i="4"/>
  <c r="W22" i="4"/>
  <c r="V22" i="4"/>
  <c r="U22" i="4"/>
  <c r="T22" i="4"/>
  <c r="R22" i="4"/>
  <c r="Q22" i="4"/>
  <c r="P22" i="4"/>
  <c r="O22" i="4"/>
  <c r="N22" i="4"/>
  <c r="M22" i="4"/>
  <c r="L22" i="4"/>
  <c r="J22" i="4"/>
  <c r="I22" i="4"/>
  <c r="H22" i="4"/>
  <c r="G22" i="4"/>
  <c r="F22" i="4"/>
  <c r="E22" i="4"/>
  <c r="D22" i="4"/>
  <c r="C22" i="4"/>
  <c r="W21" i="4"/>
  <c r="V21" i="4"/>
  <c r="U21" i="4"/>
  <c r="T21" i="4"/>
  <c r="R21" i="4"/>
  <c r="Q21" i="4"/>
  <c r="P21" i="4"/>
  <c r="O21" i="4"/>
  <c r="N21" i="4"/>
  <c r="M21" i="4"/>
  <c r="L21" i="4"/>
  <c r="J21" i="4"/>
  <c r="I21" i="4"/>
  <c r="H21" i="4"/>
  <c r="G21" i="4"/>
  <c r="F21" i="4"/>
  <c r="E21" i="4"/>
  <c r="D21" i="4"/>
  <c r="C21" i="4"/>
  <c r="W20" i="4"/>
  <c r="V20" i="4"/>
  <c r="U20" i="4"/>
  <c r="T20" i="4"/>
  <c r="R20" i="4"/>
  <c r="Q20" i="4"/>
  <c r="P20" i="4"/>
  <c r="O20" i="4"/>
  <c r="N20" i="4"/>
  <c r="M20" i="4"/>
  <c r="L20" i="4"/>
  <c r="J20" i="4"/>
  <c r="I20" i="4"/>
  <c r="H20" i="4"/>
  <c r="G20" i="4"/>
  <c r="F20" i="4"/>
  <c r="E20" i="4"/>
  <c r="D20" i="4"/>
  <c r="C20" i="4"/>
  <c r="W19" i="4"/>
  <c r="V19" i="4"/>
  <c r="U19" i="4"/>
  <c r="T19" i="4"/>
  <c r="R19" i="4"/>
  <c r="Q19" i="4"/>
  <c r="P19" i="4"/>
  <c r="O19" i="4"/>
  <c r="N19" i="4"/>
  <c r="M19" i="4"/>
  <c r="L19" i="4"/>
  <c r="J19" i="4"/>
  <c r="I19" i="4"/>
  <c r="H19" i="4"/>
  <c r="G19" i="4"/>
  <c r="F19" i="4"/>
  <c r="E19" i="4"/>
  <c r="D19" i="4"/>
  <c r="C19" i="4"/>
  <c r="W18" i="4"/>
  <c r="V18" i="4"/>
  <c r="U18" i="4"/>
  <c r="T18" i="4"/>
  <c r="R18" i="4"/>
  <c r="Q18" i="4"/>
  <c r="P18" i="4"/>
  <c r="O18" i="4"/>
  <c r="N18" i="4"/>
  <c r="M18" i="4"/>
  <c r="L18" i="4"/>
  <c r="J18" i="4"/>
  <c r="I18" i="4"/>
  <c r="H18" i="4"/>
  <c r="G18" i="4"/>
  <c r="F18" i="4"/>
  <c r="E18" i="4"/>
  <c r="D18" i="4"/>
  <c r="C18" i="4"/>
  <c r="W17" i="4"/>
  <c r="V17" i="4"/>
  <c r="U17" i="4"/>
  <c r="T17" i="4"/>
  <c r="R17" i="4"/>
  <c r="Q17" i="4"/>
  <c r="P17" i="4"/>
  <c r="O17" i="4"/>
  <c r="N17" i="4"/>
  <c r="M17" i="4"/>
  <c r="L17" i="4"/>
  <c r="J17" i="4"/>
  <c r="I17" i="4"/>
  <c r="H17" i="4"/>
  <c r="G17" i="4"/>
  <c r="F17" i="4"/>
  <c r="E17" i="4"/>
  <c r="D17" i="4"/>
  <c r="C17" i="4"/>
  <c r="W16" i="4"/>
  <c r="V16" i="4"/>
  <c r="U16" i="4"/>
  <c r="T16" i="4"/>
  <c r="R16" i="4"/>
  <c r="Q16" i="4"/>
  <c r="P16" i="4"/>
  <c r="O16" i="4"/>
  <c r="N16" i="4"/>
  <c r="M16" i="4"/>
  <c r="L16" i="4"/>
  <c r="J16" i="4"/>
  <c r="I16" i="4"/>
  <c r="H16" i="4"/>
  <c r="G16" i="4"/>
  <c r="F16" i="4"/>
  <c r="E16" i="4"/>
  <c r="D16" i="4"/>
  <c r="C16" i="4"/>
  <c r="W15" i="4"/>
  <c r="V15" i="4"/>
  <c r="U15" i="4"/>
  <c r="T15" i="4"/>
  <c r="R15" i="4"/>
  <c r="Q15" i="4"/>
  <c r="P15" i="4"/>
  <c r="O15" i="4"/>
  <c r="N15" i="4"/>
  <c r="M15" i="4"/>
  <c r="L15" i="4"/>
  <c r="J15" i="4"/>
  <c r="I15" i="4"/>
  <c r="H15" i="4"/>
  <c r="G15" i="4"/>
  <c r="F15" i="4"/>
  <c r="E15" i="4"/>
  <c r="D15" i="4"/>
  <c r="C15" i="4"/>
  <c r="W14" i="4"/>
  <c r="V14" i="4"/>
  <c r="U14" i="4"/>
  <c r="T14" i="4"/>
  <c r="R14" i="4"/>
  <c r="Q14" i="4"/>
  <c r="P14" i="4"/>
  <c r="O14" i="4"/>
  <c r="N14" i="4"/>
  <c r="M14" i="4"/>
  <c r="L14" i="4"/>
  <c r="J14" i="4"/>
  <c r="I14" i="4"/>
  <c r="H14" i="4"/>
  <c r="G14" i="4"/>
  <c r="F14" i="4"/>
  <c r="E14" i="4"/>
  <c r="D14" i="4"/>
  <c r="C14" i="4"/>
  <c r="W13" i="4"/>
  <c r="V13" i="4"/>
  <c r="U13" i="4"/>
  <c r="T13" i="4"/>
  <c r="R13" i="4"/>
  <c r="Q13" i="4"/>
  <c r="P13" i="4"/>
  <c r="O13" i="4"/>
  <c r="N13" i="4"/>
  <c r="M13" i="4"/>
  <c r="L13" i="4"/>
  <c r="J13" i="4"/>
  <c r="I13" i="4"/>
  <c r="H13" i="4"/>
  <c r="G13" i="4"/>
  <c r="F13" i="4"/>
  <c r="E13" i="4"/>
  <c r="D13" i="4"/>
  <c r="C13" i="4"/>
  <c r="W9" i="4"/>
  <c r="V9" i="4"/>
  <c r="U9" i="4"/>
  <c r="T9" i="4"/>
  <c r="R9" i="4"/>
  <c r="Q9" i="4"/>
  <c r="P9" i="4"/>
  <c r="O9" i="4"/>
  <c r="N9" i="4"/>
  <c r="M9" i="4"/>
  <c r="L9" i="4"/>
  <c r="J9" i="4"/>
  <c r="I9" i="4"/>
  <c r="H9" i="4"/>
  <c r="G9" i="4"/>
  <c r="F9" i="4"/>
  <c r="E9" i="4"/>
  <c r="D9" i="4"/>
  <c r="C9" i="4"/>
  <c r="W6" i="4"/>
  <c r="V6" i="4"/>
  <c r="U6" i="4"/>
  <c r="T6" i="4"/>
  <c r="R6" i="4"/>
  <c r="Q6" i="4"/>
  <c r="P6" i="4"/>
  <c r="O6" i="4"/>
  <c r="N6" i="4"/>
  <c r="M6" i="4"/>
  <c r="L6" i="4"/>
  <c r="J6" i="4"/>
  <c r="I6" i="4"/>
  <c r="H6" i="4"/>
  <c r="G6" i="4"/>
  <c r="F6" i="4"/>
  <c r="E6" i="4"/>
  <c r="D6" i="4"/>
  <c r="C6" i="4"/>
  <c r="W5" i="4"/>
  <c r="V5" i="4"/>
  <c r="U5" i="4"/>
  <c r="T5" i="4"/>
  <c r="R5" i="4"/>
  <c r="Q5" i="4"/>
  <c r="P5" i="4"/>
  <c r="O5" i="4"/>
  <c r="N5" i="4"/>
  <c r="M5" i="4"/>
  <c r="L5" i="4"/>
  <c r="J5" i="4"/>
  <c r="I5" i="4"/>
  <c r="H5" i="4"/>
  <c r="G5" i="4"/>
  <c r="F5" i="4"/>
  <c r="E5" i="4"/>
  <c r="D5" i="4"/>
  <c r="C5" i="4"/>
  <c r="W4" i="4"/>
  <c r="V4" i="4"/>
  <c r="U4" i="4"/>
  <c r="T4" i="4"/>
  <c r="R4" i="4"/>
  <c r="Q4" i="4"/>
  <c r="P4" i="4"/>
  <c r="O4" i="4"/>
  <c r="N4" i="4"/>
  <c r="M4" i="4"/>
  <c r="L4" i="4"/>
  <c r="J4" i="4"/>
  <c r="I4" i="4"/>
  <c r="H4" i="4"/>
  <c r="G4" i="4"/>
  <c r="F4" i="4"/>
  <c r="E4" i="4"/>
  <c r="D4" i="4"/>
  <c r="C4" i="4"/>
  <c r="AG212" i="7" l="1"/>
  <c r="AE212" i="7"/>
  <c r="AD212" i="7"/>
  <c r="AC212" i="7"/>
  <c r="AG211" i="7"/>
  <c r="AE211" i="7"/>
  <c r="AD211" i="7"/>
  <c r="AC211" i="7"/>
  <c r="AG210" i="7"/>
  <c r="AE210" i="7"/>
  <c r="AD210" i="7"/>
  <c r="AC210" i="7"/>
  <c r="AG209" i="7"/>
  <c r="AE209" i="7"/>
  <c r="AD209" i="7"/>
  <c r="AC209" i="7"/>
  <c r="AG208" i="7"/>
  <c r="AE208" i="7"/>
  <c r="AD208" i="7"/>
  <c r="AC208" i="7"/>
  <c r="AG207" i="7"/>
  <c r="AE207" i="7"/>
  <c r="AD207" i="7"/>
  <c r="AC207" i="7"/>
  <c r="AG206" i="7"/>
  <c r="AE206" i="7"/>
  <c r="AD206" i="7"/>
  <c r="AC206" i="7"/>
  <c r="AG205" i="7"/>
  <c r="AE205" i="7"/>
  <c r="AD205" i="7"/>
  <c r="AC205" i="7"/>
  <c r="AG204" i="7"/>
  <c r="AE204" i="7"/>
  <c r="AD204" i="7"/>
  <c r="AC204" i="7"/>
  <c r="AG203" i="7"/>
  <c r="AE203" i="7"/>
  <c r="AD203" i="7"/>
  <c r="AC203" i="7"/>
  <c r="AG202" i="7"/>
  <c r="AE202" i="7"/>
  <c r="AD202" i="7"/>
  <c r="AC202" i="7"/>
  <c r="AG201" i="7"/>
  <c r="AE201" i="7"/>
  <c r="AD201" i="7"/>
  <c r="AC201" i="7"/>
  <c r="AG200" i="7"/>
  <c r="AE200" i="7"/>
  <c r="AD200" i="7"/>
  <c r="AC200" i="7"/>
  <c r="AG199" i="7"/>
  <c r="AE199" i="7"/>
  <c r="AD199" i="7"/>
  <c r="AC199" i="7"/>
  <c r="AG198" i="7"/>
  <c r="AE198" i="7"/>
  <c r="AD198" i="7"/>
  <c r="AC198" i="7"/>
  <c r="AG197" i="7"/>
  <c r="AE197" i="7"/>
  <c r="AD197" i="7"/>
  <c r="AC197" i="7"/>
  <c r="AG196" i="7"/>
  <c r="AE196" i="7"/>
  <c r="AD196" i="7"/>
  <c r="AC196" i="7"/>
  <c r="AG195" i="7"/>
  <c r="AE195" i="7"/>
  <c r="AD195" i="7"/>
  <c r="AC195" i="7"/>
  <c r="AG194" i="7"/>
  <c r="AE194" i="7"/>
  <c r="AD194" i="7"/>
  <c r="AC194" i="7"/>
  <c r="AG193" i="7"/>
  <c r="AE193" i="7"/>
  <c r="AD193" i="7"/>
  <c r="AC193" i="7"/>
  <c r="AG192" i="7"/>
  <c r="AE192" i="7"/>
  <c r="AD192" i="7"/>
  <c r="AC192" i="7"/>
  <c r="AG191" i="7"/>
  <c r="AE191" i="7"/>
  <c r="AD191" i="7"/>
  <c r="AC191" i="7"/>
  <c r="AG190" i="7"/>
  <c r="AE190" i="7"/>
  <c r="AD190" i="7"/>
  <c r="AC190" i="7"/>
  <c r="AG189" i="7"/>
  <c r="AE189" i="7"/>
  <c r="AD189" i="7"/>
  <c r="AC189" i="7"/>
  <c r="AG188" i="7"/>
  <c r="AE188" i="7"/>
  <c r="AD188" i="7"/>
  <c r="AC188" i="7"/>
  <c r="AG187" i="7"/>
  <c r="AE187" i="7"/>
  <c r="AD187" i="7"/>
  <c r="AC187" i="7"/>
  <c r="AG186" i="7"/>
  <c r="AE186" i="7"/>
  <c r="AD186" i="7"/>
  <c r="AC186" i="7"/>
  <c r="AG185" i="7"/>
  <c r="AE185" i="7"/>
  <c r="AD185" i="7"/>
  <c r="AC185" i="7"/>
  <c r="AG184" i="7"/>
  <c r="AE184" i="7"/>
  <c r="AD184" i="7"/>
  <c r="AC184" i="7"/>
  <c r="AG183" i="7"/>
  <c r="AE183" i="7"/>
  <c r="AD183" i="7"/>
  <c r="AC183" i="7"/>
  <c r="AG182" i="7"/>
  <c r="AE182" i="7"/>
  <c r="AD182" i="7"/>
  <c r="AC182" i="7"/>
  <c r="AG181" i="7"/>
  <c r="AE181" i="7"/>
  <c r="AD181" i="7"/>
  <c r="AC181" i="7"/>
  <c r="AG180" i="7"/>
  <c r="AE180" i="7"/>
  <c r="AD180" i="7"/>
  <c r="AC180" i="7"/>
  <c r="AG179" i="7"/>
  <c r="AE179" i="7"/>
  <c r="AD179" i="7"/>
  <c r="AC179" i="7"/>
  <c r="AG178" i="7"/>
  <c r="AE178" i="7"/>
  <c r="AD178" i="7"/>
  <c r="AC178" i="7"/>
  <c r="AG177" i="7"/>
  <c r="AE177" i="7"/>
  <c r="AD177" i="7"/>
  <c r="AC177" i="7"/>
  <c r="AG176" i="7"/>
  <c r="AE176" i="7"/>
  <c r="AD176" i="7"/>
  <c r="AC176" i="7"/>
  <c r="AG175" i="7"/>
  <c r="AE175" i="7"/>
  <c r="AD175" i="7"/>
  <c r="AC175" i="7"/>
  <c r="AG174" i="7"/>
  <c r="AE174" i="7"/>
  <c r="AD174" i="7"/>
  <c r="AC174" i="7"/>
  <c r="AG173" i="7"/>
  <c r="AE173" i="7"/>
  <c r="AD173" i="7"/>
  <c r="AC173" i="7"/>
  <c r="AG172" i="7"/>
  <c r="AE172" i="7"/>
  <c r="AD172" i="7"/>
  <c r="AC172" i="7"/>
  <c r="AG171" i="7"/>
  <c r="AE171" i="7"/>
  <c r="AD171" i="7"/>
  <c r="AC171" i="7"/>
  <c r="AG170" i="7"/>
  <c r="AE170" i="7"/>
  <c r="AD170" i="7"/>
  <c r="AC170" i="7"/>
  <c r="AG169" i="7"/>
  <c r="AE169" i="7"/>
  <c r="AD169" i="7"/>
  <c r="AC169" i="7"/>
  <c r="AG168" i="7"/>
  <c r="AE168" i="7"/>
  <c r="AD168" i="7"/>
  <c r="AC168" i="7"/>
  <c r="AG167" i="7"/>
  <c r="AE167" i="7"/>
  <c r="AD167" i="7"/>
  <c r="AC167" i="7"/>
  <c r="AG166" i="7"/>
  <c r="AE166" i="7"/>
  <c r="AD166" i="7"/>
  <c r="AC166" i="7"/>
  <c r="AG165" i="7"/>
  <c r="AE165" i="7"/>
  <c r="AD165" i="7"/>
  <c r="AC165" i="7"/>
  <c r="AG164" i="7"/>
  <c r="AE164" i="7"/>
  <c r="AD164" i="7"/>
  <c r="AC164" i="7"/>
  <c r="AG163" i="7"/>
  <c r="AE163" i="7"/>
  <c r="AD163" i="7"/>
  <c r="AC163" i="7"/>
  <c r="AG162" i="7"/>
  <c r="AE162" i="7"/>
  <c r="AD162" i="7"/>
  <c r="AC162" i="7"/>
  <c r="AG161" i="7"/>
  <c r="AE161" i="7"/>
  <c r="AD161" i="7"/>
  <c r="AC161" i="7"/>
  <c r="AG160" i="7"/>
  <c r="AE160" i="7"/>
  <c r="AD160" i="7"/>
  <c r="AC160" i="7"/>
  <c r="AG159" i="7"/>
  <c r="AE159" i="7"/>
  <c r="AD159" i="7"/>
  <c r="AC159" i="7"/>
  <c r="AG158" i="7"/>
  <c r="AE158" i="7"/>
  <c r="AD158" i="7"/>
  <c r="AC158" i="7"/>
  <c r="AG157" i="7"/>
  <c r="AE157" i="7"/>
  <c r="AD157" i="7"/>
  <c r="AC157" i="7"/>
  <c r="AG156" i="7"/>
  <c r="AE156" i="7"/>
  <c r="AD156" i="7"/>
  <c r="AC156" i="7"/>
  <c r="AG155" i="7"/>
  <c r="AE155" i="7"/>
  <c r="AD155" i="7"/>
  <c r="AC155" i="7"/>
  <c r="AG154" i="7"/>
  <c r="AE154" i="7"/>
  <c r="AD154" i="7"/>
  <c r="AC154" i="7"/>
  <c r="AG153" i="7"/>
  <c r="AE153" i="7"/>
  <c r="AD153" i="7"/>
  <c r="AC153" i="7"/>
  <c r="AG152" i="7"/>
  <c r="AE152" i="7"/>
  <c r="AD152" i="7"/>
  <c r="AC152" i="7"/>
  <c r="AG151" i="7"/>
  <c r="AE151" i="7"/>
  <c r="AD151" i="7"/>
  <c r="AC151" i="7"/>
  <c r="AG150" i="7"/>
  <c r="AE150" i="7"/>
  <c r="AD150" i="7"/>
  <c r="AC150" i="7"/>
  <c r="AG149" i="7"/>
  <c r="AE149" i="7"/>
  <c r="AD149" i="7"/>
  <c r="AC149" i="7"/>
  <c r="AG148" i="7"/>
  <c r="AE148" i="7"/>
  <c r="AD148" i="7"/>
  <c r="AC148" i="7"/>
  <c r="AG147" i="7"/>
  <c r="AE147" i="7"/>
  <c r="AD147" i="7"/>
  <c r="AC147" i="7"/>
  <c r="AG146" i="7"/>
  <c r="AE146" i="7"/>
  <c r="AD146" i="7"/>
  <c r="AC146" i="7"/>
  <c r="AG145" i="7"/>
  <c r="AE145" i="7"/>
  <c r="AD145" i="7"/>
  <c r="AC145" i="7"/>
  <c r="AG144" i="7"/>
  <c r="AE144" i="7"/>
  <c r="AD144" i="7"/>
  <c r="AC144" i="7"/>
  <c r="AG143" i="7"/>
  <c r="AE143" i="7"/>
  <c r="AD143" i="7"/>
  <c r="AC143" i="7"/>
  <c r="AG142" i="7"/>
  <c r="AE142" i="7"/>
  <c r="AD142" i="7"/>
  <c r="AC142" i="7"/>
  <c r="AG141" i="7"/>
  <c r="AE141" i="7"/>
  <c r="AD141" i="7"/>
  <c r="AC141" i="7"/>
  <c r="AG140" i="7"/>
  <c r="AE140" i="7"/>
  <c r="AD140" i="7"/>
  <c r="AC140" i="7"/>
  <c r="AG139" i="7"/>
  <c r="AE139" i="7"/>
  <c r="AD139" i="7"/>
  <c r="AC139" i="7"/>
  <c r="AG138" i="7"/>
  <c r="AE138" i="7"/>
  <c r="AD138" i="7"/>
  <c r="AC138" i="7"/>
  <c r="AG137" i="7"/>
  <c r="AE137" i="7"/>
  <c r="AD137" i="7"/>
  <c r="AC137" i="7"/>
  <c r="AG136" i="7"/>
  <c r="AE136" i="7"/>
  <c r="AD136" i="7"/>
  <c r="AC136" i="7"/>
  <c r="AG135" i="7"/>
  <c r="AE135" i="7"/>
  <c r="AD135" i="7"/>
  <c r="AC135" i="7"/>
  <c r="AG134" i="7"/>
  <c r="AE134" i="7"/>
  <c r="AD134" i="7"/>
  <c r="AC134" i="7"/>
  <c r="AG133" i="7"/>
  <c r="AE133" i="7"/>
  <c r="AD133" i="7"/>
  <c r="AC133" i="7"/>
  <c r="AG132" i="7"/>
  <c r="AE132" i="7"/>
  <c r="AD132" i="7"/>
  <c r="AC132" i="7"/>
  <c r="AG131" i="7"/>
  <c r="AE131" i="7"/>
  <c r="AD131" i="7"/>
  <c r="AC131" i="7"/>
  <c r="AG130" i="7"/>
  <c r="AE130" i="7"/>
  <c r="AD130" i="7"/>
  <c r="AC130" i="7"/>
  <c r="AG129" i="7"/>
  <c r="AE129" i="7"/>
  <c r="AD129" i="7"/>
  <c r="AC129" i="7"/>
  <c r="AG128" i="7"/>
  <c r="AE128" i="7"/>
  <c r="AD128" i="7"/>
  <c r="AC128" i="7"/>
  <c r="AG127" i="7"/>
  <c r="AE127" i="7"/>
  <c r="AD127" i="7"/>
  <c r="AC127" i="7"/>
  <c r="AG126" i="7"/>
  <c r="AE126" i="7"/>
  <c r="AD126" i="7"/>
  <c r="AC126" i="7"/>
  <c r="AG125" i="7"/>
  <c r="AE125" i="7"/>
  <c r="AD125" i="7"/>
  <c r="AC125" i="7"/>
  <c r="AG124" i="7"/>
  <c r="AE124" i="7"/>
  <c r="AD124" i="7"/>
  <c r="AC124" i="7"/>
  <c r="AG123" i="7"/>
  <c r="AE123" i="7"/>
  <c r="AD123" i="7"/>
  <c r="AC123" i="7"/>
  <c r="AG122" i="7"/>
  <c r="AE122" i="7"/>
  <c r="AD122" i="7"/>
  <c r="AC122" i="7"/>
  <c r="AG121" i="7"/>
  <c r="AE121" i="7"/>
  <c r="AD121" i="7"/>
  <c r="AC121" i="7"/>
  <c r="AG120" i="7"/>
  <c r="AE120" i="7"/>
  <c r="AD120" i="7"/>
  <c r="AC120" i="7"/>
  <c r="AG119" i="7"/>
  <c r="AE119" i="7"/>
  <c r="AD119" i="7"/>
  <c r="AC119" i="7"/>
  <c r="AG118" i="7"/>
  <c r="AE118" i="7"/>
  <c r="AD118" i="7"/>
  <c r="AC118" i="7"/>
  <c r="AG117" i="7"/>
  <c r="AE117" i="7"/>
  <c r="AD117" i="7"/>
  <c r="AC117" i="7"/>
  <c r="AG116" i="7"/>
  <c r="AE116" i="7"/>
  <c r="AD116" i="7"/>
  <c r="AC116" i="7"/>
  <c r="AG115" i="7"/>
  <c r="AE115" i="7"/>
  <c r="AD115" i="7"/>
  <c r="AC115" i="7"/>
  <c r="AG114" i="7"/>
  <c r="AE114" i="7"/>
  <c r="AD114" i="7"/>
  <c r="AC114" i="7"/>
  <c r="AG113" i="7"/>
  <c r="AE113" i="7"/>
  <c r="AD113" i="7"/>
  <c r="AC113" i="7"/>
  <c r="AG112" i="7"/>
  <c r="AE112" i="7"/>
  <c r="AD112" i="7"/>
  <c r="AC112" i="7"/>
  <c r="AG111" i="7"/>
  <c r="AE111" i="7"/>
  <c r="AD111" i="7"/>
  <c r="AC111" i="7"/>
  <c r="AG110" i="7"/>
  <c r="AE110" i="7"/>
  <c r="AD110" i="7"/>
  <c r="AC110" i="7"/>
  <c r="AG109" i="7"/>
  <c r="AE109" i="7"/>
  <c r="AD109" i="7"/>
  <c r="AC109" i="7"/>
  <c r="AG108" i="7"/>
  <c r="AE108" i="7"/>
  <c r="AD108" i="7"/>
  <c r="AC108" i="7"/>
  <c r="AG107" i="7"/>
  <c r="AE107" i="7"/>
  <c r="AD107" i="7"/>
  <c r="AC107" i="7"/>
  <c r="AG106" i="7"/>
  <c r="AE106" i="7"/>
  <c r="AD106" i="7"/>
  <c r="AC106" i="7"/>
  <c r="AG105" i="7"/>
  <c r="AE105" i="7"/>
  <c r="AD105" i="7"/>
  <c r="AC105" i="7"/>
  <c r="AG104" i="7"/>
  <c r="AE104" i="7"/>
  <c r="AD104" i="7"/>
  <c r="AC104" i="7"/>
  <c r="AG103" i="7"/>
  <c r="AE103" i="7"/>
  <c r="AD103" i="7"/>
  <c r="AC103" i="7"/>
  <c r="AG102" i="7"/>
  <c r="AE102" i="7"/>
  <c r="AD102" i="7"/>
  <c r="AC102" i="7"/>
  <c r="AG101" i="7"/>
  <c r="AE101" i="7"/>
  <c r="AD101" i="7"/>
  <c r="AC101" i="7"/>
  <c r="AG100" i="7"/>
  <c r="AE100" i="7"/>
  <c r="AD100" i="7"/>
  <c r="AC100" i="7"/>
  <c r="AG99" i="7"/>
  <c r="AE99" i="7"/>
  <c r="AD99" i="7"/>
  <c r="AC99" i="7"/>
  <c r="AG98" i="7"/>
  <c r="AE98" i="7"/>
  <c r="AD98" i="7"/>
  <c r="AC98" i="7"/>
  <c r="AG97" i="7"/>
  <c r="AE97" i="7"/>
  <c r="AD97" i="7"/>
  <c r="AC97" i="7"/>
  <c r="AG96" i="7"/>
  <c r="AE96" i="7"/>
  <c r="AD96" i="7"/>
  <c r="AC96" i="7"/>
  <c r="AG95" i="7"/>
  <c r="AE95" i="7"/>
  <c r="AD95" i="7"/>
  <c r="AC95" i="7"/>
  <c r="AG94" i="7"/>
  <c r="AE94" i="7"/>
  <c r="AD94" i="7"/>
  <c r="AC94" i="7"/>
  <c r="AG93" i="7"/>
  <c r="AE93" i="7"/>
  <c r="AD93" i="7"/>
  <c r="AC93" i="7"/>
  <c r="AG92" i="7"/>
  <c r="AE92" i="7"/>
  <c r="AD92" i="7"/>
  <c r="AC92" i="7"/>
  <c r="AG91" i="7"/>
  <c r="AE91" i="7"/>
  <c r="AD91" i="7"/>
  <c r="AC91" i="7"/>
  <c r="AG90" i="7"/>
  <c r="AE90" i="7"/>
  <c r="AD90" i="7"/>
  <c r="AC90" i="7"/>
  <c r="AG89" i="7"/>
  <c r="AE89" i="7"/>
  <c r="AD89" i="7"/>
  <c r="AC89" i="7"/>
  <c r="AG88" i="7"/>
  <c r="AE88" i="7"/>
  <c r="AD88" i="7"/>
  <c r="AC88" i="7"/>
  <c r="AG87" i="7"/>
  <c r="AE87" i="7"/>
  <c r="AD87" i="7"/>
  <c r="AC87" i="7"/>
  <c r="AG86" i="7"/>
  <c r="AE86" i="7"/>
  <c r="AD86" i="7"/>
  <c r="AC86" i="7"/>
  <c r="AG85" i="7"/>
  <c r="AE85" i="7"/>
  <c r="AD85" i="7"/>
  <c r="AC85" i="7"/>
  <c r="AG84" i="7"/>
  <c r="AE84" i="7"/>
  <c r="AD84" i="7"/>
  <c r="AC84" i="7"/>
  <c r="AG83" i="7"/>
  <c r="AE83" i="7"/>
  <c r="AD83" i="7"/>
  <c r="AC83" i="7"/>
  <c r="AG82" i="7"/>
  <c r="AE82" i="7"/>
  <c r="AD82" i="7"/>
  <c r="AC82" i="7"/>
  <c r="AG81" i="7"/>
  <c r="AE81" i="7"/>
  <c r="AD81" i="7"/>
  <c r="AC81" i="7"/>
  <c r="AG80" i="7"/>
  <c r="AE80" i="7"/>
  <c r="AD80" i="7"/>
  <c r="AC80" i="7"/>
  <c r="AG79" i="7"/>
  <c r="AE79" i="7"/>
  <c r="AD79" i="7"/>
  <c r="AC79" i="7"/>
  <c r="AG78" i="7"/>
  <c r="AE78" i="7"/>
  <c r="AD78" i="7"/>
  <c r="AC78" i="7"/>
  <c r="AG77" i="7"/>
  <c r="AE77" i="7"/>
  <c r="AD77" i="7"/>
  <c r="AC77" i="7"/>
  <c r="AG76" i="7"/>
  <c r="AE76" i="7"/>
  <c r="AD76" i="7"/>
  <c r="AC76" i="7"/>
  <c r="AG75" i="7"/>
  <c r="AE75" i="7"/>
  <c r="AD75" i="7"/>
  <c r="AC75" i="7"/>
  <c r="AG74" i="7"/>
  <c r="AE74" i="7"/>
  <c r="AD74" i="7"/>
  <c r="AC74" i="7"/>
  <c r="AG73" i="7"/>
  <c r="AE73" i="7"/>
  <c r="AD73" i="7"/>
  <c r="AC73" i="7"/>
  <c r="AG72" i="7"/>
  <c r="AE72" i="7"/>
  <c r="AD72" i="7"/>
  <c r="AC72" i="7"/>
  <c r="AG71" i="7"/>
  <c r="AE71" i="7"/>
  <c r="AD71" i="7"/>
  <c r="AC71" i="7"/>
  <c r="AG70" i="7"/>
  <c r="AE70" i="7"/>
  <c r="AD70" i="7"/>
  <c r="AC70" i="7"/>
  <c r="AG69" i="7"/>
  <c r="AE69" i="7"/>
  <c r="AD69" i="7"/>
  <c r="AC69" i="7"/>
  <c r="AG68" i="7"/>
  <c r="AE68" i="7"/>
  <c r="AD68" i="7"/>
  <c r="AC68" i="7"/>
  <c r="AG67" i="7"/>
  <c r="AE67" i="7"/>
  <c r="AD67" i="7"/>
  <c r="AC67" i="7"/>
  <c r="AG66" i="7"/>
  <c r="AE66" i="7"/>
  <c r="AD66" i="7"/>
  <c r="AC66" i="7"/>
  <c r="AG65" i="7"/>
  <c r="AE65" i="7"/>
  <c r="AD65" i="7"/>
  <c r="AC65" i="7"/>
  <c r="AG64" i="7"/>
  <c r="AE64" i="7"/>
  <c r="AD64" i="7"/>
  <c r="AC64" i="7"/>
  <c r="AG63" i="7"/>
  <c r="AE63" i="7"/>
  <c r="AD63" i="7"/>
  <c r="AC63" i="7"/>
  <c r="AG62" i="7"/>
  <c r="AE62" i="7"/>
  <c r="AD62" i="7"/>
  <c r="AC62" i="7"/>
  <c r="AG61" i="7"/>
  <c r="AE61" i="7"/>
  <c r="AD61" i="7"/>
  <c r="AC61" i="7"/>
  <c r="AG60" i="7"/>
  <c r="AE60" i="7"/>
  <c r="AD60" i="7"/>
  <c r="AC60" i="7"/>
  <c r="AG59" i="7"/>
  <c r="AE59" i="7"/>
  <c r="AD59" i="7"/>
  <c r="AC59" i="7"/>
  <c r="AG58" i="7"/>
  <c r="AE58" i="7"/>
  <c r="AD58" i="7"/>
  <c r="AC58" i="7"/>
  <c r="AG57" i="7"/>
  <c r="AE57" i="7"/>
  <c r="AD57" i="7"/>
  <c r="AC57" i="7"/>
  <c r="AG56" i="7"/>
  <c r="AE56" i="7"/>
  <c r="AD56" i="7"/>
  <c r="AC56" i="7"/>
  <c r="AG55" i="7"/>
  <c r="AE55" i="7"/>
  <c r="AD55" i="7"/>
  <c r="AC55" i="7"/>
  <c r="AG54" i="7"/>
  <c r="AE54" i="7"/>
  <c r="AD54" i="7"/>
  <c r="AC54" i="7"/>
  <c r="AG53" i="7"/>
  <c r="AE53" i="7"/>
  <c r="AD53" i="7"/>
  <c r="AC53" i="7"/>
  <c r="AG52" i="7"/>
  <c r="AE52" i="7"/>
  <c r="AD52" i="7"/>
  <c r="AC52" i="7"/>
  <c r="AG51" i="7"/>
  <c r="AE51" i="7"/>
  <c r="AD51" i="7"/>
  <c r="AC51" i="7"/>
  <c r="AG50" i="7"/>
  <c r="AE50" i="7"/>
  <c r="AD50" i="7"/>
  <c r="AC50" i="7"/>
  <c r="AG49" i="7"/>
  <c r="AE49" i="7"/>
  <c r="AD49" i="7"/>
  <c r="AC49" i="7"/>
  <c r="AG48" i="7"/>
  <c r="AE48" i="7"/>
  <c r="AD48" i="7"/>
  <c r="AC48" i="7"/>
  <c r="AG47" i="7"/>
  <c r="AE47" i="7"/>
  <c r="AD47" i="7"/>
  <c r="AC47" i="7"/>
  <c r="AG46" i="7"/>
  <c r="AE46" i="7"/>
  <c r="AD46" i="7"/>
  <c r="AC46" i="7"/>
  <c r="AG45" i="7"/>
  <c r="AE45" i="7"/>
  <c r="AD45" i="7"/>
  <c r="AC45" i="7"/>
  <c r="AG44" i="7"/>
  <c r="AE44" i="7"/>
  <c r="AD44" i="7"/>
  <c r="AC44" i="7"/>
  <c r="AG43" i="7"/>
  <c r="AE43" i="7"/>
  <c r="AD43" i="7"/>
  <c r="AC43" i="7"/>
  <c r="AG42" i="7"/>
  <c r="AE42" i="7"/>
  <c r="AD42" i="7"/>
  <c r="AC42" i="7"/>
  <c r="AG41" i="7"/>
  <c r="AE41" i="7"/>
  <c r="AD41" i="7"/>
  <c r="AC41" i="7"/>
  <c r="AG40" i="7"/>
  <c r="AE40" i="7"/>
  <c r="AD40" i="7"/>
  <c r="AC40" i="7"/>
  <c r="AG39" i="7"/>
  <c r="AE39" i="7"/>
  <c r="AD39" i="7"/>
  <c r="AC39" i="7"/>
  <c r="AG38" i="7"/>
  <c r="AE38" i="7"/>
  <c r="AD38" i="7"/>
  <c r="AC38" i="7"/>
  <c r="AG37" i="7"/>
  <c r="AE37" i="7"/>
  <c r="AD37" i="7"/>
  <c r="AC37" i="7"/>
  <c r="AG36" i="7"/>
  <c r="AE36" i="7"/>
  <c r="AD36" i="7"/>
  <c r="AC36" i="7"/>
  <c r="AG35" i="7"/>
  <c r="AE35" i="7"/>
  <c r="AD35" i="7"/>
  <c r="AC35" i="7"/>
  <c r="AG34" i="7"/>
  <c r="AE34" i="7"/>
  <c r="AD34" i="7"/>
  <c r="AC34" i="7"/>
  <c r="AG33" i="7"/>
  <c r="AE33" i="7"/>
  <c r="AD33" i="7"/>
  <c r="AC33" i="7"/>
  <c r="AG32" i="7"/>
  <c r="AE32" i="7"/>
  <c r="AD32" i="7"/>
  <c r="AC32" i="7"/>
  <c r="AG31" i="7"/>
  <c r="AE31" i="7"/>
  <c r="AD31" i="7"/>
  <c r="AC31" i="7"/>
  <c r="AG30" i="7"/>
  <c r="AE30" i="7"/>
  <c r="AD30" i="7"/>
  <c r="AC30" i="7"/>
  <c r="AG29" i="7"/>
  <c r="AE29" i="7"/>
  <c r="AD29" i="7"/>
  <c r="AC29" i="7"/>
  <c r="AG28" i="7"/>
  <c r="AE28" i="7"/>
  <c r="AD28" i="7"/>
  <c r="AC28" i="7"/>
  <c r="AG27" i="7"/>
  <c r="AE27" i="7"/>
  <c r="AD27" i="7"/>
  <c r="AC27" i="7"/>
  <c r="AG26" i="7"/>
  <c r="AE26" i="7"/>
  <c r="AD26" i="7"/>
  <c r="AC26" i="7"/>
  <c r="AG25" i="7"/>
  <c r="AE25" i="7"/>
  <c r="AD25" i="7"/>
  <c r="AC25" i="7"/>
  <c r="AG24" i="7"/>
  <c r="AE24" i="7"/>
  <c r="AD24" i="7"/>
  <c r="AC24" i="7"/>
  <c r="AG23" i="7"/>
  <c r="AE23" i="7"/>
  <c r="AD23" i="7"/>
  <c r="AC23" i="7"/>
  <c r="AG22" i="7"/>
  <c r="AE22" i="7"/>
  <c r="AD22" i="7"/>
  <c r="AC22" i="7"/>
  <c r="AG21" i="7"/>
  <c r="AE21" i="7"/>
  <c r="AD21" i="7"/>
  <c r="AC21" i="7"/>
  <c r="AG20" i="7"/>
  <c r="AE20" i="7"/>
  <c r="AD20" i="7"/>
  <c r="AC20" i="7"/>
  <c r="AG19" i="7"/>
  <c r="AE19" i="7"/>
  <c r="AD19" i="7"/>
  <c r="AC19" i="7"/>
  <c r="AG18" i="7"/>
  <c r="AE18" i="7"/>
  <c r="AD18" i="7"/>
  <c r="AC18" i="7"/>
  <c r="AG17" i="7"/>
  <c r="AE17" i="7"/>
  <c r="AD17" i="7"/>
  <c r="AC17" i="7"/>
  <c r="AG16" i="7"/>
  <c r="AE16" i="7"/>
  <c r="AD16" i="7"/>
  <c r="AC16" i="7"/>
  <c r="AG15" i="7"/>
  <c r="AE15" i="7"/>
  <c r="AD15" i="7"/>
  <c r="AC15" i="7"/>
  <c r="AG14" i="7"/>
  <c r="AE14" i="7"/>
  <c r="AD14" i="7"/>
  <c r="AC14" i="7"/>
  <c r="AG13" i="7"/>
  <c r="AE13" i="7"/>
  <c r="AD13" i="7"/>
  <c r="AC13" i="7"/>
  <c r="AG12" i="7"/>
  <c r="AE12" i="7"/>
  <c r="AD12" i="7"/>
  <c r="AC12" i="7"/>
  <c r="AG11" i="7"/>
  <c r="AE11" i="7"/>
  <c r="AD11" i="7"/>
  <c r="AC11" i="7"/>
  <c r="AG10" i="7"/>
  <c r="AE10" i="7"/>
  <c r="AD10" i="7"/>
  <c r="AC10" i="7"/>
  <c r="AG9" i="7"/>
  <c r="AE9" i="7"/>
  <c r="AD9" i="7"/>
  <c r="AC9" i="7"/>
  <c r="AG8" i="7"/>
  <c r="AE8" i="7"/>
  <c r="AD8" i="7"/>
  <c r="AC8" i="7"/>
  <c r="AG7" i="7"/>
  <c r="AE7" i="7"/>
  <c r="AD7" i="7"/>
  <c r="AC7" i="7"/>
  <c r="AG6" i="7"/>
  <c r="AE6" i="7"/>
  <c r="AD6" i="7"/>
  <c r="AC6" i="7"/>
  <c r="AG5" i="7"/>
  <c r="AE5" i="7"/>
  <c r="AD5" i="7"/>
  <c r="AC5" i="7"/>
  <c r="AG4" i="7"/>
  <c r="AE4" i="7"/>
  <c r="AD4" i="7"/>
  <c r="AC4" i="7"/>
  <c r="W1" i="7"/>
  <c r="V1" i="7"/>
  <c r="U1" i="7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V55" i="5"/>
  <c r="W55" i="5"/>
  <c r="V56" i="5"/>
  <c r="W56" i="5"/>
  <c r="V57" i="5"/>
  <c r="W57" i="5"/>
  <c r="V58" i="5"/>
  <c r="W58" i="5"/>
  <c r="V59" i="5"/>
  <c r="W59" i="5"/>
  <c r="V60" i="5"/>
  <c r="W60" i="5"/>
  <c r="V61" i="5"/>
  <c r="W61" i="5"/>
  <c r="V62" i="5"/>
  <c r="W62" i="5"/>
  <c r="V63" i="5"/>
  <c r="W63" i="5"/>
  <c r="V64" i="5"/>
  <c r="W64" i="5"/>
  <c r="V65" i="5"/>
  <c r="W65" i="5"/>
  <c r="V66" i="5"/>
  <c r="W66" i="5"/>
  <c r="V67" i="5"/>
  <c r="W67" i="5"/>
  <c r="V68" i="5"/>
  <c r="W68" i="5"/>
  <c r="V69" i="5"/>
  <c r="W69" i="5"/>
  <c r="V70" i="5"/>
  <c r="W70" i="5"/>
  <c r="V71" i="5"/>
  <c r="W71" i="5"/>
  <c r="V72" i="5"/>
  <c r="W72" i="5"/>
  <c r="V73" i="5"/>
  <c r="W73" i="5"/>
  <c r="V74" i="5"/>
  <c r="W74" i="5"/>
  <c r="W54" i="5"/>
  <c r="V54" i="5"/>
  <c r="C55" i="5"/>
  <c r="D55" i="5"/>
  <c r="E55" i="5"/>
  <c r="F55" i="5"/>
  <c r="G55" i="5"/>
  <c r="H55" i="5"/>
  <c r="I55" i="5"/>
  <c r="K55" i="5"/>
  <c r="L55" i="5"/>
  <c r="M55" i="5"/>
  <c r="N55" i="5"/>
  <c r="O55" i="5"/>
  <c r="P55" i="5"/>
  <c r="Q55" i="5"/>
  <c r="C56" i="5"/>
  <c r="D56" i="5"/>
  <c r="E56" i="5"/>
  <c r="F56" i="5"/>
  <c r="G56" i="5"/>
  <c r="H56" i="5"/>
  <c r="I56" i="5"/>
  <c r="K56" i="5"/>
  <c r="L56" i="5"/>
  <c r="M56" i="5"/>
  <c r="N56" i="5"/>
  <c r="O56" i="5"/>
  <c r="P56" i="5"/>
  <c r="Q56" i="5"/>
  <c r="C57" i="5"/>
  <c r="D57" i="5"/>
  <c r="E57" i="5"/>
  <c r="F57" i="5"/>
  <c r="G57" i="5"/>
  <c r="H57" i="5"/>
  <c r="I57" i="5"/>
  <c r="K57" i="5"/>
  <c r="L57" i="5"/>
  <c r="M57" i="5"/>
  <c r="N57" i="5"/>
  <c r="O57" i="5"/>
  <c r="P57" i="5"/>
  <c r="Q57" i="5"/>
  <c r="C58" i="5"/>
  <c r="D58" i="5"/>
  <c r="E58" i="5"/>
  <c r="F58" i="5"/>
  <c r="G58" i="5"/>
  <c r="H58" i="5"/>
  <c r="I58" i="5"/>
  <c r="K58" i="5"/>
  <c r="L58" i="5"/>
  <c r="M58" i="5"/>
  <c r="N58" i="5"/>
  <c r="O58" i="5"/>
  <c r="P58" i="5"/>
  <c r="Q58" i="5"/>
  <c r="C59" i="5"/>
  <c r="D59" i="5"/>
  <c r="E59" i="5"/>
  <c r="F59" i="5"/>
  <c r="G59" i="5"/>
  <c r="H59" i="5"/>
  <c r="I59" i="5"/>
  <c r="K59" i="5"/>
  <c r="L59" i="5"/>
  <c r="M59" i="5"/>
  <c r="N59" i="5"/>
  <c r="O59" i="5"/>
  <c r="P59" i="5"/>
  <c r="Q59" i="5"/>
  <c r="C60" i="5"/>
  <c r="D60" i="5"/>
  <c r="E60" i="5"/>
  <c r="F60" i="5"/>
  <c r="G60" i="5"/>
  <c r="H60" i="5"/>
  <c r="I60" i="5"/>
  <c r="K60" i="5"/>
  <c r="L60" i="5"/>
  <c r="M60" i="5"/>
  <c r="N60" i="5"/>
  <c r="O60" i="5"/>
  <c r="P60" i="5"/>
  <c r="Q60" i="5"/>
  <c r="C61" i="5"/>
  <c r="D61" i="5"/>
  <c r="E61" i="5"/>
  <c r="F61" i="5"/>
  <c r="G61" i="5"/>
  <c r="H61" i="5"/>
  <c r="I61" i="5"/>
  <c r="K61" i="5"/>
  <c r="L61" i="5"/>
  <c r="M61" i="5"/>
  <c r="N61" i="5"/>
  <c r="O61" i="5"/>
  <c r="P61" i="5"/>
  <c r="Q61" i="5"/>
  <c r="C62" i="5"/>
  <c r="D62" i="5"/>
  <c r="E62" i="5"/>
  <c r="F62" i="5"/>
  <c r="G62" i="5"/>
  <c r="H62" i="5"/>
  <c r="I62" i="5"/>
  <c r="K62" i="5"/>
  <c r="L62" i="5"/>
  <c r="M62" i="5"/>
  <c r="N62" i="5"/>
  <c r="O62" i="5"/>
  <c r="P62" i="5"/>
  <c r="Q62" i="5"/>
  <c r="C63" i="5"/>
  <c r="D63" i="5"/>
  <c r="E63" i="5"/>
  <c r="F63" i="5"/>
  <c r="G63" i="5"/>
  <c r="H63" i="5"/>
  <c r="I63" i="5"/>
  <c r="K63" i="5"/>
  <c r="L63" i="5"/>
  <c r="M63" i="5"/>
  <c r="N63" i="5"/>
  <c r="O63" i="5"/>
  <c r="P63" i="5"/>
  <c r="Q63" i="5"/>
  <c r="C64" i="5"/>
  <c r="D64" i="5"/>
  <c r="E64" i="5"/>
  <c r="F64" i="5"/>
  <c r="G64" i="5"/>
  <c r="H64" i="5"/>
  <c r="I64" i="5"/>
  <c r="K64" i="5"/>
  <c r="L64" i="5"/>
  <c r="M64" i="5"/>
  <c r="N64" i="5"/>
  <c r="O64" i="5"/>
  <c r="P64" i="5"/>
  <c r="Q64" i="5"/>
  <c r="C65" i="5"/>
  <c r="D65" i="5"/>
  <c r="E65" i="5"/>
  <c r="F65" i="5"/>
  <c r="G65" i="5"/>
  <c r="H65" i="5"/>
  <c r="I65" i="5"/>
  <c r="K65" i="5"/>
  <c r="L65" i="5"/>
  <c r="M65" i="5"/>
  <c r="N65" i="5"/>
  <c r="O65" i="5"/>
  <c r="P65" i="5"/>
  <c r="Q65" i="5"/>
  <c r="C66" i="5"/>
  <c r="D66" i="5"/>
  <c r="E66" i="5"/>
  <c r="F66" i="5"/>
  <c r="G66" i="5"/>
  <c r="H66" i="5"/>
  <c r="I66" i="5"/>
  <c r="K66" i="5"/>
  <c r="L66" i="5"/>
  <c r="M66" i="5"/>
  <c r="N66" i="5"/>
  <c r="O66" i="5"/>
  <c r="P66" i="5"/>
  <c r="Q66" i="5"/>
  <c r="C67" i="5"/>
  <c r="D67" i="5"/>
  <c r="E67" i="5"/>
  <c r="F67" i="5"/>
  <c r="G67" i="5"/>
  <c r="H67" i="5"/>
  <c r="I67" i="5"/>
  <c r="K67" i="5"/>
  <c r="L67" i="5"/>
  <c r="M67" i="5"/>
  <c r="N67" i="5"/>
  <c r="O67" i="5"/>
  <c r="P67" i="5"/>
  <c r="Q67" i="5"/>
  <c r="C68" i="5"/>
  <c r="D68" i="5"/>
  <c r="E68" i="5"/>
  <c r="F68" i="5"/>
  <c r="G68" i="5"/>
  <c r="H68" i="5"/>
  <c r="I68" i="5"/>
  <c r="K68" i="5"/>
  <c r="L68" i="5"/>
  <c r="M68" i="5"/>
  <c r="N68" i="5"/>
  <c r="O68" i="5"/>
  <c r="P68" i="5"/>
  <c r="Q68" i="5"/>
  <c r="C69" i="5"/>
  <c r="D69" i="5"/>
  <c r="E69" i="5"/>
  <c r="F69" i="5"/>
  <c r="G69" i="5"/>
  <c r="H69" i="5"/>
  <c r="I69" i="5"/>
  <c r="K69" i="5"/>
  <c r="L69" i="5"/>
  <c r="M69" i="5"/>
  <c r="N69" i="5"/>
  <c r="O69" i="5"/>
  <c r="P69" i="5"/>
  <c r="Q69" i="5"/>
  <c r="C70" i="5"/>
  <c r="D70" i="5"/>
  <c r="E70" i="5"/>
  <c r="F70" i="5"/>
  <c r="G70" i="5"/>
  <c r="H70" i="5"/>
  <c r="I70" i="5"/>
  <c r="K70" i="5"/>
  <c r="L70" i="5"/>
  <c r="M70" i="5"/>
  <c r="N70" i="5"/>
  <c r="O70" i="5"/>
  <c r="P70" i="5"/>
  <c r="Q70" i="5"/>
  <c r="C71" i="5"/>
  <c r="D71" i="5"/>
  <c r="E71" i="5"/>
  <c r="F71" i="5"/>
  <c r="G71" i="5"/>
  <c r="H71" i="5"/>
  <c r="I71" i="5"/>
  <c r="K71" i="5"/>
  <c r="L71" i="5"/>
  <c r="M71" i="5"/>
  <c r="N71" i="5"/>
  <c r="O71" i="5"/>
  <c r="P71" i="5"/>
  <c r="Q71" i="5"/>
  <c r="C72" i="5"/>
  <c r="D72" i="5"/>
  <c r="E72" i="5"/>
  <c r="F72" i="5"/>
  <c r="G72" i="5"/>
  <c r="H72" i="5"/>
  <c r="I72" i="5"/>
  <c r="K72" i="5"/>
  <c r="L72" i="5"/>
  <c r="M72" i="5"/>
  <c r="N72" i="5"/>
  <c r="O72" i="5"/>
  <c r="P72" i="5"/>
  <c r="Q72" i="5"/>
  <c r="C73" i="5"/>
  <c r="D73" i="5"/>
  <c r="E73" i="5"/>
  <c r="F73" i="5"/>
  <c r="G73" i="5"/>
  <c r="H73" i="5"/>
  <c r="I73" i="5"/>
  <c r="K73" i="5"/>
  <c r="L73" i="5"/>
  <c r="M73" i="5"/>
  <c r="N73" i="5"/>
  <c r="O73" i="5"/>
  <c r="P73" i="5"/>
  <c r="Q73" i="5"/>
  <c r="C74" i="5"/>
  <c r="D74" i="5"/>
  <c r="E74" i="5"/>
  <c r="F74" i="5"/>
  <c r="G74" i="5"/>
  <c r="H74" i="5"/>
  <c r="I74" i="5"/>
  <c r="K74" i="5"/>
  <c r="L74" i="5"/>
  <c r="M74" i="5"/>
  <c r="N74" i="5"/>
  <c r="O74" i="5"/>
  <c r="P74" i="5"/>
  <c r="Q74" i="5"/>
  <c r="C54" i="5"/>
  <c r="D54" i="5"/>
  <c r="E54" i="5"/>
  <c r="F54" i="5"/>
  <c r="G54" i="5"/>
  <c r="H54" i="5"/>
  <c r="I54" i="5"/>
  <c r="K54" i="5"/>
  <c r="L54" i="5"/>
  <c r="M54" i="5"/>
  <c r="N54" i="5"/>
  <c r="O54" i="5"/>
  <c r="P54" i="5"/>
  <c r="Q54" i="5"/>
  <c r="S57" i="5"/>
  <c r="S58" i="5"/>
  <c r="S59" i="5"/>
  <c r="S60" i="5"/>
  <c r="S61" i="5"/>
  <c r="S62" i="5"/>
  <c r="S63" i="5"/>
  <c r="S64" i="5"/>
  <c r="M24" i="5"/>
  <c r="M48" i="5"/>
  <c r="AH64" i="7" l="1"/>
  <c r="AI64" i="7"/>
  <c r="AH121" i="7"/>
  <c r="AI121" i="7"/>
  <c r="AH143" i="7"/>
  <c r="AI143" i="7"/>
  <c r="AH201" i="7"/>
  <c r="AI201" i="7"/>
  <c r="AH28" i="7"/>
  <c r="AI28" i="7"/>
  <c r="AH30" i="7"/>
  <c r="AI30" i="7"/>
  <c r="AH43" i="7"/>
  <c r="AI43" i="7"/>
  <c r="AH45" i="7"/>
  <c r="AI45" i="7"/>
  <c r="AH47" i="7"/>
  <c r="AI47" i="7"/>
  <c r="AH90" i="7"/>
  <c r="AI90" i="7"/>
  <c r="AH92" i="7"/>
  <c r="AI92" i="7"/>
  <c r="AH94" i="7"/>
  <c r="AI94" i="7"/>
  <c r="AH96" i="7"/>
  <c r="AI96" i="7"/>
  <c r="AH10" i="7"/>
  <c r="AI10" i="7"/>
  <c r="AH16" i="7"/>
  <c r="AI16" i="7"/>
  <c r="AH35" i="7"/>
  <c r="AI35" i="7"/>
  <c r="AH50" i="7"/>
  <c r="AI50" i="7"/>
  <c r="AH58" i="7"/>
  <c r="AI58" i="7"/>
  <c r="AH62" i="7"/>
  <c r="AI62" i="7"/>
  <c r="AH72" i="7"/>
  <c r="AI72" i="7"/>
  <c r="AH78" i="7"/>
  <c r="AI78" i="7"/>
  <c r="AH111" i="7"/>
  <c r="AI111" i="7"/>
  <c r="AH119" i="7"/>
  <c r="AI119" i="7"/>
  <c r="AH131" i="7"/>
  <c r="AI131" i="7"/>
  <c r="AH22" i="7"/>
  <c r="AI22" i="7"/>
  <c r="AH137" i="7"/>
  <c r="AI137" i="7"/>
  <c r="AH145" i="7"/>
  <c r="AI145" i="7"/>
  <c r="AH157" i="7"/>
  <c r="AI157" i="7"/>
  <c r="AH167" i="7"/>
  <c r="AI167" i="7"/>
  <c r="AH179" i="7"/>
  <c r="AI179" i="7"/>
  <c r="AH187" i="7"/>
  <c r="AI187" i="7"/>
  <c r="AH207" i="7"/>
  <c r="AI207" i="7"/>
  <c r="AH100" i="7"/>
  <c r="AI100" i="7"/>
  <c r="AH102" i="7"/>
  <c r="AI102" i="7"/>
  <c r="AH6" i="7"/>
  <c r="AI6" i="7"/>
  <c r="AH20" i="7"/>
  <c r="AI20" i="7"/>
  <c r="AH41" i="7"/>
  <c r="AI41" i="7"/>
  <c r="AH54" i="7"/>
  <c r="AI54" i="7"/>
  <c r="AH70" i="7"/>
  <c r="AI70" i="7"/>
  <c r="AH84" i="7"/>
  <c r="AI84" i="7"/>
  <c r="AH109" i="7"/>
  <c r="AI109" i="7"/>
  <c r="AH127" i="7"/>
  <c r="AI127" i="7"/>
  <c r="AH141" i="7"/>
  <c r="AI141" i="7"/>
  <c r="AH151" i="7"/>
  <c r="AI151" i="7"/>
  <c r="AH165" i="7"/>
  <c r="AI165" i="7"/>
  <c r="AH173" i="7"/>
  <c r="AI173" i="7"/>
  <c r="AH189" i="7"/>
  <c r="AI189" i="7"/>
  <c r="AH205" i="7"/>
  <c r="AI205" i="7"/>
  <c r="AH5" i="7"/>
  <c r="AI5" i="7"/>
  <c r="AH7" i="7"/>
  <c r="AI7" i="7"/>
  <c r="AH9" i="7"/>
  <c r="AI9" i="7"/>
  <c r="AH11" i="7"/>
  <c r="AI11" i="7"/>
  <c r="AH13" i="7"/>
  <c r="AI13" i="7"/>
  <c r="AH15" i="7"/>
  <c r="AI15" i="7"/>
  <c r="AH17" i="7"/>
  <c r="AI17" i="7"/>
  <c r="AH19" i="7"/>
  <c r="AI19" i="7"/>
  <c r="AH21" i="7"/>
  <c r="AI21" i="7"/>
  <c r="AH34" i="7"/>
  <c r="AI34" i="7"/>
  <c r="AH36" i="7"/>
  <c r="AI36" i="7"/>
  <c r="AH38" i="7"/>
  <c r="AI38" i="7"/>
  <c r="AH40" i="7"/>
  <c r="AI40" i="7"/>
  <c r="AH49" i="7"/>
  <c r="AI49" i="7"/>
  <c r="AH51" i="7"/>
  <c r="AI51" i="7"/>
  <c r="AH53" i="7"/>
  <c r="AI53" i="7"/>
  <c r="AH55" i="7"/>
  <c r="AI55" i="7"/>
  <c r="AH57" i="7"/>
  <c r="AI57" i="7"/>
  <c r="AH59" i="7"/>
  <c r="AI59" i="7"/>
  <c r="AH61" i="7"/>
  <c r="AI61" i="7"/>
  <c r="AH63" i="7"/>
  <c r="AI63" i="7"/>
  <c r="AH65" i="7"/>
  <c r="AI65" i="7"/>
  <c r="AH67" i="7"/>
  <c r="AI67" i="7"/>
  <c r="AH69" i="7"/>
  <c r="AI69" i="7"/>
  <c r="AH71" i="7"/>
  <c r="AI71" i="7"/>
  <c r="AH73" i="7"/>
  <c r="AI73" i="7"/>
  <c r="AH75" i="7"/>
  <c r="AI75" i="7"/>
  <c r="AH77" i="7"/>
  <c r="AI77" i="7"/>
  <c r="AH79" i="7"/>
  <c r="AI79" i="7"/>
  <c r="AH81" i="7"/>
  <c r="AI81" i="7"/>
  <c r="AH83" i="7"/>
  <c r="AI83" i="7"/>
  <c r="AH85" i="7"/>
  <c r="AI85" i="7"/>
  <c r="AH87" i="7"/>
  <c r="AI87" i="7"/>
  <c r="AH104" i="7"/>
  <c r="AI104" i="7"/>
  <c r="AH106" i="7"/>
  <c r="AI106" i="7"/>
  <c r="AH108" i="7"/>
  <c r="AI108" i="7"/>
  <c r="AH110" i="7"/>
  <c r="AI110" i="7"/>
  <c r="AH112" i="7"/>
  <c r="AI112" i="7"/>
  <c r="AH114" i="7"/>
  <c r="AI114" i="7"/>
  <c r="AH116" i="7"/>
  <c r="AI116" i="7"/>
  <c r="AH118" i="7"/>
  <c r="AI118" i="7"/>
  <c r="AH120" i="7"/>
  <c r="AI120" i="7"/>
  <c r="AH122" i="7"/>
  <c r="AI122" i="7"/>
  <c r="AH124" i="7"/>
  <c r="AI124" i="7"/>
  <c r="AH126" i="7"/>
  <c r="AI126" i="7"/>
  <c r="AH128" i="7"/>
  <c r="AI128" i="7"/>
  <c r="AH130" i="7"/>
  <c r="AI130" i="7"/>
  <c r="AH132" i="7"/>
  <c r="AI132" i="7"/>
  <c r="AH134" i="7"/>
  <c r="AI134" i="7"/>
  <c r="AH12" i="7"/>
  <c r="AI12" i="7"/>
  <c r="AH33" i="7"/>
  <c r="AI33" i="7"/>
  <c r="AH82" i="7"/>
  <c r="AI82" i="7"/>
  <c r="AH107" i="7"/>
  <c r="AI107" i="7"/>
  <c r="AH115" i="7"/>
  <c r="AI115" i="7"/>
  <c r="AH123" i="7"/>
  <c r="AI123" i="7"/>
  <c r="AH135" i="7"/>
  <c r="AI135" i="7"/>
  <c r="AH88" i="7"/>
  <c r="AI88" i="7"/>
  <c r="AH139" i="7"/>
  <c r="AI139" i="7"/>
  <c r="AH147" i="7"/>
  <c r="AI147" i="7"/>
  <c r="AH155" i="7"/>
  <c r="AI155" i="7"/>
  <c r="AH161" i="7"/>
  <c r="AI161" i="7"/>
  <c r="AH171" i="7"/>
  <c r="AI171" i="7"/>
  <c r="AH177" i="7"/>
  <c r="AI177" i="7"/>
  <c r="AH185" i="7"/>
  <c r="AI185" i="7"/>
  <c r="AH195" i="7"/>
  <c r="AI195" i="7"/>
  <c r="AH199" i="7"/>
  <c r="AI199" i="7"/>
  <c r="AH209" i="7"/>
  <c r="AI209" i="7"/>
  <c r="AH24" i="7"/>
  <c r="AI24" i="7"/>
  <c r="AH32" i="7"/>
  <c r="AI32" i="7"/>
  <c r="AH98" i="7"/>
  <c r="AI98" i="7"/>
  <c r="AH142" i="7"/>
  <c r="AI142" i="7"/>
  <c r="AH148" i="7"/>
  <c r="AI148" i="7"/>
  <c r="AH156" i="7"/>
  <c r="AI156" i="7"/>
  <c r="AH162" i="7"/>
  <c r="AI162" i="7"/>
  <c r="AH168" i="7"/>
  <c r="AI168" i="7"/>
  <c r="AH170" i="7"/>
  <c r="AI170" i="7"/>
  <c r="AH178" i="7"/>
  <c r="AI178" i="7"/>
  <c r="AH184" i="7"/>
  <c r="AI184" i="7"/>
  <c r="AH188" i="7"/>
  <c r="AI188" i="7"/>
  <c r="AH190" i="7"/>
  <c r="AI190" i="7"/>
  <c r="AH192" i="7"/>
  <c r="AI192" i="7"/>
  <c r="AH194" i="7"/>
  <c r="AI194" i="7"/>
  <c r="AH198" i="7"/>
  <c r="AI198" i="7"/>
  <c r="AH202" i="7"/>
  <c r="AI202" i="7"/>
  <c r="AH204" i="7"/>
  <c r="AI204" i="7"/>
  <c r="AH206" i="7"/>
  <c r="AI206" i="7"/>
  <c r="AH208" i="7"/>
  <c r="AI208" i="7"/>
  <c r="AH210" i="7"/>
  <c r="AI210" i="7"/>
  <c r="AH212" i="7"/>
  <c r="AI212" i="7"/>
  <c r="AH8" i="7"/>
  <c r="AI8" i="7"/>
  <c r="AH18" i="7"/>
  <c r="AI18" i="7"/>
  <c r="AH37" i="7"/>
  <c r="AI37" i="7"/>
  <c r="AH52" i="7"/>
  <c r="AI52" i="7"/>
  <c r="AH56" i="7"/>
  <c r="AI56" i="7"/>
  <c r="AH66" i="7"/>
  <c r="AI66" i="7"/>
  <c r="AH74" i="7"/>
  <c r="AI74" i="7"/>
  <c r="AH80" i="7"/>
  <c r="AI80" i="7"/>
  <c r="AH105" i="7"/>
  <c r="AI105" i="7"/>
  <c r="AH113" i="7"/>
  <c r="AI113" i="7"/>
  <c r="AH125" i="7"/>
  <c r="AI125" i="7"/>
  <c r="AH133" i="7"/>
  <c r="AI133" i="7"/>
  <c r="AH153" i="7"/>
  <c r="AI153" i="7"/>
  <c r="AH159" i="7"/>
  <c r="AI159" i="7"/>
  <c r="AH169" i="7"/>
  <c r="AI169" i="7"/>
  <c r="AH175" i="7"/>
  <c r="AI175" i="7"/>
  <c r="AH183" i="7"/>
  <c r="AI183" i="7"/>
  <c r="AH193" i="7"/>
  <c r="AI193" i="7"/>
  <c r="AH197" i="7"/>
  <c r="AI197" i="7"/>
  <c r="AH211" i="7"/>
  <c r="AI211" i="7"/>
  <c r="AH26" i="7"/>
  <c r="AI26" i="7"/>
  <c r="AH42" i="7"/>
  <c r="AI42" i="7"/>
  <c r="AH89" i="7"/>
  <c r="AI89" i="7"/>
  <c r="AH136" i="7"/>
  <c r="AI136" i="7"/>
  <c r="AH140" i="7"/>
  <c r="AI140" i="7"/>
  <c r="AH144" i="7"/>
  <c r="AI144" i="7"/>
  <c r="AH150" i="7"/>
  <c r="AI150" i="7"/>
  <c r="AH154" i="7"/>
  <c r="AI154" i="7"/>
  <c r="AH160" i="7"/>
  <c r="AI160" i="7"/>
  <c r="AH164" i="7"/>
  <c r="AI164" i="7"/>
  <c r="AH172" i="7"/>
  <c r="AI172" i="7"/>
  <c r="AH176" i="7"/>
  <c r="AI176" i="7"/>
  <c r="AH180" i="7"/>
  <c r="AI180" i="7"/>
  <c r="AH186" i="7"/>
  <c r="AI186" i="7"/>
  <c r="AH196" i="7"/>
  <c r="AI196" i="7"/>
  <c r="AH23" i="7"/>
  <c r="AI23" i="7"/>
  <c r="AH25" i="7"/>
  <c r="AI25" i="7"/>
  <c r="AH27" i="7"/>
  <c r="AI27" i="7"/>
  <c r="AH29" i="7"/>
  <c r="AI29" i="7"/>
  <c r="AH31" i="7"/>
  <c r="AI31" i="7"/>
  <c r="AH44" i="7"/>
  <c r="AI44" i="7"/>
  <c r="AH46" i="7"/>
  <c r="AI46" i="7"/>
  <c r="AH91" i="7"/>
  <c r="AI91" i="7"/>
  <c r="AH93" i="7"/>
  <c r="AI93" i="7"/>
  <c r="AH95" i="7"/>
  <c r="AI95" i="7"/>
  <c r="AH97" i="7"/>
  <c r="AI97" i="7"/>
  <c r="AH14" i="7"/>
  <c r="AI14" i="7"/>
  <c r="AH39" i="7"/>
  <c r="AI39" i="7"/>
  <c r="AH60" i="7"/>
  <c r="AI60" i="7"/>
  <c r="AH68" i="7"/>
  <c r="AI68" i="7"/>
  <c r="AH76" i="7"/>
  <c r="AI76" i="7"/>
  <c r="AH86" i="7"/>
  <c r="AI86" i="7"/>
  <c r="AH117" i="7"/>
  <c r="AI117" i="7"/>
  <c r="AH129" i="7"/>
  <c r="AI129" i="7"/>
  <c r="AH149" i="7"/>
  <c r="AI149" i="7"/>
  <c r="AH163" i="7"/>
  <c r="AI163" i="7"/>
  <c r="AH181" i="7"/>
  <c r="AI181" i="7"/>
  <c r="AH191" i="7"/>
  <c r="AI191" i="7"/>
  <c r="AH203" i="7"/>
  <c r="AI203" i="7"/>
  <c r="AH138" i="7"/>
  <c r="AI138" i="7"/>
  <c r="AH146" i="7"/>
  <c r="AI146" i="7"/>
  <c r="AH152" i="7"/>
  <c r="AI152" i="7"/>
  <c r="AH158" i="7"/>
  <c r="AI158" i="7"/>
  <c r="AH166" i="7"/>
  <c r="AI166" i="7"/>
  <c r="AH174" i="7"/>
  <c r="AI174" i="7"/>
  <c r="AH182" i="7"/>
  <c r="AI182" i="7"/>
  <c r="AH200" i="7"/>
  <c r="AI200" i="7"/>
  <c r="AH4" i="7"/>
  <c r="AI4" i="7"/>
  <c r="AH48" i="7"/>
  <c r="AI48" i="7"/>
  <c r="AH99" i="7"/>
  <c r="AI99" i="7"/>
  <c r="AH101" i="7"/>
  <c r="AI101" i="7"/>
  <c r="AH103" i="7"/>
  <c r="AI103" i="7"/>
  <c r="M75" i="5"/>
  <c r="D48" i="5"/>
  <c r="N48" i="5"/>
  <c r="O48" i="5"/>
  <c r="P48" i="5"/>
  <c r="Q48" i="5"/>
  <c r="L48" i="5"/>
  <c r="F48" i="5"/>
  <c r="E48" i="5"/>
  <c r="G48" i="5"/>
  <c r="I48" i="5"/>
  <c r="H48" i="5"/>
  <c r="N24" i="5"/>
  <c r="O24" i="5"/>
  <c r="P24" i="5"/>
  <c r="L24" i="5"/>
  <c r="Q24" i="5"/>
  <c r="T61" i="5"/>
  <c r="U61" i="5" s="1"/>
  <c r="H24" i="5"/>
  <c r="T60" i="5"/>
  <c r="U60" i="5" s="1"/>
  <c r="T59" i="5"/>
  <c r="U59" i="5" s="1"/>
  <c r="G24" i="5"/>
  <c r="G75" i="5" s="1"/>
  <c r="F24" i="5"/>
  <c r="T62" i="5"/>
  <c r="U62" i="5" s="1"/>
  <c r="T58" i="5"/>
  <c r="U58" i="5" s="1"/>
  <c r="T57" i="5"/>
  <c r="U57" i="5" s="1"/>
  <c r="T68" i="5"/>
  <c r="U68" i="5" s="1"/>
  <c r="T67" i="5"/>
  <c r="U67" i="5" s="1"/>
  <c r="T65" i="5"/>
  <c r="U65" i="5" s="1"/>
  <c r="T63" i="5"/>
  <c r="U63" i="5" s="1"/>
  <c r="T56" i="5"/>
  <c r="U56" i="5" s="1"/>
  <c r="T69" i="5"/>
  <c r="U69" i="5" s="1"/>
  <c r="T66" i="5"/>
  <c r="U66" i="5" s="1"/>
  <c r="T64" i="5"/>
  <c r="U64" i="5" s="1"/>
  <c r="N75" i="5" l="1"/>
  <c r="O75" i="5"/>
  <c r="L75" i="5"/>
  <c r="Q75" i="5"/>
  <c r="F75" i="5"/>
  <c r="P75" i="5"/>
  <c r="H75" i="5"/>
  <c r="AJ3" i="7" l="1"/>
  <c r="AD209" i="1"/>
  <c r="AE209" i="1"/>
  <c r="AG209" i="1"/>
  <c r="AD149" i="1"/>
  <c r="AE149" i="1"/>
  <c r="AG149" i="1"/>
  <c r="AD107" i="1"/>
  <c r="AE107" i="1"/>
  <c r="AG107" i="1"/>
  <c r="AD150" i="1"/>
  <c r="AE150" i="1"/>
  <c r="AG150" i="1"/>
  <c r="AD241" i="1"/>
  <c r="AE241" i="1"/>
  <c r="AG241" i="1"/>
  <c r="AD188" i="1"/>
  <c r="AE188" i="1"/>
  <c r="AG188" i="1"/>
  <c r="AD151" i="1"/>
  <c r="AE151" i="1"/>
  <c r="AG151" i="1"/>
  <c r="AD189" i="1"/>
  <c r="AE189" i="1"/>
  <c r="AG189" i="1"/>
  <c r="AD266" i="1"/>
  <c r="AE266" i="1"/>
  <c r="AG266" i="1"/>
  <c r="AD152" i="1"/>
  <c r="AE152" i="1"/>
  <c r="AG152" i="1"/>
  <c r="AD381" i="1"/>
  <c r="AE381" i="1"/>
  <c r="AG381" i="1"/>
  <c r="AD190" i="1"/>
  <c r="AE190" i="1"/>
  <c r="AG190" i="1"/>
  <c r="AD210" i="1"/>
  <c r="AE210" i="1"/>
  <c r="AG210" i="1"/>
  <c r="AD108" i="1"/>
  <c r="AE108" i="1"/>
  <c r="AG108" i="1"/>
  <c r="AD109" i="1"/>
  <c r="AE109" i="1"/>
  <c r="AG109" i="1"/>
  <c r="AD49" i="1"/>
  <c r="AE49" i="1"/>
  <c r="AG49" i="1"/>
  <c r="AD153" i="1"/>
  <c r="AE153" i="1"/>
  <c r="AG153" i="1"/>
  <c r="AD299" i="1"/>
  <c r="AE299" i="1"/>
  <c r="AG299" i="1"/>
  <c r="AD211" i="1"/>
  <c r="AE211" i="1"/>
  <c r="AG211" i="1"/>
  <c r="AD110" i="1"/>
  <c r="AE110" i="1"/>
  <c r="AG110" i="1"/>
  <c r="AD212" i="1"/>
  <c r="AE212" i="1"/>
  <c r="AG212" i="1"/>
  <c r="AD111" i="1"/>
  <c r="AE111" i="1"/>
  <c r="AG111" i="1"/>
  <c r="AD112" i="1"/>
  <c r="AE112" i="1"/>
  <c r="AG112" i="1"/>
  <c r="AD213" i="1"/>
  <c r="AE213" i="1"/>
  <c r="AG213" i="1"/>
  <c r="AD382" i="1"/>
  <c r="AE382" i="1"/>
  <c r="AG382" i="1"/>
  <c r="AD214" i="1"/>
  <c r="AE214" i="1"/>
  <c r="AG214" i="1"/>
  <c r="AD50" i="1"/>
  <c r="AE50" i="1"/>
  <c r="AG50" i="1"/>
  <c r="AD113" i="1"/>
  <c r="AE113" i="1"/>
  <c r="AG113" i="1"/>
  <c r="AD114" i="1"/>
  <c r="AE114" i="1"/>
  <c r="AG114" i="1"/>
  <c r="AD215" i="1"/>
  <c r="AE215" i="1"/>
  <c r="AG215" i="1"/>
  <c r="AD383" i="1"/>
  <c r="AE383" i="1"/>
  <c r="AG383" i="1"/>
  <c r="AD145" i="1"/>
  <c r="AE145" i="1"/>
  <c r="AG145" i="1"/>
  <c r="AD216" i="1"/>
  <c r="AE216" i="1"/>
  <c r="AG216" i="1"/>
  <c r="AD300" i="1"/>
  <c r="AE300" i="1"/>
  <c r="AG300" i="1"/>
  <c r="AD384" i="1"/>
  <c r="AE384" i="1"/>
  <c r="AG384" i="1"/>
  <c r="AD267" i="1"/>
  <c r="AE267" i="1"/>
  <c r="AG267" i="1"/>
  <c r="AD385" i="1"/>
  <c r="AE385" i="1"/>
  <c r="AG385" i="1"/>
  <c r="AD301" i="1"/>
  <c r="AE301" i="1"/>
  <c r="AG301" i="1"/>
  <c r="AD217" i="1"/>
  <c r="AE217" i="1"/>
  <c r="AG217" i="1"/>
  <c r="AD363" i="1"/>
  <c r="AE363" i="1"/>
  <c r="AG363" i="1"/>
  <c r="AD115" i="1"/>
  <c r="AE115" i="1"/>
  <c r="AG115" i="1"/>
  <c r="AD340" i="1"/>
  <c r="AE340" i="1"/>
  <c r="AG340" i="1"/>
  <c r="AD4" i="1"/>
  <c r="AE4" i="1"/>
  <c r="AG4" i="1"/>
  <c r="AD154" i="1"/>
  <c r="AE154" i="1"/>
  <c r="AG154" i="1"/>
  <c r="AD386" i="1"/>
  <c r="AE386" i="1"/>
  <c r="AG386" i="1"/>
  <c r="AD116" i="1"/>
  <c r="AE116" i="1"/>
  <c r="AG116" i="1"/>
  <c r="AD155" i="1"/>
  <c r="AE155" i="1"/>
  <c r="AG155" i="1"/>
  <c r="AD117" i="1"/>
  <c r="AE117" i="1"/>
  <c r="AG117" i="1"/>
  <c r="AD218" i="1"/>
  <c r="AE218" i="1"/>
  <c r="AG218" i="1"/>
  <c r="AD364" i="1"/>
  <c r="AE364" i="1"/>
  <c r="AG364" i="1"/>
  <c r="AD118" i="1"/>
  <c r="AE118" i="1"/>
  <c r="AG118" i="1"/>
  <c r="AD387" i="1"/>
  <c r="AE387" i="1"/>
  <c r="AG387" i="1"/>
  <c r="AD5" i="1"/>
  <c r="AE5" i="1"/>
  <c r="AG5" i="1"/>
  <c r="AD141" i="1"/>
  <c r="AE141" i="1"/>
  <c r="AG141" i="1"/>
  <c r="AD242" i="1"/>
  <c r="AE242" i="1"/>
  <c r="AG242" i="1"/>
  <c r="AD6" i="1"/>
  <c r="AE6" i="1"/>
  <c r="AG6" i="1"/>
  <c r="AD388" i="1"/>
  <c r="AE388" i="1"/>
  <c r="AG388" i="1"/>
  <c r="AD156" i="1"/>
  <c r="AE156" i="1"/>
  <c r="AG156" i="1"/>
  <c r="AD191" i="1"/>
  <c r="AE191" i="1"/>
  <c r="AG191" i="1"/>
  <c r="AD302" i="1"/>
  <c r="AE302" i="1"/>
  <c r="AG302" i="1"/>
  <c r="AD243" i="1"/>
  <c r="AE243" i="1"/>
  <c r="AG243" i="1"/>
  <c r="AD119" i="1"/>
  <c r="AE119" i="1"/>
  <c r="AG119" i="1"/>
  <c r="AD244" i="1"/>
  <c r="AE244" i="1"/>
  <c r="AG244" i="1"/>
  <c r="AD157" i="1"/>
  <c r="AE157" i="1"/>
  <c r="AG157" i="1"/>
  <c r="AD158" i="1"/>
  <c r="AE158" i="1"/>
  <c r="AG158" i="1"/>
  <c r="AD268" i="1"/>
  <c r="AE268" i="1"/>
  <c r="AG268" i="1"/>
  <c r="AD51" i="1"/>
  <c r="AE51" i="1"/>
  <c r="AG51" i="1"/>
  <c r="AD365" i="1"/>
  <c r="AE365" i="1"/>
  <c r="AG365" i="1"/>
  <c r="AD159" i="1"/>
  <c r="AE159" i="1"/>
  <c r="AG159" i="1"/>
  <c r="AD245" i="1"/>
  <c r="AE245" i="1"/>
  <c r="AG245" i="1"/>
  <c r="AD72" i="1"/>
  <c r="AE72" i="1"/>
  <c r="AG72" i="1"/>
  <c r="AD366" i="1"/>
  <c r="AE366" i="1"/>
  <c r="AG366" i="1"/>
  <c r="AD192" i="1"/>
  <c r="AE192" i="1"/>
  <c r="AG192" i="1"/>
  <c r="AD303" i="1"/>
  <c r="AE303" i="1"/>
  <c r="AG303" i="1"/>
  <c r="AD52" i="1"/>
  <c r="AE52" i="1"/>
  <c r="AG52" i="1"/>
  <c r="AD219" i="1"/>
  <c r="AE219" i="1"/>
  <c r="AG219" i="1"/>
  <c r="AD304" i="1"/>
  <c r="AE304" i="1"/>
  <c r="AG304" i="1"/>
  <c r="AD120" i="1"/>
  <c r="AE120" i="1"/>
  <c r="AG120" i="1"/>
  <c r="AD121" i="1"/>
  <c r="AE121" i="1"/>
  <c r="AG121" i="1"/>
  <c r="AD347" i="1"/>
  <c r="AE347" i="1"/>
  <c r="AG347" i="1"/>
  <c r="AD389" i="1"/>
  <c r="AE389" i="1"/>
  <c r="AG389" i="1"/>
  <c r="AD220" i="1"/>
  <c r="AE220" i="1"/>
  <c r="AG220" i="1"/>
  <c r="AD193" i="1"/>
  <c r="AE193" i="1"/>
  <c r="AG193" i="1"/>
  <c r="AD367" i="1"/>
  <c r="AE367" i="1"/>
  <c r="AG367" i="1"/>
  <c r="AD86" i="1"/>
  <c r="AE86" i="1"/>
  <c r="AG86" i="1"/>
  <c r="AD246" i="1"/>
  <c r="AE246" i="1"/>
  <c r="AG246" i="1"/>
  <c r="AD390" i="1"/>
  <c r="AE390" i="1"/>
  <c r="AG390" i="1"/>
  <c r="AD305" i="1"/>
  <c r="AE305" i="1"/>
  <c r="AG305" i="1"/>
  <c r="AD122" i="1"/>
  <c r="AE122" i="1"/>
  <c r="AG122" i="1"/>
  <c r="AD306" i="1"/>
  <c r="AE306" i="1"/>
  <c r="AG306" i="1"/>
  <c r="AD341" i="1"/>
  <c r="AE341" i="1"/>
  <c r="AG341" i="1"/>
  <c r="AD160" i="1"/>
  <c r="AE160" i="1"/>
  <c r="AG160" i="1"/>
  <c r="AD247" i="1"/>
  <c r="AE247" i="1"/>
  <c r="AG247" i="1"/>
  <c r="AD161" i="1"/>
  <c r="AE161" i="1"/>
  <c r="AG161" i="1"/>
  <c r="AD53" i="1"/>
  <c r="AE53" i="1"/>
  <c r="AG53" i="1"/>
  <c r="AD342" i="1"/>
  <c r="AE342" i="1"/>
  <c r="AG342" i="1"/>
  <c r="AD162" i="1"/>
  <c r="AE162" i="1"/>
  <c r="AG162" i="1"/>
  <c r="AD278" i="1"/>
  <c r="AE278" i="1"/>
  <c r="AG278" i="1"/>
  <c r="AD194" i="1"/>
  <c r="AE194" i="1"/>
  <c r="AG194" i="1"/>
  <c r="AD54" i="1"/>
  <c r="AE54" i="1"/>
  <c r="AG54" i="1"/>
  <c r="AD221" i="1"/>
  <c r="AE221" i="1"/>
  <c r="AG221" i="1"/>
  <c r="AD146" i="1"/>
  <c r="AE146" i="1"/>
  <c r="AG146" i="1"/>
  <c r="AD195" i="1"/>
  <c r="AE195" i="1"/>
  <c r="AG195" i="1"/>
  <c r="AD222" i="1"/>
  <c r="AE222" i="1"/>
  <c r="AG222" i="1"/>
  <c r="AD7" i="1"/>
  <c r="AE7" i="1"/>
  <c r="AG7" i="1"/>
  <c r="AD123" i="1"/>
  <c r="AE123" i="1"/>
  <c r="AG123" i="1"/>
  <c r="AD20" i="1"/>
  <c r="AE20" i="1"/>
  <c r="AG20" i="1"/>
  <c r="AD223" i="1"/>
  <c r="AE223" i="1"/>
  <c r="AG223" i="1"/>
  <c r="AD124" i="1"/>
  <c r="AE124" i="1"/>
  <c r="AG124" i="1"/>
  <c r="AD55" i="1"/>
  <c r="AE55" i="1"/>
  <c r="AG55" i="1"/>
  <c r="AD343" i="1"/>
  <c r="AE343" i="1"/>
  <c r="AG343" i="1"/>
  <c r="AD73" i="1"/>
  <c r="AE73" i="1"/>
  <c r="AG73" i="1"/>
  <c r="AD21" i="1"/>
  <c r="AE21" i="1"/>
  <c r="AG21" i="1"/>
  <c r="AD307" i="1"/>
  <c r="AE307" i="1"/>
  <c r="AG307" i="1"/>
  <c r="AD368" i="1"/>
  <c r="AE368" i="1"/>
  <c r="AG368" i="1"/>
  <c r="AD163" i="1"/>
  <c r="AE163" i="1"/>
  <c r="AG163" i="1"/>
  <c r="AD196" i="1"/>
  <c r="AE196" i="1"/>
  <c r="AG196" i="1"/>
  <c r="AD236" i="1"/>
  <c r="AE236" i="1"/>
  <c r="AG236" i="1"/>
  <c r="AD224" i="1"/>
  <c r="AE224" i="1"/>
  <c r="AG224" i="1"/>
  <c r="AD125" i="1"/>
  <c r="AE125" i="1"/>
  <c r="AG125" i="1"/>
  <c r="AD87" i="1"/>
  <c r="AE87" i="1"/>
  <c r="AG87" i="1"/>
  <c r="AD225" i="1"/>
  <c r="AE225" i="1"/>
  <c r="AG225" i="1"/>
  <c r="AD164" i="1"/>
  <c r="AE164" i="1"/>
  <c r="AG164" i="1"/>
  <c r="AD197" i="1"/>
  <c r="AE197" i="1"/>
  <c r="AG197" i="1"/>
  <c r="AD165" i="1"/>
  <c r="AE165" i="1"/>
  <c r="AG165" i="1"/>
  <c r="AD22" i="1"/>
  <c r="AE22" i="1"/>
  <c r="AG22" i="1"/>
  <c r="AD248" i="1"/>
  <c r="AE248" i="1"/>
  <c r="AG248" i="1"/>
  <c r="AD95" i="1"/>
  <c r="AE95" i="1"/>
  <c r="AG95" i="1"/>
  <c r="AD166" i="1"/>
  <c r="AE166" i="1"/>
  <c r="AG166" i="1"/>
  <c r="AD249" i="1"/>
  <c r="AE249" i="1"/>
  <c r="AG249" i="1"/>
  <c r="AD8" i="1"/>
  <c r="AE8" i="1"/>
  <c r="AG8" i="1"/>
  <c r="AD369" i="1"/>
  <c r="AE369" i="1"/>
  <c r="AG369" i="1"/>
  <c r="AD269" i="1"/>
  <c r="AE269" i="1"/>
  <c r="AG269" i="1"/>
  <c r="AD370" i="1"/>
  <c r="AE370" i="1"/>
  <c r="AG370" i="1"/>
  <c r="AD9" i="1"/>
  <c r="AE9" i="1"/>
  <c r="AG9" i="1"/>
  <c r="AD348" i="1"/>
  <c r="AE348" i="1"/>
  <c r="AG348" i="1"/>
  <c r="AD56" i="1"/>
  <c r="AE56" i="1"/>
  <c r="AG56" i="1"/>
  <c r="AD167" i="1"/>
  <c r="AE167" i="1"/>
  <c r="AG167" i="1"/>
  <c r="AD168" i="1"/>
  <c r="AE168" i="1"/>
  <c r="AG168" i="1"/>
  <c r="AD371" i="1"/>
  <c r="AE371" i="1"/>
  <c r="AG371" i="1"/>
  <c r="AD250" i="1"/>
  <c r="AE250" i="1"/>
  <c r="AG250" i="1"/>
  <c r="AD169" i="1"/>
  <c r="AE169" i="1"/>
  <c r="AG169" i="1"/>
  <c r="AD170" i="1"/>
  <c r="AE170" i="1"/>
  <c r="AG170" i="1"/>
  <c r="AD377" i="1"/>
  <c r="AE377" i="1"/>
  <c r="AG377" i="1"/>
  <c r="AD198" i="1"/>
  <c r="AE198" i="1"/>
  <c r="AG198" i="1"/>
  <c r="AD308" i="1"/>
  <c r="AE308" i="1"/>
  <c r="AG308" i="1"/>
  <c r="AD147" i="1"/>
  <c r="AE147" i="1"/>
  <c r="AG147" i="1"/>
  <c r="AD309" i="1"/>
  <c r="AE309" i="1"/>
  <c r="AG309" i="1"/>
  <c r="AD283" i="1"/>
  <c r="AE283" i="1"/>
  <c r="AG283" i="1"/>
  <c r="AD126" i="1"/>
  <c r="AE126" i="1"/>
  <c r="AG126" i="1"/>
  <c r="AD310" i="1"/>
  <c r="AE310" i="1"/>
  <c r="AG310" i="1"/>
  <c r="AD226" i="1"/>
  <c r="AE226" i="1"/>
  <c r="AG226" i="1"/>
  <c r="AD265" i="1"/>
  <c r="AE265" i="1"/>
  <c r="AG265" i="1"/>
  <c r="AD270" i="1"/>
  <c r="AE270" i="1"/>
  <c r="AG270" i="1"/>
  <c r="AD372" i="1"/>
  <c r="AE372" i="1"/>
  <c r="AG372" i="1"/>
  <c r="AD127" i="1"/>
  <c r="AE127" i="1"/>
  <c r="AG127" i="1"/>
  <c r="AD142" i="1"/>
  <c r="AE142" i="1"/>
  <c r="AG142" i="1"/>
  <c r="AD344" i="1"/>
  <c r="AE344" i="1"/>
  <c r="AG344" i="1"/>
  <c r="AD128" i="1"/>
  <c r="AE128" i="1"/>
  <c r="AG128" i="1"/>
  <c r="AD279" i="1"/>
  <c r="AE279" i="1"/>
  <c r="AG279" i="1"/>
  <c r="AD171" i="1"/>
  <c r="AE171" i="1"/>
  <c r="AG171" i="1"/>
  <c r="AD74" i="1"/>
  <c r="AE74" i="1"/>
  <c r="AG74" i="1"/>
  <c r="AD199" i="1"/>
  <c r="AE199" i="1"/>
  <c r="AG199" i="1"/>
  <c r="AD345" i="1"/>
  <c r="AE345" i="1"/>
  <c r="AG345" i="1"/>
  <c r="AD200" i="1"/>
  <c r="AE200" i="1"/>
  <c r="AG200" i="1"/>
  <c r="AD23" i="1"/>
  <c r="AE23" i="1"/>
  <c r="AG23" i="1"/>
  <c r="AD251" i="1"/>
  <c r="AE251" i="1"/>
  <c r="AG251" i="1"/>
  <c r="AD143" i="1"/>
  <c r="AE143" i="1"/>
  <c r="AG143" i="1"/>
  <c r="AD129" i="1"/>
  <c r="AE129" i="1"/>
  <c r="AG129" i="1"/>
  <c r="AD148" i="1"/>
  <c r="AE148" i="1"/>
  <c r="AG148" i="1"/>
  <c r="AD252" i="1"/>
  <c r="AE252" i="1"/>
  <c r="AG252" i="1"/>
  <c r="AD253" i="1"/>
  <c r="AE253" i="1"/>
  <c r="AG253" i="1"/>
  <c r="AD18" i="1"/>
  <c r="AE18" i="1"/>
  <c r="AG18" i="1"/>
  <c r="AD227" i="1"/>
  <c r="AE227" i="1"/>
  <c r="AG227" i="1"/>
  <c r="AD130" i="1"/>
  <c r="AE130" i="1"/>
  <c r="AG130" i="1"/>
  <c r="AD349" i="1"/>
  <c r="AE349" i="1"/>
  <c r="AG349" i="1"/>
  <c r="AD271" i="1"/>
  <c r="AE271" i="1"/>
  <c r="AG271" i="1"/>
  <c r="AD228" i="1"/>
  <c r="AE228" i="1"/>
  <c r="AG228" i="1"/>
  <c r="AD57" i="1"/>
  <c r="AE57" i="1"/>
  <c r="AG57" i="1"/>
  <c r="AD311" i="1"/>
  <c r="AE311" i="1"/>
  <c r="AG311" i="1"/>
  <c r="AD373" i="1"/>
  <c r="AE373" i="1"/>
  <c r="AG373" i="1"/>
  <c r="AD272" i="1"/>
  <c r="AE272" i="1"/>
  <c r="AG272" i="1"/>
  <c r="AD254" i="1"/>
  <c r="AE254" i="1"/>
  <c r="AG254" i="1"/>
  <c r="AD24" i="1"/>
  <c r="AE24" i="1"/>
  <c r="AG24" i="1"/>
  <c r="AD273" i="1"/>
  <c r="AE273" i="1"/>
  <c r="AG273" i="1"/>
  <c r="AD58" i="1"/>
  <c r="AE58" i="1"/>
  <c r="AG58" i="1"/>
  <c r="AD296" i="1"/>
  <c r="AE296" i="1"/>
  <c r="AG296" i="1"/>
  <c r="AD312" i="1"/>
  <c r="AE312" i="1"/>
  <c r="AG312" i="1"/>
  <c r="AD201" i="1"/>
  <c r="AE201" i="1"/>
  <c r="AG201" i="1"/>
  <c r="AD96" i="1"/>
  <c r="AE96" i="1"/>
  <c r="AG96" i="1"/>
  <c r="AD83" i="1"/>
  <c r="AE83" i="1"/>
  <c r="AG83" i="1"/>
  <c r="AD104" i="1"/>
  <c r="AE104" i="1"/>
  <c r="AG104" i="1"/>
  <c r="AD172" i="1"/>
  <c r="AE172" i="1"/>
  <c r="AG172" i="1"/>
  <c r="AD75" i="1"/>
  <c r="AE75" i="1"/>
  <c r="AG75" i="1"/>
  <c r="AD25" i="1"/>
  <c r="AE25" i="1"/>
  <c r="AG25" i="1"/>
  <c r="AD255" i="1"/>
  <c r="AE255" i="1"/>
  <c r="AG255" i="1"/>
  <c r="AD144" i="1"/>
  <c r="AE144" i="1"/>
  <c r="AG144" i="1"/>
  <c r="AD339" i="1"/>
  <c r="AE339" i="1"/>
  <c r="AG339" i="1"/>
  <c r="AD26" i="1"/>
  <c r="AE26" i="1"/>
  <c r="AG26" i="1"/>
  <c r="AD313" i="1"/>
  <c r="AE313" i="1"/>
  <c r="AG313" i="1"/>
  <c r="AD352" i="1"/>
  <c r="AE352" i="1"/>
  <c r="AG352" i="1"/>
  <c r="AD10" i="1"/>
  <c r="AE10" i="1"/>
  <c r="AG10" i="1"/>
  <c r="AD314" i="1"/>
  <c r="AE314" i="1"/>
  <c r="AG314" i="1"/>
  <c r="AD88" i="1"/>
  <c r="AE88" i="1"/>
  <c r="AG88" i="1"/>
  <c r="AD89" i="1"/>
  <c r="AE89" i="1"/>
  <c r="AG89" i="1"/>
  <c r="AD11" i="1"/>
  <c r="AE11" i="1"/>
  <c r="AG11" i="1"/>
  <c r="AD229" i="1"/>
  <c r="AE229" i="1"/>
  <c r="AG229" i="1"/>
  <c r="AD173" i="1"/>
  <c r="AE173" i="1"/>
  <c r="AG173" i="1"/>
  <c r="AD12" i="1"/>
  <c r="AE12" i="1"/>
  <c r="AG12" i="1"/>
  <c r="AD59" i="1"/>
  <c r="AE59" i="1"/>
  <c r="AG59" i="1"/>
  <c r="AD353" i="1"/>
  <c r="AE353" i="1"/>
  <c r="AG353" i="1"/>
  <c r="AD94" i="1"/>
  <c r="AE94" i="1"/>
  <c r="AG94" i="1"/>
  <c r="AD346" i="1"/>
  <c r="AE346" i="1"/>
  <c r="AG346" i="1"/>
  <c r="AD174" i="1"/>
  <c r="AE174" i="1"/>
  <c r="AG174" i="1"/>
  <c r="AD284" i="1"/>
  <c r="AE284" i="1"/>
  <c r="AG284" i="1"/>
  <c r="AD202" i="1"/>
  <c r="AE202" i="1"/>
  <c r="AG202" i="1"/>
  <c r="AD256" i="1"/>
  <c r="AE256" i="1"/>
  <c r="AG256" i="1"/>
  <c r="AD203" i="1"/>
  <c r="AE203" i="1"/>
  <c r="AG203" i="1"/>
  <c r="AD175" i="1"/>
  <c r="AE175" i="1"/>
  <c r="AG175" i="1"/>
  <c r="AD315" i="1"/>
  <c r="AE315" i="1"/>
  <c r="AG315" i="1"/>
  <c r="AD230" i="1"/>
  <c r="AE230" i="1"/>
  <c r="AG230" i="1"/>
  <c r="AD285" i="1"/>
  <c r="AE285" i="1"/>
  <c r="AG285" i="1"/>
  <c r="AD131" i="1"/>
  <c r="AE131" i="1"/>
  <c r="AG131" i="1"/>
  <c r="AD132" i="1"/>
  <c r="AE132" i="1"/>
  <c r="AG132" i="1"/>
  <c r="AD133" i="1"/>
  <c r="AE133" i="1"/>
  <c r="AG133" i="1"/>
  <c r="AD257" i="1"/>
  <c r="AE257" i="1"/>
  <c r="AG257" i="1"/>
  <c r="AD176" i="1"/>
  <c r="AE176" i="1"/>
  <c r="AG176" i="1"/>
  <c r="AD316" i="1"/>
  <c r="AE316" i="1"/>
  <c r="AG316" i="1"/>
  <c r="AD280" i="1"/>
  <c r="AE280" i="1"/>
  <c r="AG280" i="1"/>
  <c r="AD47" i="1"/>
  <c r="AE47" i="1"/>
  <c r="AG47" i="1"/>
  <c r="AD76" i="1"/>
  <c r="AE76" i="1"/>
  <c r="AG76" i="1"/>
  <c r="AD77" i="1"/>
  <c r="AE77" i="1"/>
  <c r="AG77" i="1"/>
  <c r="AD177" i="1"/>
  <c r="AE177" i="1"/>
  <c r="AG177" i="1"/>
  <c r="AD134" i="1"/>
  <c r="AE134" i="1"/>
  <c r="AG134" i="1"/>
  <c r="AD27" i="1"/>
  <c r="AE27" i="1"/>
  <c r="AG27" i="1"/>
  <c r="AD374" i="1"/>
  <c r="AE374" i="1"/>
  <c r="AG374" i="1"/>
  <c r="AD231" i="1"/>
  <c r="AE231" i="1"/>
  <c r="AG231" i="1"/>
  <c r="AD204" i="1"/>
  <c r="AE204" i="1"/>
  <c r="AG204" i="1"/>
  <c r="AD317" i="1"/>
  <c r="AE317" i="1"/>
  <c r="AG317" i="1"/>
  <c r="AD297" i="1"/>
  <c r="AE297" i="1"/>
  <c r="AG297" i="1"/>
  <c r="AD298" i="1"/>
  <c r="AE298" i="1"/>
  <c r="AG298" i="1"/>
  <c r="AD97" i="1"/>
  <c r="AE97" i="1"/>
  <c r="AG97" i="1"/>
  <c r="AD288" i="1"/>
  <c r="AE288" i="1"/>
  <c r="AG288" i="1"/>
  <c r="AD258" i="1"/>
  <c r="AE258" i="1"/>
  <c r="AG258" i="1"/>
  <c r="AD205" i="1"/>
  <c r="AE205" i="1"/>
  <c r="AG205" i="1"/>
  <c r="AD318" i="1"/>
  <c r="AE318" i="1"/>
  <c r="AG318" i="1"/>
  <c r="AD135" i="1"/>
  <c r="AE135" i="1"/>
  <c r="AG135" i="1"/>
  <c r="AD319" i="1"/>
  <c r="AE319" i="1"/>
  <c r="AG319" i="1"/>
  <c r="AD232" i="1"/>
  <c r="AE232" i="1"/>
  <c r="AG232" i="1"/>
  <c r="AD320" i="1"/>
  <c r="AE320" i="1"/>
  <c r="AG320" i="1"/>
  <c r="AD274" i="1"/>
  <c r="AE274" i="1"/>
  <c r="AG274" i="1"/>
  <c r="AD28" i="1"/>
  <c r="AE28" i="1"/>
  <c r="AG28" i="1"/>
  <c r="AD101" i="1"/>
  <c r="AE101" i="1"/>
  <c r="AG101" i="1"/>
  <c r="AD41" i="1"/>
  <c r="AE41" i="1"/>
  <c r="AG41" i="1"/>
  <c r="AD102" i="1"/>
  <c r="AE102" i="1"/>
  <c r="AG102" i="1"/>
  <c r="AD42" i="1"/>
  <c r="AE42" i="1"/>
  <c r="AG42" i="1"/>
  <c r="AD289" i="1"/>
  <c r="AE289" i="1"/>
  <c r="AG289" i="1"/>
  <c r="AD105" i="1"/>
  <c r="AE105" i="1"/>
  <c r="AG105" i="1"/>
  <c r="AD206" i="1"/>
  <c r="AE206" i="1"/>
  <c r="AG206" i="1"/>
  <c r="AD178" i="1"/>
  <c r="AE178" i="1"/>
  <c r="AG178" i="1"/>
  <c r="AD375" i="1"/>
  <c r="AE375" i="1"/>
  <c r="AG375" i="1"/>
  <c r="AD237" i="1"/>
  <c r="AE237" i="1"/>
  <c r="AG237" i="1"/>
  <c r="AD46" i="1"/>
  <c r="AE46" i="1"/>
  <c r="AG46" i="1"/>
  <c r="AD84" i="1"/>
  <c r="AE84" i="1"/>
  <c r="AG84" i="1"/>
  <c r="AD60" i="1"/>
  <c r="AE60" i="1"/>
  <c r="AG60" i="1"/>
  <c r="AD29" i="1"/>
  <c r="AE29" i="1"/>
  <c r="AG29" i="1"/>
  <c r="AD61" i="1"/>
  <c r="AE61" i="1"/>
  <c r="AG61" i="1"/>
  <c r="AD85" i="1"/>
  <c r="AE85" i="1"/>
  <c r="AG85" i="1"/>
  <c r="AD354" i="1"/>
  <c r="AE354" i="1"/>
  <c r="AG354" i="1"/>
  <c r="AD378" i="1"/>
  <c r="AE378" i="1"/>
  <c r="AG378" i="1"/>
  <c r="AD281" i="1"/>
  <c r="AE281" i="1"/>
  <c r="AG281" i="1"/>
  <c r="AD259" i="1"/>
  <c r="AE259" i="1"/>
  <c r="AG259" i="1"/>
  <c r="AD179" i="1"/>
  <c r="AE179" i="1"/>
  <c r="AG179" i="1"/>
  <c r="AD292" i="1"/>
  <c r="AE292" i="1"/>
  <c r="AG292" i="1"/>
  <c r="AD321" i="1"/>
  <c r="AE321" i="1"/>
  <c r="AG321" i="1"/>
  <c r="AD90" i="1"/>
  <c r="AE90" i="1"/>
  <c r="AG90" i="1"/>
  <c r="AD238" i="1"/>
  <c r="AE238" i="1"/>
  <c r="AG238" i="1"/>
  <c r="AD13" i="1"/>
  <c r="AE13" i="1"/>
  <c r="AG13" i="1"/>
  <c r="AD350" i="1"/>
  <c r="AE350" i="1"/>
  <c r="AG350" i="1"/>
  <c r="AD98" i="1"/>
  <c r="AE98" i="1"/>
  <c r="AG98" i="1"/>
  <c r="AD376" i="1"/>
  <c r="AE376" i="1"/>
  <c r="AG376" i="1"/>
  <c r="AD355" i="1"/>
  <c r="AE355" i="1"/>
  <c r="AG355" i="1"/>
  <c r="AD69" i="1"/>
  <c r="AE69" i="1"/>
  <c r="AG69" i="1"/>
  <c r="AD322" i="1"/>
  <c r="AE322" i="1"/>
  <c r="AG322" i="1"/>
  <c r="AD62" i="1"/>
  <c r="AE62" i="1"/>
  <c r="AG62" i="1"/>
  <c r="AD180" i="1"/>
  <c r="AE180" i="1"/>
  <c r="AG180" i="1"/>
  <c r="AD356" i="1"/>
  <c r="AE356" i="1"/>
  <c r="AG356" i="1"/>
  <c r="AD63" i="1"/>
  <c r="AE63" i="1"/>
  <c r="AG63" i="1"/>
  <c r="AD91" i="1"/>
  <c r="AE91" i="1"/>
  <c r="AG91" i="1"/>
  <c r="AD275" i="1"/>
  <c r="AE275" i="1"/>
  <c r="AG275" i="1"/>
  <c r="AD323" i="1"/>
  <c r="AE323" i="1"/>
  <c r="AG323" i="1"/>
  <c r="AD324" i="1"/>
  <c r="AE324" i="1"/>
  <c r="AG324" i="1"/>
  <c r="AD99" i="1"/>
  <c r="AE99" i="1"/>
  <c r="AG99" i="1"/>
  <c r="AD136" i="1"/>
  <c r="AE136" i="1"/>
  <c r="AG136" i="1"/>
  <c r="AD207" i="1"/>
  <c r="AE207" i="1"/>
  <c r="AG207" i="1"/>
  <c r="AD233" i="1"/>
  <c r="AE233" i="1"/>
  <c r="AG233" i="1"/>
  <c r="AD234" i="1"/>
  <c r="AE234" i="1"/>
  <c r="AG234" i="1"/>
  <c r="AD30" i="1"/>
  <c r="AE30" i="1"/>
  <c r="AG30" i="1"/>
  <c r="AD357" i="1"/>
  <c r="AE357" i="1"/>
  <c r="AG357" i="1"/>
  <c r="AD181" i="1"/>
  <c r="AE181" i="1"/>
  <c r="AG181" i="1"/>
  <c r="AD260" i="1"/>
  <c r="AE260" i="1"/>
  <c r="AG260" i="1"/>
  <c r="AD14" i="1"/>
  <c r="AE14" i="1"/>
  <c r="AG14" i="1"/>
  <c r="AD71" i="1"/>
  <c r="AE71" i="1"/>
  <c r="AG71" i="1"/>
  <c r="AD140" i="1"/>
  <c r="AE140" i="1"/>
  <c r="AG140" i="1"/>
  <c r="AD235" i="1"/>
  <c r="AE235" i="1"/>
  <c r="AG235" i="1"/>
  <c r="AD182" i="1"/>
  <c r="AE182" i="1"/>
  <c r="AG182" i="1"/>
  <c r="AD261" i="1"/>
  <c r="AE261" i="1"/>
  <c r="AG261" i="1"/>
  <c r="AD31" i="1"/>
  <c r="AE31" i="1"/>
  <c r="AG31" i="1"/>
  <c r="AD325" i="1"/>
  <c r="AE325" i="1"/>
  <c r="AG325" i="1"/>
  <c r="AD64" i="1"/>
  <c r="AE64" i="1"/>
  <c r="AG64" i="1"/>
  <c r="AD137" i="1"/>
  <c r="AE137" i="1"/>
  <c r="AG137" i="1"/>
  <c r="AD32" i="1"/>
  <c r="AE32" i="1"/>
  <c r="AG32" i="1"/>
  <c r="AD48" i="1"/>
  <c r="AE48" i="1"/>
  <c r="AG48" i="1"/>
  <c r="AD33" i="1"/>
  <c r="AE33" i="1"/>
  <c r="AG33" i="1"/>
  <c r="AD34" i="1"/>
  <c r="AE34" i="1"/>
  <c r="AG34" i="1"/>
  <c r="AD92" i="1"/>
  <c r="AE92" i="1"/>
  <c r="AG92" i="1"/>
  <c r="AD326" i="1"/>
  <c r="AE326" i="1"/>
  <c r="AG326" i="1"/>
  <c r="AD186" i="1"/>
  <c r="AE186" i="1"/>
  <c r="AG186" i="1"/>
  <c r="AD187" i="1"/>
  <c r="AE187" i="1"/>
  <c r="AG187" i="1"/>
  <c r="AD282" i="1"/>
  <c r="AE282" i="1"/>
  <c r="AG282" i="1"/>
  <c r="AD43" i="1"/>
  <c r="AE43" i="1"/>
  <c r="AG43" i="1"/>
  <c r="AD262" i="1"/>
  <c r="AE262" i="1"/>
  <c r="AG262" i="1"/>
  <c r="AD35" i="1"/>
  <c r="AE35" i="1"/>
  <c r="AG35" i="1"/>
  <c r="AD327" i="1"/>
  <c r="AE327" i="1"/>
  <c r="AG327" i="1"/>
  <c r="AD328" i="1"/>
  <c r="AE328" i="1"/>
  <c r="AG328" i="1"/>
  <c r="AD183" i="1"/>
  <c r="AE183" i="1"/>
  <c r="AG183" i="1"/>
  <c r="AD15" i="1"/>
  <c r="AE15" i="1"/>
  <c r="AG15" i="1"/>
  <c r="AD138" i="1"/>
  <c r="AE138" i="1"/>
  <c r="AG138" i="1"/>
  <c r="AD93" i="1"/>
  <c r="AE93" i="1"/>
  <c r="AG93" i="1"/>
  <c r="AD329" i="1"/>
  <c r="AE329" i="1"/>
  <c r="AG329" i="1"/>
  <c r="AD330" i="1"/>
  <c r="AE330" i="1"/>
  <c r="AG330" i="1"/>
  <c r="AD337" i="1"/>
  <c r="AE337" i="1"/>
  <c r="AG337" i="1"/>
  <c r="AD276" i="1"/>
  <c r="AE276" i="1"/>
  <c r="AG276" i="1"/>
  <c r="AD44" i="1"/>
  <c r="AE44" i="1"/>
  <c r="AG44" i="1"/>
  <c r="AD294" i="1"/>
  <c r="AE294" i="1"/>
  <c r="AG294" i="1"/>
  <c r="AD358" i="1"/>
  <c r="AE358" i="1"/>
  <c r="AG358" i="1"/>
  <c r="AD290" i="1"/>
  <c r="AE290" i="1"/>
  <c r="AG290" i="1"/>
  <c r="AD208" i="1"/>
  <c r="AE208" i="1"/>
  <c r="AG208" i="1"/>
  <c r="AD263" i="1"/>
  <c r="AE263" i="1"/>
  <c r="AG263" i="1"/>
  <c r="AD379" i="1"/>
  <c r="AE379" i="1"/>
  <c r="AG379" i="1"/>
  <c r="AD331" i="1"/>
  <c r="AE331" i="1"/>
  <c r="AG331" i="1"/>
  <c r="AD36" i="1"/>
  <c r="AE36" i="1"/>
  <c r="AG36" i="1"/>
  <c r="AD380" i="1"/>
  <c r="AE380" i="1"/>
  <c r="AG380" i="1"/>
  <c r="AD239" i="1"/>
  <c r="AE239" i="1"/>
  <c r="AG239" i="1"/>
  <c r="AD359" i="1"/>
  <c r="AE359" i="1"/>
  <c r="AG359" i="1"/>
  <c r="AD360" i="1"/>
  <c r="AE360" i="1"/>
  <c r="AG360" i="1"/>
  <c r="AD184" i="1"/>
  <c r="AE184" i="1"/>
  <c r="AG184" i="1"/>
  <c r="AD286" i="1"/>
  <c r="AE286" i="1"/>
  <c r="AG286" i="1"/>
  <c r="AD78" i="1"/>
  <c r="AE78" i="1"/>
  <c r="AG78" i="1"/>
  <c r="AD65" i="1"/>
  <c r="AE65" i="1"/>
  <c r="AG65" i="1"/>
  <c r="AD351" i="1"/>
  <c r="AE351" i="1"/>
  <c r="AG351" i="1"/>
  <c r="AD37" i="1"/>
  <c r="AE37" i="1"/>
  <c r="AG37" i="1"/>
  <c r="AD66" i="1"/>
  <c r="AE66" i="1"/>
  <c r="AG66" i="1"/>
  <c r="AD79" i="1"/>
  <c r="AE79" i="1"/>
  <c r="AG79" i="1"/>
  <c r="AD67" i="1"/>
  <c r="AE67" i="1"/>
  <c r="AG67" i="1"/>
  <c r="AD293" i="1"/>
  <c r="AE293" i="1"/>
  <c r="AG293" i="1"/>
  <c r="AD287" i="1"/>
  <c r="AE287" i="1"/>
  <c r="AG287" i="1"/>
  <c r="AD38" i="1"/>
  <c r="AE38" i="1"/>
  <c r="AG38" i="1"/>
  <c r="AD291" i="1"/>
  <c r="AE291" i="1"/>
  <c r="AG291" i="1"/>
  <c r="AD264" i="1"/>
  <c r="AE264" i="1"/>
  <c r="AG264" i="1"/>
  <c r="AD361" i="1"/>
  <c r="AE361" i="1"/>
  <c r="AG361" i="1"/>
  <c r="AD80" i="1"/>
  <c r="AE80" i="1"/>
  <c r="AG80" i="1"/>
  <c r="AD19" i="1"/>
  <c r="AE19" i="1"/>
  <c r="AG19" i="1"/>
  <c r="AD332" i="1"/>
  <c r="AE332" i="1"/>
  <c r="AG332" i="1"/>
  <c r="AD336" i="1"/>
  <c r="AE336" i="1"/>
  <c r="AG336" i="1"/>
  <c r="AD100" i="1"/>
  <c r="AE100" i="1"/>
  <c r="AG100" i="1"/>
  <c r="AD333" i="1"/>
  <c r="AE333" i="1"/>
  <c r="AG333" i="1"/>
  <c r="AD103" i="1"/>
  <c r="AE103" i="1"/>
  <c r="AG103" i="1"/>
  <c r="AD81" i="1"/>
  <c r="AE81" i="1"/>
  <c r="AG81" i="1"/>
  <c r="AD82" i="1"/>
  <c r="AE82" i="1"/>
  <c r="AG82" i="1"/>
  <c r="AD334" i="1"/>
  <c r="AE334" i="1"/>
  <c r="AG334" i="1"/>
  <c r="AD362" i="1"/>
  <c r="AE362" i="1"/>
  <c r="AG362" i="1"/>
  <c r="AD39" i="1"/>
  <c r="AE39" i="1"/>
  <c r="AG39" i="1"/>
  <c r="AD16" i="1"/>
  <c r="AE16" i="1"/>
  <c r="AG16" i="1"/>
  <c r="AD335" i="1"/>
  <c r="AE335" i="1"/>
  <c r="AG335" i="1"/>
  <c r="AD338" i="1"/>
  <c r="AE338" i="1"/>
  <c r="AG338" i="1"/>
  <c r="AD40" i="1"/>
  <c r="AE40" i="1"/>
  <c r="AG40" i="1"/>
  <c r="AD240" i="1"/>
  <c r="AE240" i="1"/>
  <c r="AG240" i="1"/>
  <c r="AD17" i="1"/>
  <c r="AE17" i="1"/>
  <c r="AG17" i="1"/>
  <c r="AD70" i="1"/>
  <c r="AE70" i="1"/>
  <c r="AG70" i="1"/>
  <c r="AD277" i="1"/>
  <c r="AE277" i="1"/>
  <c r="AG277" i="1"/>
  <c r="AD185" i="1"/>
  <c r="AE185" i="1"/>
  <c r="AG185" i="1"/>
  <c r="AD68" i="1"/>
  <c r="AE68" i="1"/>
  <c r="AG68" i="1"/>
  <c r="AD295" i="1"/>
  <c r="AE295" i="1"/>
  <c r="AG295" i="1"/>
  <c r="AD139" i="1"/>
  <c r="AE139" i="1"/>
  <c r="AG139" i="1"/>
  <c r="AD45" i="1"/>
  <c r="AE45" i="1"/>
  <c r="AG45" i="1"/>
  <c r="AK30" i="7" l="1"/>
  <c r="AK92" i="7"/>
  <c r="AK10" i="7"/>
  <c r="AK111" i="7"/>
  <c r="AK179" i="7"/>
  <c r="AK54" i="7"/>
  <c r="AK173" i="7"/>
  <c r="AK9" i="7"/>
  <c r="AK19" i="7"/>
  <c r="AK36" i="7"/>
  <c r="AK59" i="7"/>
  <c r="AK75" i="7"/>
  <c r="AK106" i="7"/>
  <c r="AK116" i="7"/>
  <c r="AK122" i="7"/>
  <c r="AK132" i="7"/>
  <c r="AK88" i="7"/>
  <c r="AK98" i="7"/>
  <c r="AK64" i="7"/>
  <c r="AK47" i="7"/>
  <c r="AK50" i="7"/>
  <c r="AK22" i="7"/>
  <c r="AK109" i="7"/>
  <c r="AK15" i="7"/>
  <c r="AK49" i="7"/>
  <c r="AK65" i="7"/>
  <c r="AK81" i="7"/>
  <c r="AK82" i="7"/>
  <c r="AK155" i="7"/>
  <c r="AK195" i="7"/>
  <c r="AK212" i="7"/>
  <c r="AK80" i="7"/>
  <c r="AK153" i="7"/>
  <c r="AK26" i="7"/>
  <c r="AK25" i="7"/>
  <c r="AK95" i="7"/>
  <c r="AK68" i="7"/>
  <c r="AK117" i="7"/>
  <c r="AK182" i="7"/>
  <c r="AK201" i="7"/>
  <c r="AK94" i="7"/>
  <c r="AK157" i="7"/>
  <c r="AK100" i="7"/>
  <c r="AK20" i="7"/>
  <c r="AK151" i="7"/>
  <c r="AK5" i="7"/>
  <c r="AK21" i="7"/>
  <c r="AK55" i="7"/>
  <c r="AK71" i="7"/>
  <c r="AK87" i="7"/>
  <c r="AK112" i="7"/>
  <c r="AK118" i="7"/>
  <c r="AK128" i="7"/>
  <c r="AK134" i="7"/>
  <c r="AK123" i="7"/>
  <c r="AK177" i="7"/>
  <c r="AK24" i="7"/>
  <c r="AK156" i="7"/>
  <c r="AK170" i="7"/>
  <c r="AK192" i="7"/>
  <c r="AK37" i="7"/>
  <c r="AK125" i="7"/>
  <c r="AK175" i="7"/>
  <c r="AK160" i="7"/>
  <c r="AK31" i="7"/>
  <c r="AK39" i="7"/>
  <c r="AK163" i="7"/>
  <c r="AK146" i="7"/>
  <c r="AK99" i="7"/>
  <c r="AK38" i="7"/>
  <c r="AK61" i="7"/>
  <c r="AK77" i="7"/>
  <c r="AK12" i="7"/>
  <c r="AK139" i="7"/>
  <c r="AK142" i="7"/>
  <c r="AK202" i="7"/>
  <c r="AK208" i="7"/>
  <c r="AK16" i="7"/>
  <c r="AK72" i="7"/>
  <c r="AK119" i="7"/>
  <c r="AK187" i="7"/>
  <c r="AK70" i="7"/>
  <c r="AK189" i="7"/>
  <c r="AK66" i="7"/>
  <c r="AK121" i="7"/>
  <c r="AK43" i="7"/>
  <c r="AK90" i="7"/>
  <c r="AK58" i="7"/>
  <c r="AK137" i="7"/>
  <c r="AK102" i="7"/>
  <c r="AK127" i="7"/>
  <c r="AK11" i="7"/>
  <c r="AK17" i="7"/>
  <c r="AK67" i="7"/>
  <c r="AK83" i="7"/>
  <c r="AK108" i="7"/>
  <c r="AK114" i="7"/>
  <c r="AK124" i="7"/>
  <c r="AK130" i="7"/>
  <c r="AK107" i="7"/>
  <c r="AK161" i="7"/>
  <c r="AK199" i="7"/>
  <c r="AK162" i="7"/>
  <c r="AK188" i="7"/>
  <c r="AK194" i="7"/>
  <c r="AK105" i="7"/>
  <c r="AK159" i="7"/>
  <c r="AK42" i="7"/>
  <c r="AK91" i="7"/>
  <c r="AK97" i="7"/>
  <c r="AK129" i="7"/>
  <c r="AK200" i="7"/>
  <c r="AK78" i="7"/>
  <c r="AK167" i="7"/>
  <c r="AK41" i="7"/>
  <c r="AK165" i="7"/>
  <c r="AK7" i="7"/>
  <c r="AK34" i="7"/>
  <c r="AK51" i="7"/>
  <c r="AK57" i="7"/>
  <c r="AK73" i="7"/>
  <c r="AK104" i="7"/>
  <c r="AK120" i="7"/>
  <c r="AK135" i="7"/>
  <c r="AK185" i="7"/>
  <c r="AK32" i="7"/>
  <c r="AK178" i="7"/>
  <c r="AK204" i="7"/>
  <c r="AK8" i="7"/>
  <c r="AK133" i="7"/>
  <c r="AK183" i="7"/>
  <c r="AK140" i="7"/>
  <c r="AK164" i="7"/>
  <c r="AK27" i="7"/>
  <c r="AK181" i="7"/>
  <c r="AK101" i="7"/>
  <c r="AK28" i="7"/>
  <c r="AK45" i="7"/>
  <c r="AK96" i="7"/>
  <c r="AK131" i="7"/>
  <c r="AK207" i="7"/>
  <c r="AK205" i="7"/>
  <c r="AK13" i="7"/>
  <c r="AK40" i="7"/>
  <c r="AK63" i="7"/>
  <c r="AK79" i="7"/>
  <c r="AK110" i="7"/>
  <c r="AK126" i="7"/>
  <c r="AK33" i="7"/>
  <c r="AK147" i="7"/>
  <c r="AK209" i="7"/>
  <c r="AK190" i="7"/>
  <c r="AK210" i="7"/>
  <c r="AK52" i="7"/>
  <c r="AK74" i="7"/>
  <c r="AK211" i="7"/>
  <c r="AK154" i="7"/>
  <c r="AK180" i="7"/>
  <c r="AK23" i="7"/>
  <c r="AK44" i="7"/>
  <c r="AK93" i="7"/>
  <c r="AK60" i="7"/>
  <c r="AK86" i="7"/>
  <c r="AK152" i="7"/>
  <c r="AK174" i="7"/>
  <c r="AK48" i="7"/>
  <c r="AK143" i="7"/>
  <c r="AK35" i="7"/>
  <c r="AK62" i="7"/>
  <c r="AK145" i="7"/>
  <c r="AK6" i="7"/>
  <c r="AK84" i="7"/>
  <c r="AK141" i="7"/>
  <c r="AK53" i="7"/>
  <c r="AK69" i="7"/>
  <c r="AK85" i="7"/>
  <c r="AK150" i="7"/>
  <c r="AK168" i="7"/>
  <c r="AK206" i="7"/>
  <c r="AK193" i="7"/>
  <c r="AK136" i="7"/>
  <c r="AK186" i="7"/>
  <c r="AK149" i="7"/>
  <c r="AK166" i="7"/>
  <c r="AK4" i="7"/>
  <c r="AK203" i="7"/>
  <c r="AK76" i="7"/>
  <c r="AK115" i="7"/>
  <c r="AK148" i="7"/>
  <c r="AK198" i="7"/>
  <c r="AK169" i="7"/>
  <c r="AK172" i="7"/>
  <c r="AK171" i="7"/>
  <c r="AK56" i="7"/>
  <c r="AK103" i="7"/>
  <c r="AK18" i="7"/>
  <c r="AK197" i="7"/>
  <c r="AK196" i="7"/>
  <c r="AK46" i="7"/>
  <c r="AK89" i="7"/>
  <c r="AK144" i="7"/>
  <c r="AK176" i="7"/>
  <c r="AK29" i="7"/>
  <c r="AK113" i="7"/>
  <c r="AK158" i="7"/>
  <c r="AK14" i="7"/>
  <c r="AK138" i="7"/>
  <c r="AK191" i="7"/>
  <c r="AK184" i="7"/>
  <c r="AH291" i="1"/>
  <c r="AH334" i="1"/>
  <c r="AH36" i="1"/>
  <c r="AH327" i="1"/>
  <c r="AH181" i="1"/>
  <c r="AH354" i="1"/>
  <c r="AH285" i="1"/>
  <c r="AH184" i="1"/>
  <c r="AH43" i="1"/>
  <c r="AH234" i="1"/>
  <c r="AH350" i="1"/>
  <c r="AH105" i="1"/>
  <c r="AH297" i="1"/>
  <c r="AH174" i="1"/>
  <c r="AH339" i="1"/>
  <c r="AH271" i="1"/>
  <c r="AH167" i="1"/>
  <c r="AH196" i="1"/>
  <c r="AH246" i="1"/>
  <c r="AH364" i="1"/>
  <c r="AH152" i="1"/>
  <c r="AH240" i="1"/>
  <c r="AH358" i="1"/>
  <c r="AH14" i="1"/>
  <c r="AH46" i="1"/>
  <c r="AH231" i="1"/>
  <c r="AH353" i="1"/>
  <c r="AH25" i="1"/>
  <c r="AH96" i="1"/>
  <c r="AH272" i="1"/>
  <c r="AH227" i="1"/>
  <c r="AH129" i="1"/>
  <c r="AH171" i="1"/>
  <c r="AH265" i="1"/>
  <c r="AH309" i="1"/>
  <c r="AH371" i="1"/>
  <c r="AH9" i="1"/>
  <c r="AH248" i="1"/>
  <c r="AH224" i="1"/>
  <c r="AH124" i="1"/>
  <c r="AH222" i="1"/>
  <c r="AH342" i="1"/>
  <c r="AH305" i="1"/>
  <c r="AH193" i="1"/>
  <c r="AH120" i="1"/>
  <c r="AH192" i="1"/>
  <c r="AH302" i="1"/>
  <c r="AH242" i="1"/>
  <c r="AH155" i="1"/>
  <c r="AH217" i="1"/>
  <c r="AH383" i="1"/>
  <c r="AH112" i="1"/>
  <c r="AH109" i="1"/>
  <c r="AH241" i="1"/>
  <c r="AH362" i="1"/>
  <c r="AH295" i="1"/>
  <c r="AH338" i="1"/>
  <c r="AH38" i="1"/>
  <c r="AH44" i="1"/>
  <c r="AH92" i="1"/>
  <c r="AH356" i="1"/>
  <c r="AH355" i="1"/>
  <c r="AH375" i="1"/>
  <c r="AH256" i="1"/>
  <c r="AH67" i="1"/>
  <c r="AH263" i="1"/>
  <c r="AH183" i="1"/>
  <c r="AH48" i="1"/>
  <c r="AH235" i="1"/>
  <c r="AH322" i="1"/>
  <c r="AH292" i="1"/>
  <c r="AH29" i="1"/>
  <c r="AH101" i="1"/>
  <c r="AH319" i="1"/>
  <c r="AH27" i="1"/>
  <c r="AH176" i="1"/>
  <c r="AH11" i="1"/>
  <c r="AH172" i="1"/>
  <c r="AH273" i="1"/>
  <c r="AH345" i="1"/>
  <c r="AH127" i="1"/>
  <c r="AH170" i="1"/>
  <c r="AH249" i="1"/>
  <c r="AH225" i="1"/>
  <c r="AH73" i="1"/>
  <c r="AH194" i="1"/>
  <c r="AH341" i="1"/>
  <c r="AH389" i="1"/>
  <c r="AH365" i="1"/>
  <c r="AH244" i="1"/>
  <c r="AH340" i="1"/>
  <c r="AH300" i="1"/>
  <c r="AH214" i="1"/>
  <c r="AH299" i="1"/>
  <c r="AH45" i="1"/>
  <c r="AH39" i="1"/>
  <c r="AH103" i="1"/>
  <c r="AH264" i="1"/>
  <c r="AH37" i="1"/>
  <c r="AH239" i="1"/>
  <c r="AH330" i="1"/>
  <c r="AH186" i="1"/>
  <c r="AH64" i="1"/>
  <c r="AH136" i="1"/>
  <c r="AH91" i="1"/>
  <c r="AH90" i="1"/>
  <c r="AH281" i="1"/>
  <c r="AH102" i="1"/>
  <c r="AH205" i="1"/>
  <c r="AH77" i="1"/>
  <c r="AH132" i="1"/>
  <c r="AH175" i="1"/>
  <c r="AH314" i="1"/>
  <c r="AH68" i="1"/>
  <c r="AH335" i="1"/>
  <c r="AH336" i="1"/>
  <c r="AH287" i="1"/>
  <c r="AH78" i="1"/>
  <c r="AH331" i="1"/>
  <c r="AH138" i="1"/>
  <c r="AH35" i="1"/>
  <c r="AH34" i="1"/>
  <c r="AH261" i="1"/>
  <c r="AH357" i="1"/>
  <c r="AH323" i="1"/>
  <c r="AH180" i="1"/>
  <c r="AH376" i="1"/>
  <c r="AH85" i="1"/>
  <c r="AH178" i="1"/>
  <c r="AH320" i="1"/>
  <c r="AH97" i="1"/>
  <c r="AH280" i="1"/>
  <c r="AH202" i="1"/>
  <c r="AH173" i="1"/>
  <c r="AH313" i="1"/>
  <c r="AH296" i="1"/>
  <c r="AH57" i="1"/>
  <c r="AH252" i="1"/>
  <c r="AH23" i="1"/>
  <c r="AH344" i="1"/>
  <c r="AH126" i="1"/>
  <c r="AH198" i="1"/>
  <c r="AH369" i="1"/>
  <c r="AH197" i="1"/>
  <c r="AH307" i="1"/>
  <c r="AH123" i="1"/>
  <c r="AH221" i="1"/>
  <c r="AH247" i="1"/>
  <c r="AH52" i="1"/>
  <c r="AH245" i="1"/>
  <c r="AH158" i="1"/>
  <c r="AH388" i="1"/>
  <c r="AH387" i="1"/>
  <c r="AH154" i="1"/>
  <c r="AH267" i="1"/>
  <c r="AH113" i="1"/>
  <c r="AH110" i="1"/>
  <c r="AH190" i="1"/>
  <c r="AH151" i="1"/>
  <c r="AH149" i="1"/>
  <c r="AH139" i="1"/>
  <c r="AH100" i="1"/>
  <c r="AH65" i="1"/>
  <c r="AH93" i="1"/>
  <c r="AH31" i="1"/>
  <c r="AH324" i="1"/>
  <c r="AH288" i="1"/>
  <c r="AH277" i="1"/>
  <c r="AH19" i="1"/>
  <c r="AH70" i="1"/>
  <c r="AH82" i="1"/>
  <c r="AH80" i="1"/>
  <c r="AH79" i="1"/>
  <c r="AH360" i="1"/>
  <c r="AH208" i="1"/>
  <c r="AH276" i="1"/>
  <c r="AH282" i="1"/>
  <c r="AH32" i="1"/>
  <c r="AH140" i="1"/>
  <c r="AH233" i="1"/>
  <c r="AH69" i="1"/>
  <c r="AH13" i="1"/>
  <c r="AH179" i="1"/>
  <c r="AH60" i="1"/>
  <c r="AH289" i="1"/>
  <c r="AH28" i="1"/>
  <c r="AH135" i="1"/>
  <c r="AH317" i="1"/>
  <c r="AH134" i="1"/>
  <c r="AH257" i="1"/>
  <c r="AH230" i="1"/>
  <c r="AH346" i="1"/>
  <c r="AH89" i="1"/>
  <c r="AH144" i="1"/>
  <c r="AH104" i="1"/>
  <c r="AH24" i="1"/>
  <c r="AH349" i="1"/>
  <c r="AH199" i="1"/>
  <c r="AH372" i="1"/>
  <c r="AH169" i="1"/>
  <c r="AH56" i="1"/>
  <c r="AH166" i="1"/>
  <c r="AH87" i="1"/>
  <c r="AH163" i="1"/>
  <c r="AH343" i="1"/>
  <c r="AH278" i="1"/>
  <c r="AH306" i="1"/>
  <c r="AH86" i="1"/>
  <c r="AH347" i="1"/>
  <c r="AH51" i="1"/>
  <c r="AH119" i="1"/>
  <c r="AH218" i="1"/>
  <c r="AH115" i="1"/>
  <c r="AH216" i="1"/>
  <c r="AH382" i="1"/>
  <c r="AH153" i="1"/>
  <c r="AH266" i="1"/>
  <c r="AH40" i="1"/>
  <c r="AH328" i="1"/>
  <c r="AH63" i="1"/>
  <c r="AH237" i="1"/>
  <c r="AH131" i="1"/>
  <c r="AH59" i="1"/>
  <c r="AH10" i="1"/>
  <c r="AH75" i="1"/>
  <c r="AH201" i="1"/>
  <c r="AH373" i="1"/>
  <c r="AH18" i="1"/>
  <c r="AH143" i="1"/>
  <c r="AH279" i="1"/>
  <c r="AH226" i="1"/>
  <c r="AH147" i="1"/>
  <c r="AH168" i="1"/>
  <c r="AH370" i="1"/>
  <c r="AH22" i="1"/>
  <c r="AH223" i="1"/>
  <c r="AH195" i="1"/>
  <c r="AH53" i="1"/>
  <c r="AH304" i="1"/>
  <c r="AH366" i="1"/>
  <c r="AH191" i="1"/>
  <c r="AH141" i="1"/>
  <c r="AH116" i="1"/>
  <c r="AH301" i="1"/>
  <c r="AH215" i="1"/>
  <c r="AH111" i="1"/>
  <c r="AH108" i="1"/>
  <c r="AH150" i="1"/>
  <c r="AH333" i="1"/>
  <c r="AH351" i="1"/>
  <c r="AH380" i="1"/>
  <c r="AH294" i="1"/>
  <c r="AH329" i="1"/>
  <c r="AH325" i="1"/>
  <c r="AH99" i="1"/>
  <c r="AH321" i="1"/>
  <c r="AH378" i="1"/>
  <c r="AH258" i="1"/>
  <c r="AH374" i="1"/>
  <c r="AH76" i="1"/>
  <c r="AH203" i="1"/>
  <c r="AH185" i="1"/>
  <c r="AH332" i="1"/>
  <c r="AH293" i="1"/>
  <c r="AH286" i="1"/>
  <c r="AH379" i="1"/>
  <c r="AH15" i="1"/>
  <c r="AH262" i="1"/>
  <c r="AH33" i="1"/>
  <c r="AH182" i="1"/>
  <c r="AH30" i="1"/>
  <c r="AH62" i="1"/>
  <c r="AH98" i="1"/>
  <c r="AH61" i="1"/>
  <c r="AH206" i="1"/>
  <c r="AH41" i="1"/>
  <c r="AH232" i="1"/>
  <c r="AH298" i="1"/>
  <c r="AH316" i="1"/>
  <c r="AH284" i="1"/>
  <c r="AH229" i="1"/>
  <c r="AH26" i="1"/>
  <c r="AH58" i="1"/>
  <c r="AH228" i="1"/>
  <c r="AH200" i="1"/>
  <c r="AH142" i="1"/>
  <c r="AH283" i="1"/>
  <c r="AH377" i="1"/>
  <c r="AH8" i="1"/>
  <c r="AH164" i="1"/>
  <c r="AH236" i="1"/>
  <c r="AH21" i="1"/>
  <c r="AH54" i="1"/>
  <c r="AH160" i="1"/>
  <c r="AH390" i="1"/>
  <c r="AH220" i="1"/>
  <c r="AH159" i="1"/>
  <c r="AH157" i="1"/>
  <c r="AH6" i="1"/>
  <c r="AH118" i="1"/>
  <c r="AH4" i="1"/>
  <c r="AH384" i="1"/>
  <c r="AH50" i="1"/>
  <c r="AH211" i="1"/>
  <c r="AH381" i="1"/>
  <c r="AH188" i="1"/>
  <c r="AH209" i="1"/>
  <c r="AH326" i="1"/>
  <c r="AH260" i="1"/>
  <c r="AH17" i="1"/>
  <c r="AH16" i="1"/>
  <c r="AH81" i="1"/>
  <c r="AH361" i="1"/>
  <c r="AH66" i="1"/>
  <c r="AH359" i="1"/>
  <c r="AH290" i="1"/>
  <c r="AH337" i="1"/>
  <c r="AH187" i="1"/>
  <c r="AH137" i="1"/>
  <c r="AH71" i="1"/>
  <c r="AH207" i="1"/>
  <c r="AH275" i="1"/>
  <c r="AH238" i="1"/>
  <c r="AH259" i="1"/>
  <c r="AH84" i="1"/>
  <c r="AH42" i="1"/>
  <c r="AH274" i="1"/>
  <c r="AH318" i="1"/>
  <c r="AH204" i="1"/>
  <c r="AH177" i="1"/>
  <c r="AH133" i="1"/>
  <c r="AH315" i="1"/>
  <c r="AH94" i="1"/>
  <c r="AH88" i="1"/>
  <c r="AH255" i="1"/>
  <c r="AH83" i="1"/>
  <c r="AH254" i="1"/>
  <c r="AH130" i="1"/>
  <c r="AH148" i="1"/>
  <c r="AH74" i="1"/>
  <c r="AH270" i="1"/>
  <c r="AH250" i="1"/>
  <c r="AH348" i="1"/>
  <c r="AH95" i="1"/>
  <c r="AH125" i="1"/>
  <c r="AH55" i="1"/>
  <c r="AH7" i="1"/>
  <c r="AH162" i="1"/>
  <c r="AH122" i="1"/>
  <c r="AH367" i="1"/>
  <c r="AH121" i="1"/>
  <c r="AH303" i="1"/>
  <c r="AH243" i="1"/>
  <c r="AH117" i="1"/>
  <c r="AH363" i="1"/>
  <c r="AH145" i="1"/>
  <c r="AH213" i="1"/>
  <c r="AH49" i="1"/>
  <c r="AH47" i="1"/>
  <c r="AH12" i="1"/>
  <c r="AH352" i="1"/>
  <c r="AH312" i="1"/>
  <c r="AH311" i="1"/>
  <c r="AH253" i="1"/>
  <c r="AH251" i="1"/>
  <c r="AH128" i="1"/>
  <c r="AH310" i="1"/>
  <c r="AH308" i="1"/>
  <c r="AH269" i="1"/>
  <c r="AH165" i="1"/>
  <c r="AH368" i="1"/>
  <c r="AH20" i="1"/>
  <c r="AH146" i="1"/>
  <c r="AH161" i="1"/>
  <c r="AH219" i="1"/>
  <c r="AH72" i="1"/>
  <c r="AH268" i="1"/>
  <c r="AH156" i="1"/>
  <c r="AH5" i="1"/>
  <c r="AH386" i="1"/>
  <c r="AH385" i="1"/>
  <c r="AH114" i="1"/>
  <c r="AH212" i="1"/>
  <c r="AH210" i="1"/>
  <c r="AH189" i="1"/>
  <c r="AH107" i="1"/>
  <c r="X44" i="4"/>
  <c r="AM193" i="7" l="1"/>
  <c r="AM209" i="7" l="1"/>
  <c r="Y45" i="4"/>
  <c r="AB45" i="4"/>
  <c r="AC45" i="4" s="1"/>
  <c r="X45" i="4"/>
  <c r="Z45" i="4"/>
  <c r="X27" i="4"/>
  <c r="X7" i="4"/>
  <c r="X24" i="4"/>
  <c r="X23" i="4"/>
  <c r="X20" i="4"/>
  <c r="X26" i="4"/>
  <c r="X28" i="4"/>
  <c r="X38" i="4"/>
  <c r="X43" i="4"/>
  <c r="X16" i="4"/>
  <c r="X32" i="4"/>
  <c r="X33" i="4"/>
  <c r="X10" i="4"/>
  <c r="X8" i="4"/>
  <c r="X11" i="4"/>
  <c r="X31" i="4"/>
  <c r="X9" i="4"/>
  <c r="X5" i="4"/>
  <c r="X18" i="4"/>
  <c r="X42" i="4"/>
  <c r="X36" i="4"/>
  <c r="X6" i="4"/>
  <c r="X25" i="4"/>
  <c r="X39" i="4"/>
  <c r="X19" i="4"/>
  <c r="X40" i="4"/>
  <c r="X17" i="4"/>
  <c r="X37" i="4"/>
  <c r="X34" i="4"/>
  <c r="X21" i="4"/>
  <c r="X12" i="4"/>
  <c r="X4" i="4"/>
  <c r="X30" i="4"/>
  <c r="X14" i="4"/>
  <c r="X29" i="4"/>
  <c r="X41" i="4"/>
  <c r="X13" i="4"/>
  <c r="X15" i="4"/>
  <c r="X35" i="4"/>
  <c r="S24" i="5"/>
  <c r="K24" i="5"/>
  <c r="I24" i="5"/>
  <c r="I75" i="5" s="1"/>
  <c r="E24" i="5"/>
  <c r="E75" i="5" s="1"/>
  <c r="D24" i="5"/>
  <c r="D75" i="5" s="1"/>
  <c r="C24" i="5"/>
  <c r="S48" i="5"/>
  <c r="K48" i="5"/>
  <c r="C48" i="5"/>
  <c r="S74" i="5"/>
  <c r="S73" i="5"/>
  <c r="S72" i="5"/>
  <c r="S71" i="5"/>
  <c r="S70" i="5"/>
  <c r="S69" i="5"/>
  <c r="S68" i="5"/>
  <c r="S67" i="5"/>
  <c r="S66" i="5"/>
  <c r="S65" i="5"/>
  <c r="S56" i="5"/>
  <c r="S55" i="5"/>
  <c r="S54" i="5"/>
  <c r="L1" i="4"/>
  <c r="AD106" i="1"/>
  <c r="AE106" i="1"/>
  <c r="AG106" i="1"/>
  <c r="U1" i="1"/>
  <c r="V1" i="1"/>
  <c r="W1" i="1"/>
  <c r="AA45" i="4" l="1"/>
  <c r="AM155" i="7"/>
  <c r="AH106" i="1"/>
  <c r="AI106" i="1"/>
  <c r="AI36" i="1"/>
  <c r="AI350" i="1"/>
  <c r="AI246" i="1"/>
  <c r="AI353" i="1"/>
  <c r="AI309" i="1"/>
  <c r="AI305" i="1"/>
  <c r="AI383" i="1"/>
  <c r="AI44" i="1"/>
  <c r="AI183" i="1"/>
  <c r="AI27" i="1"/>
  <c r="AI340" i="1"/>
  <c r="AI37" i="1"/>
  <c r="AI281" i="1"/>
  <c r="AI335" i="1"/>
  <c r="AI261" i="1"/>
  <c r="AI97" i="1"/>
  <c r="AI23" i="1"/>
  <c r="AI221" i="1"/>
  <c r="AI267" i="1"/>
  <c r="AI82" i="1"/>
  <c r="AI140" i="1"/>
  <c r="AI135" i="1"/>
  <c r="AI354" i="1"/>
  <c r="AI174" i="1"/>
  <c r="AI240" i="1"/>
  <c r="AI272" i="1"/>
  <c r="AI248" i="1"/>
  <c r="AI192" i="1"/>
  <c r="AI241" i="1"/>
  <c r="AI355" i="1"/>
  <c r="AI322" i="1"/>
  <c r="AI172" i="1"/>
  <c r="AI194" i="1"/>
  <c r="AI299" i="1"/>
  <c r="AI186" i="1"/>
  <c r="AI77" i="1"/>
  <c r="AI78" i="1"/>
  <c r="AI180" i="1"/>
  <c r="AI173" i="1"/>
  <c r="AI57" i="1"/>
  <c r="AI198" i="1"/>
  <c r="AI245" i="1"/>
  <c r="AI190" i="1"/>
  <c r="AI324" i="1"/>
  <c r="AI360" i="1"/>
  <c r="AI13" i="1"/>
  <c r="AI199" i="1"/>
  <c r="AI278" i="1"/>
  <c r="AI216" i="1"/>
  <c r="AI131" i="1"/>
  <c r="AI279" i="1"/>
  <c r="AI53" i="1"/>
  <c r="AI111" i="1"/>
  <c r="AI325" i="1"/>
  <c r="AI182" i="1"/>
  <c r="AI298" i="1"/>
  <c r="AI142" i="1"/>
  <c r="AI160" i="1"/>
  <c r="AI384" i="1"/>
  <c r="AI17" i="1"/>
  <c r="AI291" i="1"/>
  <c r="AI43" i="1"/>
  <c r="AI167" i="1"/>
  <c r="AI46" i="1"/>
  <c r="AI171" i="1"/>
  <c r="AI222" i="1"/>
  <c r="AI193" i="1"/>
  <c r="AI155" i="1"/>
  <c r="AI338" i="1"/>
  <c r="AI67" i="1"/>
  <c r="AI101" i="1"/>
  <c r="AI127" i="1"/>
  <c r="AI365" i="1"/>
  <c r="AI103" i="1"/>
  <c r="AI91" i="1"/>
  <c r="AI314" i="1"/>
  <c r="AI35" i="1"/>
  <c r="AI178" i="1"/>
  <c r="AI307" i="1"/>
  <c r="AI387" i="1"/>
  <c r="AI139" i="1"/>
  <c r="AI19" i="1"/>
  <c r="AI282" i="1"/>
  <c r="AI289" i="1"/>
  <c r="AI89" i="1"/>
  <c r="AI56" i="1"/>
  <c r="AI347" i="1"/>
  <c r="AI266" i="1"/>
  <c r="AI75" i="1"/>
  <c r="AI168" i="1"/>
  <c r="AI191" i="1"/>
  <c r="AI333" i="1"/>
  <c r="AI378" i="1"/>
  <c r="AI286" i="1"/>
  <c r="AI98" i="1"/>
  <c r="AI229" i="1"/>
  <c r="AI8" i="1"/>
  <c r="AI159" i="1"/>
  <c r="AI381" i="1"/>
  <c r="AI361" i="1"/>
  <c r="AI207" i="1"/>
  <c r="AI204" i="1"/>
  <c r="AI254" i="1"/>
  <c r="AI125" i="1"/>
  <c r="AI327" i="1"/>
  <c r="AI105" i="1"/>
  <c r="AI364" i="1"/>
  <c r="AI25" i="1"/>
  <c r="AI371" i="1"/>
  <c r="AI112" i="1"/>
  <c r="AI92" i="1"/>
  <c r="AI48" i="1"/>
  <c r="AI176" i="1"/>
  <c r="AI225" i="1"/>
  <c r="AI300" i="1"/>
  <c r="AI239" i="1"/>
  <c r="AI102" i="1"/>
  <c r="AI336" i="1"/>
  <c r="AI357" i="1"/>
  <c r="AI280" i="1"/>
  <c r="AI313" i="1"/>
  <c r="AI344" i="1"/>
  <c r="AI247" i="1"/>
  <c r="AI113" i="1"/>
  <c r="AI93" i="1"/>
  <c r="AI80" i="1"/>
  <c r="AI233" i="1"/>
  <c r="AI317" i="1"/>
  <c r="AI285" i="1"/>
  <c r="AI339" i="1"/>
  <c r="AI358" i="1"/>
  <c r="AI227" i="1"/>
  <c r="AI224" i="1"/>
  <c r="AI302" i="1"/>
  <c r="AI362" i="1"/>
  <c r="AI375" i="1"/>
  <c r="AI292" i="1"/>
  <c r="AI273" i="1"/>
  <c r="AI341" i="1"/>
  <c r="AI45" i="1"/>
  <c r="AI64" i="1"/>
  <c r="AI132" i="1"/>
  <c r="AI331" i="1"/>
  <c r="AI376" i="1"/>
  <c r="AI369" i="1"/>
  <c r="AI158" i="1"/>
  <c r="AI151" i="1"/>
  <c r="AI288" i="1"/>
  <c r="AI208" i="1"/>
  <c r="AI179" i="1"/>
  <c r="AI230" i="1"/>
  <c r="AI372" i="1"/>
  <c r="AI306" i="1"/>
  <c r="AI382" i="1"/>
  <c r="AI59" i="1"/>
  <c r="AI226" i="1"/>
  <c r="AI304" i="1"/>
  <c r="AI108" i="1"/>
  <c r="AI99" i="1"/>
  <c r="AI332" i="1"/>
  <c r="AI30" i="1"/>
  <c r="AI316" i="1"/>
  <c r="AI283" i="1"/>
  <c r="AI390" i="1"/>
  <c r="AI50" i="1"/>
  <c r="AI16" i="1"/>
  <c r="AI137" i="1"/>
  <c r="AI334" i="1"/>
  <c r="AI234" i="1"/>
  <c r="AI196" i="1"/>
  <c r="AI231" i="1"/>
  <c r="AI265" i="1"/>
  <c r="AI342" i="1"/>
  <c r="AI217" i="1"/>
  <c r="AI38" i="1"/>
  <c r="AI263" i="1"/>
  <c r="AI319" i="1"/>
  <c r="AI170" i="1"/>
  <c r="AI244" i="1"/>
  <c r="AI264" i="1"/>
  <c r="AI90" i="1"/>
  <c r="AI68" i="1"/>
  <c r="AI34" i="1"/>
  <c r="AI320" i="1"/>
  <c r="AI252" i="1"/>
  <c r="AI123" i="1"/>
  <c r="AI154" i="1"/>
  <c r="AI100" i="1"/>
  <c r="AI70" i="1"/>
  <c r="AI32" i="1"/>
  <c r="AI28" i="1"/>
  <c r="AI144" i="1"/>
  <c r="AI166" i="1"/>
  <c r="AI51" i="1"/>
  <c r="AI40" i="1"/>
  <c r="AI201" i="1"/>
  <c r="AI370" i="1"/>
  <c r="AI141" i="1"/>
  <c r="AI351" i="1"/>
  <c r="AI258" i="1"/>
  <c r="AI379" i="1"/>
  <c r="AI61" i="1"/>
  <c r="AI26" i="1"/>
  <c r="AI164" i="1"/>
  <c r="AI157" i="1"/>
  <c r="AI188" i="1"/>
  <c r="AI66" i="1"/>
  <c r="AI275" i="1"/>
  <c r="AI177" i="1"/>
  <c r="AI130" i="1"/>
  <c r="AI55" i="1"/>
  <c r="AI117" i="1"/>
  <c r="AI312" i="1"/>
  <c r="AI165" i="1"/>
  <c r="AI156" i="1"/>
  <c r="AI385" i="1"/>
  <c r="AI107" i="1"/>
  <c r="AI181" i="1"/>
  <c r="AI297" i="1"/>
  <c r="AI152" i="1"/>
  <c r="AI96" i="1"/>
  <c r="AI129" i="1"/>
  <c r="AI9" i="1"/>
  <c r="AI120" i="1"/>
  <c r="AI109" i="1"/>
  <c r="AI356" i="1"/>
  <c r="AI235" i="1"/>
  <c r="AI11" i="1"/>
  <c r="AI73" i="1"/>
  <c r="AI214" i="1"/>
  <c r="AI330" i="1"/>
  <c r="AI205" i="1"/>
  <c r="AI287" i="1"/>
  <c r="AI323" i="1"/>
  <c r="AI202" i="1"/>
  <c r="AI126" i="1"/>
  <c r="AI52" i="1"/>
  <c r="AI110" i="1"/>
  <c r="AI31" i="1"/>
  <c r="AI79" i="1"/>
  <c r="AI69" i="1"/>
  <c r="AI134" i="1"/>
  <c r="AI349" i="1"/>
  <c r="AI343" i="1"/>
  <c r="AI115" i="1"/>
  <c r="AI237" i="1"/>
  <c r="AI143" i="1"/>
  <c r="AI195" i="1"/>
  <c r="AI215" i="1"/>
  <c r="AI329" i="1"/>
  <c r="AI321" i="1"/>
  <c r="AI203" i="1"/>
  <c r="AI33" i="1"/>
  <c r="AI232" i="1"/>
  <c r="AI200" i="1"/>
  <c r="AI54" i="1"/>
  <c r="AI4" i="1"/>
  <c r="AI260" i="1"/>
  <c r="AI337" i="1"/>
  <c r="AI84" i="1"/>
  <c r="AI94" i="1"/>
  <c r="AI270" i="1"/>
  <c r="AI24" i="1"/>
  <c r="AI328" i="1"/>
  <c r="AI18" i="1"/>
  <c r="AI380" i="1"/>
  <c r="AI76" i="1"/>
  <c r="AI58" i="1"/>
  <c r="AI21" i="1"/>
  <c r="AI42" i="1"/>
  <c r="AI74" i="1"/>
  <c r="AI7" i="1"/>
  <c r="AI367" i="1"/>
  <c r="AI72" i="1"/>
  <c r="AI5" i="1"/>
  <c r="AI114" i="1"/>
  <c r="AI184" i="1"/>
  <c r="AI124" i="1"/>
  <c r="AI29" i="1"/>
  <c r="AI136" i="1"/>
  <c r="AI296" i="1"/>
  <c r="AI277" i="1"/>
  <c r="AI346" i="1"/>
  <c r="AI10" i="1"/>
  <c r="AI377" i="1"/>
  <c r="AI359" i="1"/>
  <c r="AI95" i="1"/>
  <c r="AI243" i="1"/>
  <c r="AI145" i="1"/>
  <c r="AI47" i="1"/>
  <c r="AI251" i="1"/>
  <c r="AI189" i="1"/>
  <c r="AI119" i="1"/>
  <c r="AI63" i="1"/>
  <c r="AI116" i="1"/>
  <c r="AI294" i="1"/>
  <c r="AI206" i="1"/>
  <c r="AI228" i="1"/>
  <c r="AI209" i="1"/>
  <c r="AI238" i="1"/>
  <c r="AI88" i="1"/>
  <c r="AI121" i="1"/>
  <c r="AI308" i="1"/>
  <c r="AI368" i="1"/>
  <c r="AI161" i="1"/>
  <c r="AI71" i="1"/>
  <c r="AI162" i="1"/>
  <c r="AI268" i="1"/>
  <c r="AI386" i="1"/>
  <c r="AI271" i="1"/>
  <c r="AI242" i="1"/>
  <c r="AI345" i="1"/>
  <c r="AI175" i="1"/>
  <c r="AI197" i="1"/>
  <c r="AI65" i="1"/>
  <c r="AI276" i="1"/>
  <c r="AI153" i="1"/>
  <c r="AI150" i="1"/>
  <c r="AI185" i="1"/>
  <c r="AI284" i="1"/>
  <c r="AI81" i="1"/>
  <c r="AI290" i="1"/>
  <c r="AI274" i="1"/>
  <c r="AI213" i="1"/>
  <c r="AI212" i="1"/>
  <c r="AI87" i="1"/>
  <c r="AI218" i="1"/>
  <c r="AI22" i="1"/>
  <c r="AI301" i="1"/>
  <c r="AI15" i="1"/>
  <c r="AI41" i="1"/>
  <c r="AI6" i="1"/>
  <c r="AI326" i="1"/>
  <c r="AI259" i="1"/>
  <c r="AI133" i="1"/>
  <c r="AI250" i="1"/>
  <c r="AI12" i="1"/>
  <c r="AI311" i="1"/>
  <c r="AI128" i="1"/>
  <c r="AI14" i="1"/>
  <c r="AI295" i="1"/>
  <c r="AI389" i="1"/>
  <c r="AI138" i="1"/>
  <c r="AI388" i="1"/>
  <c r="AI60" i="1"/>
  <c r="AI257" i="1"/>
  <c r="AI86" i="1"/>
  <c r="AI366" i="1"/>
  <c r="AI62" i="1"/>
  <c r="AI211" i="1"/>
  <c r="AI318" i="1"/>
  <c r="AI255" i="1"/>
  <c r="AI122" i="1"/>
  <c r="AI269" i="1"/>
  <c r="AI20" i="1"/>
  <c r="AI219" i="1"/>
  <c r="AI256" i="1"/>
  <c r="AI39" i="1"/>
  <c r="AI149" i="1"/>
  <c r="AI169" i="1"/>
  <c r="AI293" i="1"/>
  <c r="AI220" i="1"/>
  <c r="AI83" i="1"/>
  <c r="AI352" i="1"/>
  <c r="AI310" i="1"/>
  <c r="AI104" i="1"/>
  <c r="AI163" i="1"/>
  <c r="AI373" i="1"/>
  <c r="AI223" i="1"/>
  <c r="AI374" i="1"/>
  <c r="AI262" i="1"/>
  <c r="AI236" i="1"/>
  <c r="AI118" i="1"/>
  <c r="AI315" i="1"/>
  <c r="AI148" i="1"/>
  <c r="AI303" i="1"/>
  <c r="AI363" i="1"/>
  <c r="AI49" i="1"/>
  <c r="AI210" i="1"/>
  <c r="AI249" i="1"/>
  <c r="AI85" i="1"/>
  <c r="AI147" i="1"/>
  <c r="AI187" i="1"/>
  <c r="AI348" i="1"/>
  <c r="AI253" i="1"/>
  <c r="AI146" i="1"/>
  <c r="C75" i="5"/>
  <c r="K75" i="5"/>
  <c r="T71" i="5"/>
  <c r="U71" i="5" s="1"/>
  <c r="S75" i="5"/>
  <c r="T54" i="5"/>
  <c r="U54" i="5" s="1"/>
  <c r="T73" i="5"/>
  <c r="U73" i="5" s="1"/>
  <c r="T72" i="5"/>
  <c r="U72" i="5" s="1"/>
  <c r="T74" i="5"/>
  <c r="U74" i="5" s="1"/>
  <c r="T70" i="5"/>
  <c r="U70" i="5" s="1"/>
  <c r="T55" i="5"/>
  <c r="U55" i="5" s="1"/>
  <c r="AM199" i="7" l="1"/>
  <c r="AJ121" i="1"/>
  <c r="AJ315" i="1"/>
  <c r="AJ87" i="1"/>
  <c r="AJ62" i="1"/>
  <c r="AJ386" i="1"/>
  <c r="AJ21" i="1"/>
  <c r="AJ73" i="1"/>
  <c r="AJ70" i="1"/>
  <c r="AJ208" i="1"/>
  <c r="AJ378" i="1"/>
  <c r="AJ89" i="1"/>
  <c r="AJ78" i="1"/>
  <c r="AJ241" i="1"/>
  <c r="AJ140" i="1"/>
  <c r="AJ281" i="1"/>
  <c r="AJ309" i="1"/>
  <c r="AJ249" i="1"/>
  <c r="AJ236" i="1"/>
  <c r="AJ352" i="1"/>
  <c r="AJ219" i="1"/>
  <c r="AJ366" i="1"/>
  <c r="AJ14" i="1"/>
  <c r="AJ6" i="1"/>
  <c r="AJ213" i="1"/>
  <c r="AJ276" i="1"/>
  <c r="AJ268" i="1"/>
  <c r="AJ238" i="1"/>
  <c r="AJ189" i="1"/>
  <c r="AJ10" i="1"/>
  <c r="AJ114" i="1"/>
  <c r="AJ58" i="1"/>
  <c r="AJ84" i="1"/>
  <c r="AJ203" i="1"/>
  <c r="AJ343" i="1"/>
  <c r="AJ126" i="1"/>
  <c r="AJ11" i="1"/>
  <c r="AJ152" i="1"/>
  <c r="AJ117" i="1"/>
  <c r="AJ164" i="1"/>
  <c r="AJ201" i="1"/>
  <c r="AJ100" i="1"/>
  <c r="AJ264" i="1"/>
  <c r="AJ265" i="1"/>
  <c r="AJ390" i="1"/>
  <c r="AJ226" i="1"/>
  <c r="AJ288" i="1"/>
  <c r="AJ45" i="1"/>
  <c r="AJ227" i="1"/>
  <c r="AJ113" i="1"/>
  <c r="AJ239" i="1"/>
  <c r="AJ25" i="1"/>
  <c r="AJ361" i="1"/>
  <c r="AJ333" i="1"/>
  <c r="AJ289" i="1"/>
  <c r="AJ314" i="1"/>
  <c r="AJ155" i="1"/>
  <c r="AJ17" i="1"/>
  <c r="AJ53" i="1"/>
  <c r="AJ324" i="1"/>
  <c r="AJ77" i="1"/>
  <c r="AJ192" i="1"/>
  <c r="AJ82" i="1"/>
  <c r="AJ37" i="1"/>
  <c r="AJ353" i="1"/>
  <c r="AJ389" i="1"/>
  <c r="AJ295" i="1"/>
  <c r="AJ377" i="1"/>
  <c r="AJ370" i="1"/>
  <c r="AJ93" i="1"/>
  <c r="AJ291" i="1"/>
  <c r="AJ210" i="1"/>
  <c r="AJ128" i="1"/>
  <c r="AJ162" i="1"/>
  <c r="AJ209" i="1"/>
  <c r="AJ251" i="1"/>
  <c r="AJ346" i="1"/>
  <c r="AJ5" i="1"/>
  <c r="AJ76" i="1"/>
  <c r="AJ337" i="1"/>
  <c r="AJ321" i="1"/>
  <c r="AJ349" i="1"/>
  <c r="AJ202" i="1"/>
  <c r="AJ235" i="1"/>
  <c r="AJ297" i="1"/>
  <c r="AJ55" i="1"/>
  <c r="AJ26" i="1"/>
  <c r="AJ40" i="1"/>
  <c r="AJ154" i="1"/>
  <c r="AJ244" i="1"/>
  <c r="AJ231" i="1"/>
  <c r="AJ283" i="1"/>
  <c r="AJ59" i="1"/>
  <c r="AJ151" i="1"/>
  <c r="AJ341" i="1"/>
  <c r="AJ358" i="1"/>
  <c r="AJ247" i="1"/>
  <c r="AJ300" i="1"/>
  <c r="AJ364" i="1"/>
  <c r="AJ381" i="1"/>
  <c r="AJ191" i="1"/>
  <c r="AJ282" i="1"/>
  <c r="AJ91" i="1"/>
  <c r="AJ193" i="1"/>
  <c r="AJ384" i="1"/>
  <c r="AJ279" i="1"/>
  <c r="AJ190" i="1"/>
  <c r="AJ186" i="1"/>
  <c r="AJ248" i="1"/>
  <c r="AJ267" i="1"/>
  <c r="AJ340" i="1"/>
  <c r="AJ246" i="1"/>
  <c r="AJ211" i="1"/>
  <c r="AJ212" i="1"/>
  <c r="AJ94" i="1"/>
  <c r="AJ157" i="1"/>
  <c r="AJ224" i="1"/>
  <c r="AJ35" i="1"/>
  <c r="AJ86" i="1"/>
  <c r="AJ269" i="1"/>
  <c r="AJ290" i="1"/>
  <c r="AJ72" i="1"/>
  <c r="AJ329" i="1"/>
  <c r="AJ323" i="1"/>
  <c r="AJ181" i="1"/>
  <c r="AJ61" i="1"/>
  <c r="AJ51" i="1"/>
  <c r="AJ123" i="1"/>
  <c r="AJ170" i="1"/>
  <c r="AJ196" i="1"/>
  <c r="AJ316" i="1"/>
  <c r="AJ382" i="1"/>
  <c r="AJ158" i="1"/>
  <c r="AJ273" i="1"/>
  <c r="AJ339" i="1"/>
  <c r="AJ344" i="1"/>
  <c r="AJ225" i="1"/>
  <c r="AJ105" i="1"/>
  <c r="AJ159" i="1"/>
  <c r="AJ168" i="1"/>
  <c r="AJ19" i="1"/>
  <c r="AJ103" i="1"/>
  <c r="AJ222" i="1"/>
  <c r="AJ160" i="1"/>
  <c r="AJ131" i="1"/>
  <c r="AJ245" i="1"/>
  <c r="AJ299" i="1"/>
  <c r="AJ272" i="1"/>
  <c r="AJ221" i="1"/>
  <c r="AJ27" i="1"/>
  <c r="AJ350" i="1"/>
  <c r="AJ39" i="1"/>
  <c r="AJ271" i="1"/>
  <c r="AJ256" i="1"/>
  <c r="AJ88" i="1"/>
  <c r="AJ33" i="1"/>
  <c r="AJ96" i="1"/>
  <c r="AJ342" i="1"/>
  <c r="AJ64" i="1"/>
  <c r="AJ371" i="1"/>
  <c r="AJ111" i="1"/>
  <c r="AJ20" i="1"/>
  <c r="AJ274" i="1"/>
  <c r="AJ146" i="1"/>
  <c r="AJ374" i="1"/>
  <c r="AJ311" i="1"/>
  <c r="AJ197" i="1"/>
  <c r="AJ47" i="1"/>
  <c r="AJ380" i="1"/>
  <c r="AJ260" i="1"/>
  <c r="AJ134" i="1"/>
  <c r="AJ356" i="1"/>
  <c r="AJ130" i="1"/>
  <c r="AJ253" i="1"/>
  <c r="AJ363" i="1"/>
  <c r="AJ223" i="1"/>
  <c r="AJ293" i="1"/>
  <c r="AJ122" i="1"/>
  <c r="AJ60" i="1"/>
  <c r="AJ12" i="1"/>
  <c r="AJ301" i="1"/>
  <c r="AJ81" i="1"/>
  <c r="AJ175" i="1"/>
  <c r="AJ161" i="1"/>
  <c r="AJ206" i="1"/>
  <c r="AJ145" i="1"/>
  <c r="AJ296" i="1"/>
  <c r="AJ367" i="1"/>
  <c r="AJ18" i="1"/>
  <c r="AJ4" i="1"/>
  <c r="AJ215" i="1"/>
  <c r="AJ69" i="1"/>
  <c r="AJ287" i="1"/>
  <c r="AJ109" i="1"/>
  <c r="AJ107" i="1"/>
  <c r="AJ177" i="1"/>
  <c r="AJ379" i="1"/>
  <c r="AJ166" i="1"/>
  <c r="AJ252" i="1"/>
  <c r="AJ319" i="1"/>
  <c r="AJ234" i="1"/>
  <c r="AJ30" i="1"/>
  <c r="AJ306" i="1"/>
  <c r="AJ369" i="1"/>
  <c r="AJ292" i="1"/>
  <c r="AJ285" i="1"/>
  <c r="AJ313" i="1"/>
  <c r="AJ176" i="1"/>
  <c r="AJ327" i="1"/>
  <c r="AJ8" i="1"/>
  <c r="AJ75" i="1"/>
  <c r="AJ139" i="1"/>
  <c r="AJ365" i="1"/>
  <c r="AJ171" i="1"/>
  <c r="AJ142" i="1"/>
  <c r="AJ216" i="1"/>
  <c r="AJ198" i="1"/>
  <c r="AJ194" i="1"/>
  <c r="AJ240" i="1"/>
  <c r="AJ23" i="1"/>
  <c r="AJ183" i="1"/>
  <c r="AJ36" i="1"/>
  <c r="AJ104" i="1"/>
  <c r="AJ259" i="1"/>
  <c r="AJ85" i="1"/>
  <c r="AJ310" i="1"/>
  <c r="AJ153" i="1"/>
  <c r="AJ184" i="1"/>
  <c r="AJ52" i="1"/>
  <c r="AJ90" i="1"/>
  <c r="AJ304" i="1"/>
  <c r="AJ207" i="1"/>
  <c r="AJ338" i="1"/>
  <c r="AJ83" i="1"/>
  <c r="AJ65" i="1"/>
  <c r="AJ220" i="1"/>
  <c r="AJ15" i="1"/>
  <c r="AJ71" i="1"/>
  <c r="AJ277" i="1"/>
  <c r="AJ348" i="1"/>
  <c r="AJ303" i="1"/>
  <c r="AJ373" i="1"/>
  <c r="AJ169" i="1"/>
  <c r="AJ255" i="1"/>
  <c r="AJ388" i="1"/>
  <c r="AJ250" i="1"/>
  <c r="AJ22" i="1"/>
  <c r="AJ284" i="1"/>
  <c r="AJ345" i="1"/>
  <c r="AJ368" i="1"/>
  <c r="AJ294" i="1"/>
  <c r="AJ243" i="1"/>
  <c r="AJ136" i="1"/>
  <c r="AJ7" i="1"/>
  <c r="AJ328" i="1"/>
  <c r="AJ54" i="1"/>
  <c r="AJ195" i="1"/>
  <c r="AJ79" i="1"/>
  <c r="AJ205" i="1"/>
  <c r="AJ120" i="1"/>
  <c r="AJ385" i="1"/>
  <c r="AJ275" i="1"/>
  <c r="AJ258" i="1"/>
  <c r="AJ144" i="1"/>
  <c r="AJ320" i="1"/>
  <c r="AJ263" i="1"/>
  <c r="AJ334" i="1"/>
  <c r="AJ332" i="1"/>
  <c r="AJ372" i="1"/>
  <c r="AJ376" i="1"/>
  <c r="AJ375" i="1"/>
  <c r="AJ317" i="1"/>
  <c r="AJ280" i="1"/>
  <c r="AJ48" i="1"/>
  <c r="AJ125" i="1"/>
  <c r="AJ229" i="1"/>
  <c r="AJ266" i="1"/>
  <c r="AJ387" i="1"/>
  <c r="AJ127" i="1"/>
  <c r="AJ46" i="1"/>
  <c r="AJ298" i="1"/>
  <c r="AJ278" i="1"/>
  <c r="AJ57" i="1"/>
  <c r="AJ172" i="1"/>
  <c r="AJ174" i="1"/>
  <c r="AJ97" i="1"/>
  <c r="AJ44" i="1"/>
  <c r="AJ106" i="1"/>
  <c r="AJ147" i="1"/>
  <c r="AJ150" i="1"/>
  <c r="AJ118" i="1"/>
  <c r="AJ326" i="1"/>
  <c r="AJ119" i="1"/>
  <c r="AJ115" i="1"/>
  <c r="AJ312" i="1"/>
  <c r="AJ50" i="1"/>
  <c r="AJ102" i="1"/>
  <c r="AJ360" i="1"/>
  <c r="AJ262" i="1"/>
  <c r="AJ41" i="1"/>
  <c r="AJ49" i="1"/>
  <c r="AJ257" i="1"/>
  <c r="AJ228" i="1"/>
  <c r="AJ187" i="1"/>
  <c r="AJ148" i="1"/>
  <c r="AJ163" i="1"/>
  <c r="AJ149" i="1"/>
  <c r="AJ318" i="1"/>
  <c r="AJ138" i="1"/>
  <c r="AJ133" i="1"/>
  <c r="AJ218" i="1"/>
  <c r="AJ185" i="1"/>
  <c r="AJ242" i="1"/>
  <c r="AJ308" i="1"/>
  <c r="AJ116" i="1"/>
  <c r="AJ95" i="1"/>
  <c r="AJ29" i="1"/>
  <c r="AJ74" i="1"/>
  <c r="AJ24" i="1"/>
  <c r="AJ200" i="1"/>
  <c r="AJ143" i="1"/>
  <c r="AJ31" i="1"/>
  <c r="AJ330" i="1"/>
  <c r="AJ9" i="1"/>
  <c r="AJ156" i="1"/>
  <c r="AJ66" i="1"/>
  <c r="AJ351" i="1"/>
  <c r="AJ28" i="1"/>
  <c r="AJ34" i="1"/>
  <c r="AJ38" i="1"/>
  <c r="AJ137" i="1"/>
  <c r="AJ99" i="1"/>
  <c r="AJ230" i="1"/>
  <c r="AJ331" i="1"/>
  <c r="AJ362" i="1"/>
  <c r="AJ233" i="1"/>
  <c r="AJ357" i="1"/>
  <c r="AJ92" i="1"/>
  <c r="AJ254" i="1"/>
  <c r="AJ98" i="1"/>
  <c r="AJ347" i="1"/>
  <c r="AJ307" i="1"/>
  <c r="AJ101" i="1"/>
  <c r="AJ167" i="1"/>
  <c r="AJ182" i="1"/>
  <c r="AJ199" i="1"/>
  <c r="AJ173" i="1"/>
  <c r="AJ322" i="1"/>
  <c r="AJ354" i="1"/>
  <c r="AJ261" i="1"/>
  <c r="AJ383" i="1"/>
  <c r="AJ63" i="1"/>
  <c r="AJ359" i="1"/>
  <c r="AJ124" i="1"/>
  <c r="AJ42" i="1"/>
  <c r="AJ270" i="1"/>
  <c r="AJ232" i="1"/>
  <c r="AJ237" i="1"/>
  <c r="AJ110" i="1"/>
  <c r="AJ214" i="1"/>
  <c r="AJ129" i="1"/>
  <c r="AJ165" i="1"/>
  <c r="AJ188" i="1"/>
  <c r="AJ141" i="1"/>
  <c r="AJ32" i="1"/>
  <c r="AJ68" i="1"/>
  <c r="AJ217" i="1"/>
  <c r="AJ16" i="1"/>
  <c r="AJ108" i="1"/>
  <c r="AJ179" i="1"/>
  <c r="AJ132" i="1"/>
  <c r="AJ302" i="1"/>
  <c r="AJ80" i="1"/>
  <c r="AJ336" i="1"/>
  <c r="AJ112" i="1"/>
  <c r="AJ204" i="1"/>
  <c r="AJ286" i="1"/>
  <c r="AJ56" i="1"/>
  <c r="AJ178" i="1"/>
  <c r="AJ67" i="1"/>
  <c r="AJ43" i="1"/>
  <c r="AJ325" i="1"/>
  <c r="AJ13" i="1"/>
  <c r="AJ180" i="1"/>
  <c r="AJ355" i="1"/>
  <c r="AJ135" i="1"/>
  <c r="AJ335" i="1"/>
  <c r="AJ305" i="1"/>
  <c r="T75" i="5"/>
  <c r="U75" i="5" s="1"/>
  <c r="AM56" i="7" l="1"/>
  <c r="AJ3" i="1"/>
  <c r="X22" i="4"/>
  <c r="Z43" i="4"/>
  <c r="Z34" i="4"/>
  <c r="Z40" i="4"/>
  <c r="Z6" i="4"/>
  <c r="Z19" i="4"/>
  <c r="Z44" i="4"/>
  <c r="Z15" i="4"/>
  <c r="Z7" i="4"/>
  <c r="Z35" i="4"/>
  <c r="Z31" i="4"/>
  <c r="Z5" i="4"/>
  <c r="Z41" i="4"/>
  <c r="Z42" i="4"/>
  <c r="Z20" i="4"/>
  <c r="Z38" i="4"/>
  <c r="Z27" i="4"/>
  <c r="Y35" i="4"/>
  <c r="AB35" i="4"/>
  <c r="AC35" i="4" s="1"/>
  <c r="AB11" i="4"/>
  <c r="AC11" i="4" s="1"/>
  <c r="Y11" i="4"/>
  <c r="Z37" i="4"/>
  <c r="AB9" i="4"/>
  <c r="AC9" i="4" s="1"/>
  <c r="Y9" i="4"/>
  <c r="AB30" i="4"/>
  <c r="AC30" i="4" s="1"/>
  <c r="Y30" i="4"/>
  <c r="AB41" i="4"/>
  <c r="AC41" i="4" s="1"/>
  <c r="Y41" i="4"/>
  <c r="Z10" i="4"/>
  <c r="Z29" i="4"/>
  <c r="Z23" i="4"/>
  <c r="Z24" i="4"/>
  <c r="AB44" i="4"/>
  <c r="AC44" i="4" s="1"/>
  <c r="Y44" i="4"/>
  <c r="AB28" i="4"/>
  <c r="AC28" i="4" s="1"/>
  <c r="Y28" i="4"/>
  <c r="Y7" i="4"/>
  <c r="AB7" i="4"/>
  <c r="AC7" i="4" s="1"/>
  <c r="Z36" i="4"/>
  <c r="AB16" i="4"/>
  <c r="AC16" i="4" s="1"/>
  <c r="Y16" i="4"/>
  <c r="Z26" i="4"/>
  <c r="Z11" i="4"/>
  <c r="AB8" i="4"/>
  <c r="AC8" i="4" s="1"/>
  <c r="Y8" i="4"/>
  <c r="Y24" i="4"/>
  <c r="AB24" i="4"/>
  <c r="AC24" i="4" s="1"/>
  <c r="Z25" i="4"/>
  <c r="AB20" i="4"/>
  <c r="AC20" i="4" s="1"/>
  <c r="Y20" i="4"/>
  <c r="AB32" i="4"/>
  <c r="AC32" i="4" s="1"/>
  <c r="Y32" i="4"/>
  <c r="Z30" i="4"/>
  <c r="Y29" i="4"/>
  <c r="AB29" i="4"/>
  <c r="AC29" i="4" s="1"/>
  <c r="Y19" i="4"/>
  <c r="AB19" i="4"/>
  <c r="AC19" i="4" s="1"/>
  <c r="AB37" i="4"/>
  <c r="AC37" i="4" s="1"/>
  <c r="Y37" i="4"/>
  <c r="AB38" i="4"/>
  <c r="AC38" i="4" s="1"/>
  <c r="Y38" i="4"/>
  <c r="AB25" i="4"/>
  <c r="AC25" i="4" s="1"/>
  <c r="Y25" i="4"/>
  <c r="Y12" i="4"/>
  <c r="AB12" i="4"/>
  <c r="AC12" i="4" s="1"/>
  <c r="AB5" i="4"/>
  <c r="AC5" i="4" s="1"/>
  <c r="Y5" i="4"/>
  <c r="Z21" i="4"/>
  <c r="AB10" i="4"/>
  <c r="AC10" i="4" s="1"/>
  <c r="Y10" i="4"/>
  <c r="AB13" i="4"/>
  <c r="AC13" i="4" s="1"/>
  <c r="Y13" i="4"/>
  <c r="Y40" i="4"/>
  <c r="AB40" i="4"/>
  <c r="AC40" i="4" s="1"/>
  <c r="Y34" i="4"/>
  <c r="AB34" i="4"/>
  <c r="AC34" i="4" s="1"/>
  <c r="AB21" i="4"/>
  <c r="AC21" i="4" s="1"/>
  <c r="Y21" i="4"/>
  <c r="Z8" i="4"/>
  <c r="Y15" i="4"/>
  <c r="AB15" i="4"/>
  <c r="AC15" i="4" s="1"/>
  <c r="Z32" i="4"/>
  <c r="Z16" i="4"/>
  <c r="AB22" i="4"/>
  <c r="AC22" i="4" s="1"/>
  <c r="Y22" i="4"/>
  <c r="Z28" i="4"/>
  <c r="AB14" i="4"/>
  <c r="AC14" i="4" s="1"/>
  <c r="Y14" i="4"/>
  <c r="Z13" i="4"/>
  <c r="Z33" i="4"/>
  <c r="AB39" i="4"/>
  <c r="AC39" i="4" s="1"/>
  <c r="Y39" i="4"/>
  <c r="AB18" i="4"/>
  <c r="AC18" i="4" s="1"/>
  <c r="Y18" i="4"/>
  <c r="AB36" i="4"/>
  <c r="AC36" i="4" s="1"/>
  <c r="Y36" i="4"/>
  <c r="Y31" i="4"/>
  <c r="AB31" i="4"/>
  <c r="AC31" i="4" s="1"/>
  <c r="Z22" i="4"/>
  <c r="AB33" i="4"/>
  <c r="AC33" i="4" s="1"/>
  <c r="Y33" i="4"/>
  <c r="Z17" i="4"/>
  <c r="Y43" i="4"/>
  <c r="AB43" i="4"/>
  <c r="AC43" i="4" s="1"/>
  <c r="AB42" i="4"/>
  <c r="AC42" i="4" s="1"/>
  <c r="Y42" i="4"/>
  <c r="Z14" i="4"/>
  <c r="Z18" i="4"/>
  <c r="AB23" i="4"/>
  <c r="AC23" i="4" s="1"/>
  <c r="Y23" i="4"/>
  <c r="AB6" i="4"/>
  <c r="AC6" i="4" s="1"/>
  <c r="Y6" i="4"/>
  <c r="Y26" i="4"/>
  <c r="AB26" i="4"/>
  <c r="AC26" i="4" s="1"/>
  <c r="AB27" i="4"/>
  <c r="AC27" i="4" s="1"/>
  <c r="Y27" i="4"/>
  <c r="Z9" i="4"/>
  <c r="Z12" i="4"/>
  <c r="Y17" i="4"/>
  <c r="AB17" i="4"/>
  <c r="AC17" i="4" s="1"/>
  <c r="Z39" i="4"/>
  <c r="AA30" i="4" l="1"/>
  <c r="AA21" i="4"/>
  <c r="AA9" i="4"/>
  <c r="AA14" i="4"/>
  <c r="AA16" i="4"/>
  <c r="AA10" i="4"/>
  <c r="AA41" i="4"/>
  <c r="AA6" i="4"/>
  <c r="AA18" i="4"/>
  <c r="AA13" i="4"/>
  <c r="AA23" i="4"/>
  <c r="AA5" i="4"/>
  <c r="AA40" i="4"/>
  <c r="AA31" i="4"/>
  <c r="AA43" i="4"/>
  <c r="AA25" i="4"/>
  <c r="AA24" i="4"/>
  <c r="AA22" i="4"/>
  <c r="AA11" i="4"/>
  <c r="AA26" i="4"/>
  <c r="AA35" i="4"/>
  <c r="AA27" i="4"/>
  <c r="AA7" i="4"/>
  <c r="AA38" i="4"/>
  <c r="AA15" i="4"/>
  <c r="AA32" i="4"/>
  <c r="AA8" i="4"/>
  <c r="AA20" i="4"/>
  <c r="AA44" i="4"/>
  <c r="AA34" i="4"/>
  <c r="AA33" i="4"/>
  <c r="AA39" i="4"/>
  <c r="AA36" i="4"/>
  <c r="AA12" i="4"/>
  <c r="AA17" i="4"/>
  <c r="AA28" i="4"/>
  <c r="AA29" i="4"/>
  <c r="AA37" i="4"/>
  <c r="AA42" i="4"/>
  <c r="AA19" i="4"/>
  <c r="AM190" i="7"/>
  <c r="AK354" i="1"/>
  <c r="AK174" i="1"/>
  <c r="AK240" i="1"/>
  <c r="AK272" i="1"/>
  <c r="AK248" i="1"/>
  <c r="AK192" i="1"/>
  <c r="AK241" i="1"/>
  <c r="AK355" i="1"/>
  <c r="AK322" i="1"/>
  <c r="AK172" i="1"/>
  <c r="AK249" i="1"/>
  <c r="AK194" i="1"/>
  <c r="AK299" i="1"/>
  <c r="AK186" i="1"/>
  <c r="AK77" i="1"/>
  <c r="AK78" i="1"/>
  <c r="AK180" i="1"/>
  <c r="AK173" i="1"/>
  <c r="AK198" i="1"/>
  <c r="AK245" i="1"/>
  <c r="AK190" i="1"/>
  <c r="AK65" i="1"/>
  <c r="AK324" i="1"/>
  <c r="AK360" i="1"/>
  <c r="AK13" i="1"/>
  <c r="AK291" i="1"/>
  <c r="AK43" i="1"/>
  <c r="AK167" i="1"/>
  <c r="AK46" i="1"/>
  <c r="AK171" i="1"/>
  <c r="AK222" i="1"/>
  <c r="AK155" i="1"/>
  <c r="AK338" i="1"/>
  <c r="AK67" i="1"/>
  <c r="AK101" i="1"/>
  <c r="AK127" i="1"/>
  <c r="AK365" i="1"/>
  <c r="AK103" i="1"/>
  <c r="AK91" i="1"/>
  <c r="AK314" i="1"/>
  <c r="AK35" i="1"/>
  <c r="AK178" i="1"/>
  <c r="AK307" i="1"/>
  <c r="AK387" i="1"/>
  <c r="AK139" i="1"/>
  <c r="AK19" i="1"/>
  <c r="AK282" i="1"/>
  <c r="AK289" i="1"/>
  <c r="AK257" i="1"/>
  <c r="AK89" i="1"/>
  <c r="AK56" i="1"/>
  <c r="AK347" i="1"/>
  <c r="AK266" i="1"/>
  <c r="AK75" i="1"/>
  <c r="AK168" i="1"/>
  <c r="AK191" i="1"/>
  <c r="AK333" i="1"/>
  <c r="AK378" i="1"/>
  <c r="AK185" i="1"/>
  <c r="AK286" i="1"/>
  <c r="AK98" i="1"/>
  <c r="AK229" i="1"/>
  <c r="AK8" i="1"/>
  <c r="AK159" i="1"/>
  <c r="AK381" i="1"/>
  <c r="AK327" i="1"/>
  <c r="AK105" i="1"/>
  <c r="AK364" i="1"/>
  <c r="AK25" i="1"/>
  <c r="AK371" i="1"/>
  <c r="AK112" i="1"/>
  <c r="AK92" i="1"/>
  <c r="AK48" i="1"/>
  <c r="AK176" i="1"/>
  <c r="AK225" i="1"/>
  <c r="AK300" i="1"/>
  <c r="AK239" i="1"/>
  <c r="AK102" i="1"/>
  <c r="AK336" i="1"/>
  <c r="AK357" i="1"/>
  <c r="AK280" i="1"/>
  <c r="AK57" i="1"/>
  <c r="AK344" i="1"/>
  <c r="AK247" i="1"/>
  <c r="AK113" i="1"/>
  <c r="AK93" i="1"/>
  <c r="AK80" i="1"/>
  <c r="AK233" i="1"/>
  <c r="AK317" i="1"/>
  <c r="AK24" i="1"/>
  <c r="AK163" i="1"/>
  <c r="AK218" i="1"/>
  <c r="AK63" i="1"/>
  <c r="AK18" i="1"/>
  <c r="AK223" i="1"/>
  <c r="AK301" i="1"/>
  <c r="AK294" i="1"/>
  <c r="AK76" i="1"/>
  <c r="AK262" i="1"/>
  <c r="AK41" i="1"/>
  <c r="AK228" i="1"/>
  <c r="AK21" i="1"/>
  <c r="AK118" i="1"/>
  <c r="AK326" i="1"/>
  <c r="AK290" i="1"/>
  <c r="AK259" i="1"/>
  <c r="AK315" i="1"/>
  <c r="AK74" i="1"/>
  <c r="AK285" i="1"/>
  <c r="AK339" i="1"/>
  <c r="AK358" i="1"/>
  <c r="AK227" i="1"/>
  <c r="AK224" i="1"/>
  <c r="AK193" i="1"/>
  <c r="AK302" i="1"/>
  <c r="AK362" i="1"/>
  <c r="AK375" i="1"/>
  <c r="AK292" i="1"/>
  <c r="AK273" i="1"/>
  <c r="AK341" i="1"/>
  <c r="AK45" i="1"/>
  <c r="AK64" i="1"/>
  <c r="AK132" i="1"/>
  <c r="AK331" i="1"/>
  <c r="AK376" i="1"/>
  <c r="AK369" i="1"/>
  <c r="AK158" i="1"/>
  <c r="AK151" i="1"/>
  <c r="AK288" i="1"/>
  <c r="AK208" i="1"/>
  <c r="AK179" i="1"/>
  <c r="AK334" i="1"/>
  <c r="AK234" i="1"/>
  <c r="AK196" i="1"/>
  <c r="AK231" i="1"/>
  <c r="AK265" i="1"/>
  <c r="AK342" i="1"/>
  <c r="AK217" i="1"/>
  <c r="AK38" i="1"/>
  <c r="AK263" i="1"/>
  <c r="AK319" i="1"/>
  <c r="AK170" i="1"/>
  <c r="AK244" i="1"/>
  <c r="AK264" i="1"/>
  <c r="AK90" i="1"/>
  <c r="AK68" i="1"/>
  <c r="AK34" i="1"/>
  <c r="AK320" i="1"/>
  <c r="AK313" i="1"/>
  <c r="AK252" i="1"/>
  <c r="AK123" i="1"/>
  <c r="AK154" i="1"/>
  <c r="AK100" i="1"/>
  <c r="AK70" i="1"/>
  <c r="AK32" i="1"/>
  <c r="AK28" i="1"/>
  <c r="AK144" i="1"/>
  <c r="AK166" i="1"/>
  <c r="AK51" i="1"/>
  <c r="AK40" i="1"/>
  <c r="AK201" i="1"/>
  <c r="AK370" i="1"/>
  <c r="AK141" i="1"/>
  <c r="AK351" i="1"/>
  <c r="AK258" i="1"/>
  <c r="AK379" i="1"/>
  <c r="AK61" i="1"/>
  <c r="AK26" i="1"/>
  <c r="AK164" i="1"/>
  <c r="AK157" i="1"/>
  <c r="AK188" i="1"/>
  <c r="AK66" i="1"/>
  <c r="AK181" i="1"/>
  <c r="AK297" i="1"/>
  <c r="AK152" i="1"/>
  <c r="AK96" i="1"/>
  <c r="AK9" i="1"/>
  <c r="AK120" i="1"/>
  <c r="AK109" i="1"/>
  <c r="AK356" i="1"/>
  <c r="AK235" i="1"/>
  <c r="AK11" i="1"/>
  <c r="AK73" i="1"/>
  <c r="AK214" i="1"/>
  <c r="AK330" i="1"/>
  <c r="AK205" i="1"/>
  <c r="AK287" i="1"/>
  <c r="AK323" i="1"/>
  <c r="AK202" i="1"/>
  <c r="AK126" i="1"/>
  <c r="AK52" i="1"/>
  <c r="AK110" i="1"/>
  <c r="AK31" i="1"/>
  <c r="AK79" i="1"/>
  <c r="AK69" i="1"/>
  <c r="AK134" i="1"/>
  <c r="AK349" i="1"/>
  <c r="AK343" i="1"/>
  <c r="AK115" i="1"/>
  <c r="AK237" i="1"/>
  <c r="AK143" i="1"/>
  <c r="AK195" i="1"/>
  <c r="AK215" i="1"/>
  <c r="AK329" i="1"/>
  <c r="AK203" i="1"/>
  <c r="AK33" i="1"/>
  <c r="AK232" i="1"/>
  <c r="AK200" i="1"/>
  <c r="AK54" i="1"/>
  <c r="AK4" i="1"/>
  <c r="AK260" i="1"/>
  <c r="AK337" i="1"/>
  <c r="AK84" i="1"/>
  <c r="AK94" i="1"/>
  <c r="AK270" i="1"/>
  <c r="AK122" i="1"/>
  <c r="AK213" i="1"/>
  <c r="AK251" i="1"/>
  <c r="AK146" i="1"/>
  <c r="AK95" i="1"/>
  <c r="AK184" i="1"/>
  <c r="AK271" i="1"/>
  <c r="AK14" i="1"/>
  <c r="AK124" i="1"/>
  <c r="AK242" i="1"/>
  <c r="AK295" i="1"/>
  <c r="AK256" i="1"/>
  <c r="AK29" i="1"/>
  <c r="AK345" i="1"/>
  <c r="AK389" i="1"/>
  <c r="AK39" i="1"/>
  <c r="AK136" i="1"/>
  <c r="AK175" i="1"/>
  <c r="AK138" i="1"/>
  <c r="AK85" i="1"/>
  <c r="AK296" i="1"/>
  <c r="AK197" i="1"/>
  <c r="AK388" i="1"/>
  <c r="AK149" i="1"/>
  <c r="AK277" i="1"/>
  <c r="AK276" i="1"/>
  <c r="AK60" i="1"/>
  <c r="AK346" i="1"/>
  <c r="AK169" i="1"/>
  <c r="AK86" i="1"/>
  <c r="AK153" i="1"/>
  <c r="AK10" i="1"/>
  <c r="AK147" i="1"/>
  <c r="AK366" i="1"/>
  <c r="AK150" i="1"/>
  <c r="AK293" i="1"/>
  <c r="AK62" i="1"/>
  <c r="AK284" i="1"/>
  <c r="AK377" i="1"/>
  <c r="AK220" i="1"/>
  <c r="AK211" i="1"/>
  <c r="AK81" i="1"/>
  <c r="AK71" i="1"/>
  <c r="AK318" i="1"/>
  <c r="AK83" i="1"/>
  <c r="AK359" i="1"/>
  <c r="AK243" i="1"/>
  <c r="AK145" i="1"/>
  <c r="AK47" i="1"/>
  <c r="AK189" i="1"/>
  <c r="AK353" i="1"/>
  <c r="AK44" i="1"/>
  <c r="AK340" i="1"/>
  <c r="AK261" i="1"/>
  <c r="AK267" i="1"/>
  <c r="AK135" i="1"/>
  <c r="AK278" i="1"/>
  <c r="AK119" i="1"/>
  <c r="AK382" i="1"/>
  <c r="AK53" i="1"/>
  <c r="AK116" i="1"/>
  <c r="AK108" i="1"/>
  <c r="AK321" i="1"/>
  <c r="AK182" i="1"/>
  <c r="AK206" i="1"/>
  <c r="AK316" i="1"/>
  <c r="AK384" i="1"/>
  <c r="AK209" i="1"/>
  <c r="AK16" i="1"/>
  <c r="AK137" i="1"/>
  <c r="AK238" i="1"/>
  <c r="AK177" i="1"/>
  <c r="AK88" i="1"/>
  <c r="AK254" i="1"/>
  <c r="AK312" i="1"/>
  <c r="AK308" i="1"/>
  <c r="AK368" i="1"/>
  <c r="AK161" i="1"/>
  <c r="AK274" i="1"/>
  <c r="AK162" i="1"/>
  <c r="AK268" i="1"/>
  <c r="AK386" i="1"/>
  <c r="AK212" i="1"/>
  <c r="AK133" i="1"/>
  <c r="AK130" i="1"/>
  <c r="AK250" i="1"/>
  <c r="AK125" i="1"/>
  <c r="AK12" i="1"/>
  <c r="AK311" i="1"/>
  <c r="AK128" i="1"/>
  <c r="AK107" i="1"/>
  <c r="AK36" i="1"/>
  <c r="AK309" i="1"/>
  <c r="AK183" i="1"/>
  <c r="AK37" i="1"/>
  <c r="AK97" i="1"/>
  <c r="AK199" i="1"/>
  <c r="AK87" i="1"/>
  <c r="AK306" i="1"/>
  <c r="AK279" i="1"/>
  <c r="AK22" i="1"/>
  <c r="AK304" i="1"/>
  <c r="AK15" i="1"/>
  <c r="AK30" i="1"/>
  <c r="AK160" i="1"/>
  <c r="AK6" i="1"/>
  <c r="AK50" i="1"/>
  <c r="AK121" i="1"/>
  <c r="AK117" i="1"/>
  <c r="AK255" i="1"/>
  <c r="AK269" i="1"/>
  <c r="AK20" i="1"/>
  <c r="AK219" i="1"/>
  <c r="AK350" i="1"/>
  <c r="AK305" i="1"/>
  <c r="AK27" i="1"/>
  <c r="AK281" i="1"/>
  <c r="AK23" i="1"/>
  <c r="AK82" i="1"/>
  <c r="AK104" i="1"/>
  <c r="AK372" i="1"/>
  <c r="AK131" i="1"/>
  <c r="AK373" i="1"/>
  <c r="AK226" i="1"/>
  <c r="AK325" i="1"/>
  <c r="AK374" i="1"/>
  <c r="AK332" i="1"/>
  <c r="AK142" i="1"/>
  <c r="AK236" i="1"/>
  <c r="AK390" i="1"/>
  <c r="AK361" i="1"/>
  <c r="AK207" i="1"/>
  <c r="AK148" i="1"/>
  <c r="AK55" i="1"/>
  <c r="AK303" i="1"/>
  <c r="AK363" i="1"/>
  <c r="AK49" i="1"/>
  <c r="AK156" i="1"/>
  <c r="AK385" i="1"/>
  <c r="AK210" i="1"/>
  <c r="AK246" i="1"/>
  <c r="AK383" i="1"/>
  <c r="AK221" i="1"/>
  <c r="AK140" i="1"/>
  <c r="AK230" i="1"/>
  <c r="AK111" i="1"/>
  <c r="AK380" i="1"/>
  <c r="AK99" i="1"/>
  <c r="AK58" i="1"/>
  <c r="AK275" i="1"/>
  <c r="AK42" i="1"/>
  <c r="AK204" i="1"/>
  <c r="AK7" i="1"/>
  <c r="AK367" i="1"/>
  <c r="AK165" i="1"/>
  <c r="AL165" i="1" s="1"/>
  <c r="AM165" i="1" s="1"/>
  <c r="AK72" i="1"/>
  <c r="AK5" i="1"/>
  <c r="AK114" i="1"/>
  <c r="AK187" i="1"/>
  <c r="AK348" i="1"/>
  <c r="AK352" i="1"/>
  <c r="AK253" i="1"/>
  <c r="AK310" i="1"/>
  <c r="AK129" i="1"/>
  <c r="AK335" i="1"/>
  <c r="AK216" i="1"/>
  <c r="AK328" i="1"/>
  <c r="AK59" i="1"/>
  <c r="AK298" i="1"/>
  <c r="AK283" i="1"/>
  <c r="AK17" i="1"/>
  <c r="AK106" i="1"/>
  <c r="AM76" i="7" l="1"/>
  <c r="AL103" i="1"/>
  <c r="AM34" i="7" l="1"/>
  <c r="AL261" i="1"/>
  <c r="AM103" i="1"/>
  <c r="Y4" i="4"/>
  <c r="AB4" i="4"/>
  <c r="AC4" i="4" s="1"/>
  <c r="Z4" i="4"/>
  <c r="AA4" i="4" l="1"/>
  <c r="AM210" i="7"/>
  <c r="AL91" i="1"/>
  <c r="AM261" i="1"/>
  <c r="AM187" i="7" l="1"/>
  <c r="AL382" i="1"/>
  <c r="AM91" i="1"/>
  <c r="AM86" i="7" l="1"/>
  <c r="AL52" i="1"/>
  <c r="AM382" i="1"/>
  <c r="AM62" i="7" l="1"/>
  <c r="AL88" i="1"/>
  <c r="AM52" i="1"/>
  <c r="AM73" i="7" l="1"/>
  <c r="AL374" i="1"/>
  <c r="AM88" i="1"/>
  <c r="AM192" i="7" l="1"/>
  <c r="AL373" i="1"/>
  <c r="AM374" i="1"/>
  <c r="AM75" i="7" l="1"/>
  <c r="AL275" i="1"/>
  <c r="AM373" i="1"/>
  <c r="AM82" i="7" l="1"/>
  <c r="AL83" i="1"/>
  <c r="AM275" i="1"/>
  <c r="AM212" i="7" l="1"/>
  <c r="AL178" i="1"/>
  <c r="AM83" i="1"/>
  <c r="AM206" i="7" l="1"/>
  <c r="AL45" i="1"/>
  <c r="AM178" i="1"/>
  <c r="AM55" i="7" l="1"/>
  <c r="AL85" i="1"/>
  <c r="AM45" i="1"/>
  <c r="AM138" i="7" l="1"/>
  <c r="AL383" i="1"/>
  <c r="AM85" i="1"/>
  <c r="AM211" i="7" l="1"/>
  <c r="AL308" i="1"/>
  <c r="AM383" i="1"/>
  <c r="AM72" i="7" l="1"/>
  <c r="AL286" i="1"/>
  <c r="AM308" i="1"/>
  <c r="AM179" i="7" l="1"/>
  <c r="AL309" i="1"/>
  <c r="AM286" i="1"/>
  <c r="AM198" i="7" l="1"/>
  <c r="AL133" i="1"/>
  <c r="AM309" i="1"/>
  <c r="AM180" i="7" l="1"/>
  <c r="AL186" i="1"/>
  <c r="AM133" i="1"/>
  <c r="AM137" i="7" l="1"/>
  <c r="AL355" i="1"/>
  <c r="AM186" i="1"/>
  <c r="AM61" i="7" l="1"/>
  <c r="AL215" i="1"/>
  <c r="AM355" i="1"/>
  <c r="AM125" i="7" l="1"/>
  <c r="AL81" i="1"/>
  <c r="AM215" i="1"/>
  <c r="AM191" i="7" l="1"/>
  <c r="AL248" i="1"/>
  <c r="AM81" i="1"/>
  <c r="AM201" i="7" l="1"/>
  <c r="AL334" i="1"/>
  <c r="AM248" i="1"/>
  <c r="AM58" i="7" l="1"/>
  <c r="AL337" i="1"/>
  <c r="AM334" i="1"/>
  <c r="AM69" i="7" l="1"/>
  <c r="AL240" i="1"/>
  <c r="AM337" i="1"/>
  <c r="AM79" i="7" l="1"/>
  <c r="AL78" i="1"/>
  <c r="AM240" i="1"/>
  <c r="AM83" i="7" l="1"/>
  <c r="AL200" i="1"/>
  <c r="AM78" i="1"/>
  <c r="AM194" i="7" l="1"/>
  <c r="AL260" i="1"/>
  <c r="AM200" i="1"/>
  <c r="AM184" i="7" l="1"/>
  <c r="AL386" i="1"/>
  <c r="AM260" i="1"/>
  <c r="AM195" i="7" l="1"/>
  <c r="AL219" i="1"/>
  <c r="AM386" i="1"/>
  <c r="AM205" i="7" l="1"/>
  <c r="AL237" i="1"/>
  <c r="AM219" i="1"/>
  <c r="AM127" i="7" l="1"/>
  <c r="AL125" i="1"/>
  <c r="AM237" i="1"/>
  <c r="AM203" i="7" l="1"/>
  <c r="AL365" i="1"/>
  <c r="AM125" i="1"/>
  <c r="AM70" i="7" l="1"/>
  <c r="AL353" i="1"/>
  <c r="AM365" i="1"/>
  <c r="AM112" i="7" l="1"/>
  <c r="AL297" i="1"/>
  <c r="AM353" i="1"/>
  <c r="AM54" i="7" l="1"/>
  <c r="AL69" i="1"/>
  <c r="AM297" i="1"/>
  <c r="AM197" i="7" l="1"/>
  <c r="AL288" i="1"/>
  <c r="AM69" i="1"/>
  <c r="AM208" i="7" l="1"/>
  <c r="AL208" i="1"/>
  <c r="AM288" i="1"/>
  <c r="AM207" i="7" l="1"/>
  <c r="AL385" i="1"/>
  <c r="AM208" i="1"/>
  <c r="AM181" i="7" l="1"/>
  <c r="AL346" i="1"/>
  <c r="AM385" i="1"/>
  <c r="AM189" i="7" l="1"/>
  <c r="AL326" i="1"/>
  <c r="AM346" i="1"/>
  <c r="AM130" i="7" l="1"/>
  <c r="AL280" i="1"/>
  <c r="AM326" i="1"/>
  <c r="AM182" i="7" l="1"/>
  <c r="AL324" i="1"/>
  <c r="AM280" i="1"/>
  <c r="AM63" i="7" l="1"/>
  <c r="AL58" i="1"/>
  <c r="AM324" i="1"/>
  <c r="AM204" i="7" l="1"/>
  <c r="AL359" i="1"/>
  <c r="AM58" i="1"/>
  <c r="AM153" i="7" l="1"/>
  <c r="AL344" i="1"/>
  <c r="AM359" i="1"/>
  <c r="AM64" i="7" l="1"/>
  <c r="AL204" i="1"/>
  <c r="AM344" i="1"/>
  <c r="AM60" i="7" l="1"/>
  <c r="AL86" i="1"/>
  <c r="AM204" i="1"/>
  <c r="AM186" i="7" l="1"/>
  <c r="AL66" i="1"/>
  <c r="AM86" i="1"/>
  <c r="AM148" i="7" l="1"/>
  <c r="AL90" i="1"/>
  <c r="AM66" i="1"/>
  <c r="AM71" i="7" l="1"/>
  <c r="AL331" i="1"/>
  <c r="AM90" i="1"/>
  <c r="AM65" i="7" l="1"/>
  <c r="AL387" i="1"/>
  <c r="AM331" i="1"/>
  <c r="AM202" i="7" l="1"/>
  <c r="AL132" i="1"/>
  <c r="AM387" i="1"/>
  <c r="AM84" i="7" l="1"/>
  <c r="AL161" i="1"/>
  <c r="AM132" i="1"/>
  <c r="AM77" i="7" l="1"/>
  <c r="AL130" i="1"/>
  <c r="AM161" i="1"/>
  <c r="AM124" i="7" l="1"/>
  <c r="AL251" i="1"/>
  <c r="AM130" i="1"/>
  <c r="AM52" i="7" l="1"/>
  <c r="AL108" i="1"/>
  <c r="AM251" i="1"/>
  <c r="AM78" i="7" l="1"/>
  <c r="AL390" i="1"/>
  <c r="AM108" i="1"/>
  <c r="AM81" i="7" l="1"/>
  <c r="AL357" i="1"/>
  <c r="AM390" i="1"/>
  <c r="AM68" i="7" l="1"/>
  <c r="AL106" i="1"/>
  <c r="AM357" i="1"/>
  <c r="AM188" i="7" l="1"/>
  <c r="AL92" i="1"/>
  <c r="AM106" i="1"/>
  <c r="AM200" i="7" l="1"/>
  <c r="AL74" i="1"/>
  <c r="AM92" i="1"/>
  <c r="AM74" i="7" l="1"/>
  <c r="AL96" i="1"/>
  <c r="AM74" i="1"/>
  <c r="AM156" i="7" l="1"/>
  <c r="AL253" i="1"/>
  <c r="AM96" i="1"/>
  <c r="AM45" i="7" l="1"/>
  <c r="AL179" i="1"/>
  <c r="AM253" i="1"/>
  <c r="AM122" i="7" l="1"/>
  <c r="AL131" i="1"/>
  <c r="AM179" i="1"/>
  <c r="AM85" i="7" l="1"/>
  <c r="AL65" i="1"/>
  <c r="AM131" i="1"/>
  <c r="AM159" i="7" l="1"/>
  <c r="AL389" i="1"/>
  <c r="AM65" i="1"/>
  <c r="AM100" i="7" l="1"/>
  <c r="AL110" i="1"/>
  <c r="AM389" i="1"/>
  <c r="AM66" i="7" l="1"/>
  <c r="AL168" i="1"/>
  <c r="AM110" i="1"/>
  <c r="AM39" i="7" l="1"/>
  <c r="AL19" i="1"/>
  <c r="AM168" i="1"/>
  <c r="AM143" i="7" l="1"/>
  <c r="AL101" i="1"/>
  <c r="AM19" i="1"/>
  <c r="AM146" i="7" l="1"/>
  <c r="AL293" i="1"/>
  <c r="AM101" i="1"/>
  <c r="AM102" i="7" l="1"/>
  <c r="AL356" i="1"/>
  <c r="AM293" i="1"/>
  <c r="AM101" i="7" l="1"/>
  <c r="AL205" i="1"/>
  <c r="AM356" i="1"/>
  <c r="AM116" i="7" l="1"/>
  <c r="AL202" i="1"/>
  <c r="AM205" i="1"/>
  <c r="AM53" i="7" l="1"/>
  <c r="AL13" i="1"/>
  <c r="AM202" i="1"/>
  <c r="AM57" i="7" l="1"/>
  <c r="AL371" i="1"/>
  <c r="AM13" i="1"/>
  <c r="AM49" i="7" l="1"/>
  <c r="AL343" i="1"/>
  <c r="AM371" i="1"/>
  <c r="AM31" i="7" l="1"/>
  <c r="AL236" i="1"/>
  <c r="AM343" i="1"/>
  <c r="AM24" i="7" l="1"/>
  <c r="AL384" i="1"/>
  <c r="AM236" i="1"/>
  <c r="AM46" i="7" l="1"/>
  <c r="AL370" i="1"/>
  <c r="AM384" i="1"/>
  <c r="AM114" i="7" l="1"/>
  <c r="AL76" i="1"/>
  <c r="AM370" i="1"/>
  <c r="AM183" i="7" l="1"/>
  <c r="AL44" i="1"/>
  <c r="AM76" i="1"/>
  <c r="AM92" i="7" l="1"/>
  <c r="AL333" i="1"/>
  <c r="AM44" i="1"/>
  <c r="AM18" i="7" l="1"/>
  <c r="AL272" i="1"/>
  <c r="AM333" i="1"/>
  <c r="AM178" i="7" l="1"/>
  <c r="AL55" i="1"/>
  <c r="AM272" i="1"/>
  <c r="AM20" i="7" l="1"/>
  <c r="AL181" i="1"/>
  <c r="AM55" i="1"/>
  <c r="AM95" i="7" l="1"/>
  <c r="AL180" i="1"/>
  <c r="AM181" i="1"/>
  <c r="AM185" i="7" l="1"/>
  <c r="AL82" i="1"/>
  <c r="AM180" i="1"/>
  <c r="AM164" i="7" l="1"/>
  <c r="AL388" i="1"/>
  <c r="AM82" i="1"/>
  <c r="AM144" i="7" l="1"/>
  <c r="AL193" i="1"/>
  <c r="AM388" i="1"/>
  <c r="AM196" i="7" l="1"/>
  <c r="AL60" i="1"/>
  <c r="AM193" i="1"/>
  <c r="AM157" i="7" l="1"/>
  <c r="AL284" i="1"/>
  <c r="AM60" i="1"/>
  <c r="AM42" i="7" l="1"/>
  <c r="AL16" i="1"/>
  <c r="AM284" i="1"/>
  <c r="AM162" i="7" l="1"/>
  <c r="AL235" i="1"/>
  <c r="AM16" i="1"/>
  <c r="AM140" i="7" l="1"/>
  <c r="AL68" i="1"/>
  <c r="AM235" i="1"/>
  <c r="AM142" i="7" l="1"/>
  <c r="AL206" i="1"/>
  <c r="AM68" i="1"/>
  <c r="AM132" i="7" l="1"/>
  <c r="AL381" i="1"/>
  <c r="AM206" i="1"/>
  <c r="AM129" i="7" l="1"/>
  <c r="AL185" i="1"/>
  <c r="AM381" i="1"/>
  <c r="AM44" i="7" l="1"/>
  <c r="AL48" i="1"/>
  <c r="AM185" i="1"/>
  <c r="AM36" i="7" l="1"/>
  <c r="AL300" i="1"/>
  <c r="AM48" i="1"/>
  <c r="AM113" i="7" l="1"/>
  <c r="AL187" i="1"/>
  <c r="AM300" i="1"/>
  <c r="AM88" i="7" l="1"/>
  <c r="AL264" i="1"/>
  <c r="AM187" i="1"/>
  <c r="AM149" i="7" l="1"/>
  <c r="AL127" i="1"/>
  <c r="AM264" i="1"/>
  <c r="AM90" i="7" l="1"/>
  <c r="AL301" i="1"/>
  <c r="AM127" i="1"/>
  <c r="AM99" i="7" l="1"/>
  <c r="AL306" i="1"/>
  <c r="AM301" i="1"/>
  <c r="AM15" i="7" l="1"/>
  <c r="AL175" i="1"/>
  <c r="AM306" i="1"/>
  <c r="AM47" i="7" l="1"/>
  <c r="AL140" i="1"/>
  <c r="AM175" i="1"/>
  <c r="AM38" i="7" l="1"/>
  <c r="AL47" i="1"/>
  <c r="AM140" i="1"/>
  <c r="AM29" i="7" l="1"/>
  <c r="AL212" i="1"/>
  <c r="AM47" i="1"/>
  <c r="AM167" i="7" l="1"/>
  <c r="AL114" i="1"/>
  <c r="AM212" i="1"/>
  <c r="AM43" i="7" l="1"/>
  <c r="AL53" i="1"/>
  <c r="AM114" i="1"/>
  <c r="AM134" i="7" l="1"/>
  <c r="AL4" i="1"/>
  <c r="AM53" i="1"/>
  <c r="AM12" i="7" l="1"/>
  <c r="AL98" i="1"/>
  <c r="AM4" i="1"/>
  <c r="AM163" i="7" l="1"/>
  <c r="AL136" i="1"/>
  <c r="AM98" i="1"/>
  <c r="AM67" i="7" l="1"/>
  <c r="AL121" i="1"/>
  <c r="AM136" i="1"/>
  <c r="AM27" i="7" l="1"/>
  <c r="AL123" i="1"/>
  <c r="AM121" i="1"/>
  <c r="AM126" i="7" l="1"/>
  <c r="AL279" i="1"/>
  <c r="AM123" i="1"/>
  <c r="AM118" i="7" l="1"/>
  <c r="AL258" i="1"/>
  <c r="AM279" i="1"/>
  <c r="AM21" i="7" l="1"/>
  <c r="AL151" i="1"/>
  <c r="AM258" i="1"/>
  <c r="AM51" i="7" l="1"/>
  <c r="AL134" i="1"/>
  <c r="AM151" i="1"/>
  <c r="AM94" i="7" l="1"/>
  <c r="AL190" i="1"/>
  <c r="AM134" i="1"/>
  <c r="AM11" i="7" l="1"/>
  <c r="AL137" i="1"/>
  <c r="AM190" i="1"/>
  <c r="AM35" i="7" l="1"/>
  <c r="AL234" i="1"/>
  <c r="AM137" i="1"/>
  <c r="AM5" i="7" l="1"/>
  <c r="AL360" i="1"/>
  <c r="AM234" i="1"/>
  <c r="AM105" i="7" l="1"/>
  <c r="AL172" i="1"/>
  <c r="AM360" i="1"/>
  <c r="AM14" i="7" l="1"/>
  <c r="AL87" i="1"/>
  <c r="AM172" i="1"/>
  <c r="AM37" i="7" l="1"/>
  <c r="AL64" i="1"/>
  <c r="AM87" i="1"/>
  <c r="AM161" i="7" l="1"/>
  <c r="AL340" i="1"/>
  <c r="AM64" i="1"/>
  <c r="AM87" i="7" l="1"/>
  <c r="AL39" i="1"/>
  <c r="AM340" i="1"/>
  <c r="AM80" i="7" l="1"/>
  <c r="AL229" i="1"/>
  <c r="AM39" i="1"/>
  <c r="AM13" i="7" l="1"/>
  <c r="AL239" i="1"/>
  <c r="AM229" i="1"/>
  <c r="AM150" i="7" l="1"/>
  <c r="AL224" i="1"/>
  <c r="AM239" i="1"/>
  <c r="AL4" i="7" l="1"/>
  <c r="AL89" i="7" s="1"/>
  <c r="AL33" i="7" s="1"/>
  <c r="AL141" i="7" s="1"/>
  <c r="AL120" i="7" s="1"/>
  <c r="AL169" i="7" s="1"/>
  <c r="AL176" i="7" s="1"/>
  <c r="AL171" i="7" s="1"/>
  <c r="AL110" i="7" s="1"/>
  <c r="AL48" i="7" s="1"/>
  <c r="AL17" i="7" s="1"/>
  <c r="AL7" i="7" s="1"/>
  <c r="AL135" i="7" s="1"/>
  <c r="AL16" i="7" s="1"/>
  <c r="AL151" i="7" s="1"/>
  <c r="AL96" i="7" s="1"/>
  <c r="AL41" i="7" s="1"/>
  <c r="AL133" i="7" s="1"/>
  <c r="AL174" i="7" s="1"/>
  <c r="AL166" i="7" s="1"/>
  <c r="AL93" i="7" s="1"/>
  <c r="AL28" i="7" s="1"/>
  <c r="AL32" i="7" s="1"/>
  <c r="AL9" i="7" s="1"/>
  <c r="AL121" i="7" s="1"/>
  <c r="AL98" i="7" s="1"/>
  <c r="AL168" i="7" s="1"/>
  <c r="AL128" i="7" s="1"/>
  <c r="AL30" i="7" s="1"/>
  <c r="AL158" i="7" s="1"/>
  <c r="AL147" i="7" s="1"/>
  <c r="AL59" i="7" s="1"/>
  <c r="AL139" i="7" s="1"/>
  <c r="AL108" i="7" s="1"/>
  <c r="AL91" i="7" s="1"/>
  <c r="AL10" i="7" s="1"/>
  <c r="AL123" i="7" s="1"/>
  <c r="AL50" i="7" s="1"/>
  <c r="AL104" i="7" s="1"/>
  <c r="AL152" i="7" s="1"/>
  <c r="AL6" i="7" s="1"/>
  <c r="AL115" i="7" s="1"/>
  <c r="AL26" i="7" s="1"/>
  <c r="AL109" i="7" s="1"/>
  <c r="AL145" i="7" s="1"/>
  <c r="AL172" i="7" s="1"/>
  <c r="AL8" i="7" s="1"/>
  <c r="AL136" i="7" s="1"/>
  <c r="AL22" i="7" s="1"/>
  <c r="AL119" i="7" s="1"/>
  <c r="AL170" i="7" s="1"/>
  <c r="AL160" i="7" s="1"/>
  <c r="AL23" i="7" s="1"/>
  <c r="AL117" i="7" s="1"/>
  <c r="AL40" i="7" s="1"/>
  <c r="AL25" i="7" s="1"/>
  <c r="AL107" i="7" s="1"/>
  <c r="AL131" i="7" s="1"/>
  <c r="AL106" i="7" s="1"/>
  <c r="AL154" i="7" s="1"/>
  <c r="AL97" i="7" s="1"/>
  <c r="AL173" i="7" s="1"/>
  <c r="AL111" i="7" s="1"/>
  <c r="AL103" i="7" s="1"/>
  <c r="AL175" i="7" s="1"/>
  <c r="AL177" i="7" s="1"/>
  <c r="AM19" i="7"/>
  <c r="AL188" i="1"/>
  <c r="AM224" i="1"/>
  <c r="AM165" i="7" l="1"/>
  <c r="AL362" i="1"/>
  <c r="AM188" i="1"/>
  <c r="AM4" i="7" l="1"/>
  <c r="AL377" i="1"/>
  <c r="AM362" i="1"/>
  <c r="AM89" i="7" l="1"/>
  <c r="AL213" i="1"/>
  <c r="AM377" i="1"/>
  <c r="AM33" i="7" l="1"/>
  <c r="AL34" i="1"/>
  <c r="AM213" i="1"/>
  <c r="AM141" i="7" l="1"/>
  <c r="AL214" i="1"/>
  <c r="AM34" i="1"/>
  <c r="AM120" i="7" l="1"/>
  <c r="AL201" i="1"/>
  <c r="AM214" i="1"/>
  <c r="AM169" i="7" l="1"/>
  <c r="AL222" i="1"/>
  <c r="AM201" i="1"/>
  <c r="AM176" i="7" l="1"/>
  <c r="AL70" i="1"/>
  <c r="AM222" i="1"/>
  <c r="AM171" i="7" l="1"/>
  <c r="AL75" i="1"/>
  <c r="AM70" i="1"/>
  <c r="AM110" i="7" l="1"/>
  <c r="AL116" i="1"/>
  <c r="AM75" i="1"/>
  <c r="AM48" i="7" l="1"/>
  <c r="AL232" i="1"/>
  <c r="AM116" i="1"/>
  <c r="AM17" i="7" l="1"/>
  <c r="AL241" i="1"/>
  <c r="AM232" i="1"/>
  <c r="AM7" i="7" l="1"/>
  <c r="AL320" i="1"/>
  <c r="AM241" i="1"/>
  <c r="AM135" i="7" l="1"/>
  <c r="AL233" i="1"/>
  <c r="AM320" i="1"/>
  <c r="AM16" i="7" l="1"/>
  <c r="AL276" i="1"/>
  <c r="AM233" i="1"/>
  <c r="AM151" i="7" l="1"/>
  <c r="AL207" i="1"/>
  <c r="AM276" i="1"/>
  <c r="AM96" i="7" l="1"/>
  <c r="AL171" i="1"/>
  <c r="AM207" i="1"/>
  <c r="AM41" i="7" l="1"/>
  <c r="AL318" i="1"/>
  <c r="AM171" i="1"/>
  <c r="AM133" i="7" l="1"/>
  <c r="AL257" i="1"/>
  <c r="AM318" i="1"/>
  <c r="AM174" i="7" l="1"/>
  <c r="AL51" i="1"/>
  <c r="AM257" i="1"/>
  <c r="AM166" i="7" l="1"/>
  <c r="AL104" i="1"/>
  <c r="AM51" i="1"/>
  <c r="AM93" i="7" l="1"/>
  <c r="AL100" i="1"/>
  <c r="AM104" i="1"/>
  <c r="AM28" i="7" l="1"/>
  <c r="AL174" i="1"/>
  <c r="AM100" i="1"/>
  <c r="AM32" i="7" l="1"/>
  <c r="AL192" i="1"/>
  <c r="AM174" i="1"/>
  <c r="AM9" i="7" l="1"/>
  <c r="AL354" i="1"/>
  <c r="AM192" i="1"/>
  <c r="AM121" i="7" l="1"/>
  <c r="AL252" i="1"/>
  <c r="AM354" i="1"/>
  <c r="AM98" i="7" l="1"/>
  <c r="AL197" i="1"/>
  <c r="AM252" i="1"/>
  <c r="AM168" i="7" l="1"/>
  <c r="AL191" i="1"/>
  <c r="AM197" i="1"/>
  <c r="AM128" i="7" l="1"/>
  <c r="AL99" i="1"/>
  <c r="AM191" i="1"/>
  <c r="AM30" i="7" l="1"/>
  <c r="AL128" i="1"/>
  <c r="AM99" i="1"/>
  <c r="AM158" i="7" l="1"/>
  <c r="AL328" i="1"/>
  <c r="AM128" i="1"/>
  <c r="AM147" i="7" l="1"/>
  <c r="AL158" i="1"/>
  <c r="AM328" i="1"/>
  <c r="AM59" i="7" l="1"/>
  <c r="AL18" i="1"/>
  <c r="AM158" i="1"/>
  <c r="AM139" i="7" l="1"/>
  <c r="AL143" i="1"/>
  <c r="AM18" i="1"/>
  <c r="AM108" i="7" l="1"/>
  <c r="AL155" i="1"/>
  <c r="AM143" i="1"/>
  <c r="AM91" i="7" l="1"/>
  <c r="AL277" i="1"/>
  <c r="AM155" i="1"/>
  <c r="AM10" i="7" l="1"/>
  <c r="AL62" i="1"/>
  <c r="AM277" i="1"/>
  <c r="AM123" i="7" l="1"/>
  <c r="AL274" i="1"/>
  <c r="AM62" i="1"/>
  <c r="AM50" i="7" l="1"/>
  <c r="AL294" i="1"/>
  <c r="AM274" i="1"/>
  <c r="AM104" i="7" l="1"/>
  <c r="AL173" i="1"/>
  <c r="AM294" i="1"/>
  <c r="AM152" i="7" l="1"/>
  <c r="AL164" i="1"/>
  <c r="AM173" i="1"/>
  <c r="AM6" i="7" l="1"/>
  <c r="AL282" i="1"/>
  <c r="AM164" i="1"/>
  <c r="AM115" i="7" l="1"/>
  <c r="AL122" i="1"/>
  <c r="AM282" i="1"/>
  <c r="AM26" i="7" l="1"/>
  <c r="AL369" i="1"/>
  <c r="AM122" i="1"/>
  <c r="AM109" i="7" l="1"/>
  <c r="AL144" i="1"/>
  <c r="AM369" i="1"/>
  <c r="AM145" i="7" l="1"/>
  <c r="AL38" i="1"/>
  <c r="AM144" i="1"/>
  <c r="AM172" i="7" l="1"/>
  <c r="AL97" i="1"/>
  <c r="AM38" i="1"/>
  <c r="AM8" i="7" l="1"/>
  <c r="AL298" i="1"/>
  <c r="AM97" i="1"/>
  <c r="AM136" i="7" l="1"/>
  <c r="AL84" i="1"/>
  <c r="AM298" i="1"/>
  <c r="AM22" i="7" l="1"/>
  <c r="AL250" i="1"/>
  <c r="AM84" i="1"/>
  <c r="AM119" i="7" l="1"/>
  <c r="AL183" i="1"/>
  <c r="AM250" i="1"/>
  <c r="AM170" i="7" l="1"/>
  <c r="AL245" i="1"/>
  <c r="AM183" i="1"/>
  <c r="AM160" i="7" l="1"/>
  <c r="AL198" i="1"/>
  <c r="AM245" i="1"/>
  <c r="AM23" i="7" l="1"/>
  <c r="AL154" i="1"/>
  <c r="AM198" i="1"/>
  <c r="AM117" i="7" l="1"/>
  <c r="AL189" i="1"/>
  <c r="AM154" i="1"/>
  <c r="AM40" i="7" l="1"/>
  <c r="AL196" i="1"/>
  <c r="AM189" i="1"/>
  <c r="AM25" i="7" l="1"/>
  <c r="AL167" i="1"/>
  <c r="AM196" i="1"/>
  <c r="AM107" i="7" l="1"/>
  <c r="AL255" i="1"/>
  <c r="AM167" i="1"/>
  <c r="AM131" i="7" l="1"/>
  <c r="AL358" i="1"/>
  <c r="AM255" i="1"/>
  <c r="AM106" i="7" l="1"/>
  <c r="AL259" i="1"/>
  <c r="AM358" i="1"/>
  <c r="AM154" i="7" l="1"/>
  <c r="AL49" i="1"/>
  <c r="AM259" i="1"/>
  <c r="AM97" i="7" l="1"/>
  <c r="AL289" i="1"/>
  <c r="AM49" i="1"/>
  <c r="AM173" i="7" l="1"/>
  <c r="AL109" i="1"/>
  <c r="AM289" i="1"/>
  <c r="AM111" i="7" l="1"/>
  <c r="AL111" i="1"/>
  <c r="AM109" i="1"/>
  <c r="AM103" i="7" l="1"/>
  <c r="AL77" i="1"/>
  <c r="AM111" i="1"/>
  <c r="AM177" i="7" l="1"/>
  <c r="AM175" i="7"/>
  <c r="AL273" i="1"/>
  <c r="AM77" i="1"/>
  <c r="AL302" i="1" l="1"/>
  <c r="AM273" i="1"/>
  <c r="AL364" i="1" l="1"/>
  <c r="AM302" i="1"/>
  <c r="AL159" i="1" l="1"/>
  <c r="AM364" i="1"/>
  <c r="AL35" i="1" l="1"/>
  <c r="AM159" i="1"/>
  <c r="AL41" i="1" l="1"/>
  <c r="AM35" i="1"/>
  <c r="AL376" i="1" l="1"/>
  <c r="AM41" i="1"/>
  <c r="AL244" i="1" l="1"/>
  <c r="AM376" i="1"/>
  <c r="AL61" i="1" l="1"/>
  <c r="AM244" i="1"/>
  <c r="AL149" i="1" l="1"/>
  <c r="AM61" i="1"/>
  <c r="AL105" i="1" l="1"/>
  <c r="AM149" i="1"/>
  <c r="AL14" i="1" l="1"/>
  <c r="AM105" i="1"/>
  <c r="AL89" i="1" l="1"/>
  <c r="AM14" i="1"/>
  <c r="AL352" i="1" l="1"/>
  <c r="AM89" i="1"/>
  <c r="AL115" i="1" l="1"/>
  <c r="AM352" i="1"/>
  <c r="AL153" i="1" l="1"/>
  <c r="AM115" i="1"/>
  <c r="AL225" i="1" l="1"/>
  <c r="AM153" i="1"/>
  <c r="AL146" i="1" l="1"/>
  <c r="AM225" i="1"/>
  <c r="AL5" i="1" l="1"/>
  <c r="AM146" i="1"/>
  <c r="AL329" i="1" l="1"/>
  <c r="AM5" i="1"/>
  <c r="AL138" i="1" l="1"/>
  <c r="AM329" i="1"/>
  <c r="AL102" i="1" l="1"/>
  <c r="AM138" i="1"/>
  <c r="AL37" i="1" l="1"/>
  <c r="AM102" i="1"/>
  <c r="AL203" i="1" l="1"/>
  <c r="AM37" i="1"/>
  <c r="AL323" i="1" l="1"/>
  <c r="AM203" i="1"/>
  <c r="AL269" i="1" l="1"/>
  <c r="AM323" i="1"/>
  <c r="AL217" i="1" l="1"/>
  <c r="AM269" i="1"/>
  <c r="AL332" i="1" l="1"/>
  <c r="AM217" i="1"/>
  <c r="AL295" i="1" l="1"/>
  <c r="AM332" i="1"/>
  <c r="AL93" i="1" l="1"/>
  <c r="AM295" i="1"/>
  <c r="AL42" i="1" l="1"/>
  <c r="AM93" i="1"/>
  <c r="AL113" i="1" l="1"/>
  <c r="AM42" i="1"/>
  <c r="AL243" i="1" l="1"/>
  <c r="AM113" i="1"/>
  <c r="AL304" i="1" l="1"/>
  <c r="AM243" i="1"/>
  <c r="AL315" i="1" l="1"/>
  <c r="AM304" i="1"/>
  <c r="AL166" i="1" l="1"/>
  <c r="AM315" i="1"/>
  <c r="AL342" i="1" l="1"/>
  <c r="AM166" i="1"/>
  <c r="AL194" i="1" l="1"/>
  <c r="AM342" i="1"/>
  <c r="AL63" i="1" l="1"/>
  <c r="AM194" i="1"/>
  <c r="AL59" i="1" l="1"/>
  <c r="AM63" i="1"/>
  <c r="AL316" i="1" l="1"/>
  <c r="AM59" i="1"/>
  <c r="AL43" i="1" l="1"/>
  <c r="AM316" i="1"/>
  <c r="AL184" i="1" l="1"/>
  <c r="AM43" i="1"/>
  <c r="AL238" i="1" l="1"/>
  <c r="AM184" i="1"/>
  <c r="AL126" i="1" l="1"/>
  <c r="AM238" i="1"/>
  <c r="AL107" i="1" l="1"/>
  <c r="AM126" i="1"/>
  <c r="AL361" i="1" l="1"/>
  <c r="AM107" i="1"/>
  <c r="AL36" i="1" l="1"/>
  <c r="AM361" i="1"/>
  <c r="AL157" i="1" l="1"/>
  <c r="AM36" i="1"/>
  <c r="AL314" i="1" l="1"/>
  <c r="AM157" i="1"/>
  <c r="AL169" i="1" l="1"/>
  <c r="AM314" i="1"/>
  <c r="AL124" i="1" l="1"/>
  <c r="AM169" i="1"/>
  <c r="AL8" i="1" l="1"/>
  <c r="AM124" i="1"/>
  <c r="AL162" i="1" l="1"/>
  <c r="AM8" i="1"/>
  <c r="AL23" i="1" l="1"/>
  <c r="AM162" i="1"/>
  <c r="AL54" i="1" l="1"/>
  <c r="AM23" i="1"/>
  <c r="AL226" i="1" l="1"/>
  <c r="AM54" i="1"/>
  <c r="AL182" i="1" l="1"/>
  <c r="AM226" i="1"/>
  <c r="AL12" i="1" l="1"/>
  <c r="AM182" i="1"/>
  <c r="AL195" i="1" l="1"/>
  <c r="AM12" i="1"/>
  <c r="AL265" i="1" l="1"/>
  <c r="AM195" i="1"/>
  <c r="AL28" i="1" l="1"/>
  <c r="AM265" i="1"/>
  <c r="AL211" i="1" l="1"/>
  <c r="AM28" i="1"/>
  <c r="AL321" i="1" l="1"/>
  <c r="AM211" i="1"/>
  <c r="AL209" i="1" l="1"/>
  <c r="AM321" i="1"/>
  <c r="AL368" i="1" l="1"/>
  <c r="AM209" i="1"/>
  <c r="AL290" i="1" l="1"/>
  <c r="AM368" i="1"/>
  <c r="AL139" i="1" l="1"/>
  <c r="AM290" i="1"/>
  <c r="AL31" i="1" l="1"/>
  <c r="AM139" i="1"/>
  <c r="AL56" i="1" l="1"/>
  <c r="AM31" i="1"/>
  <c r="AL312" i="1" l="1"/>
  <c r="AM56" i="1"/>
  <c r="AL80" i="1" l="1"/>
  <c r="AM312" i="1"/>
  <c r="AL311" i="1" l="1"/>
  <c r="AM80" i="1"/>
  <c r="AL270" i="1" l="1"/>
  <c r="AM311" i="1"/>
  <c r="AL20" i="1" l="1"/>
  <c r="AM270" i="1"/>
  <c r="AL163" i="1" l="1"/>
  <c r="AM20" i="1"/>
  <c r="AL21" i="1" l="1"/>
  <c r="AM163" i="1"/>
  <c r="AL351" i="1" l="1"/>
  <c r="AM21" i="1"/>
  <c r="AL230" i="1" l="1"/>
  <c r="AM351" i="1"/>
  <c r="AL117" i="1" l="1"/>
  <c r="AM230" i="1"/>
  <c r="AL25" i="1" l="1"/>
  <c r="AM117" i="1"/>
  <c r="AL366" i="1" l="1"/>
  <c r="AM25" i="1"/>
  <c r="AL152" i="1" l="1"/>
  <c r="AM366" i="1"/>
  <c r="AL319" i="1" l="1"/>
  <c r="AM152" i="1"/>
  <c r="AL150" i="1" l="1"/>
  <c r="AM319" i="1"/>
  <c r="AL118" i="1" l="1"/>
  <c r="AM150" i="1"/>
  <c r="AL135" i="1" l="1"/>
  <c r="AM118" i="1"/>
  <c r="AL266" i="1" l="1"/>
  <c r="AM135" i="1"/>
  <c r="AL375" i="1" l="1"/>
  <c r="AM266" i="1"/>
  <c r="AL15" i="1" l="1"/>
  <c r="AM375" i="1"/>
  <c r="AL335" i="1" l="1"/>
  <c r="AM15" i="1"/>
  <c r="AL228" i="1" l="1"/>
  <c r="AM335" i="1"/>
  <c r="AL268" i="1" l="1"/>
  <c r="AM228" i="1"/>
  <c r="AL220" i="1" l="1"/>
  <c r="AM268" i="1"/>
  <c r="AL9" i="1" l="1"/>
  <c r="AM220" i="1"/>
  <c r="AL287" i="1" l="1"/>
  <c r="AM9" i="1"/>
  <c r="AL145" i="1" l="1"/>
  <c r="AM287" i="1"/>
  <c r="AL345" i="1" l="1"/>
  <c r="AM145" i="1"/>
  <c r="AL11" i="1" l="1"/>
  <c r="AM345" i="1"/>
  <c r="AL142" i="1" l="1"/>
  <c r="AM11" i="1"/>
  <c r="AL24" i="1" l="1"/>
  <c r="AM142" i="1"/>
  <c r="AL94" i="1" l="1"/>
  <c r="AM24" i="1"/>
  <c r="AL67" i="1" l="1"/>
  <c r="AM94" i="1"/>
  <c r="AL348" i="1" l="1"/>
  <c r="AM67" i="1"/>
  <c r="AL141" i="1" l="1"/>
  <c r="AM348" i="1"/>
  <c r="AL26" i="1" l="1"/>
  <c r="AM141" i="1"/>
  <c r="AL379" i="1" l="1"/>
  <c r="AM26" i="1"/>
  <c r="AL199" i="1" l="1"/>
  <c r="AM379" i="1"/>
  <c r="AL267" i="1" l="1"/>
  <c r="AM199" i="1"/>
  <c r="AL303" i="1" l="1"/>
  <c r="AM267" i="1"/>
  <c r="AL291" i="1" l="1"/>
  <c r="AM303" i="1"/>
  <c r="AL210" i="1" l="1"/>
  <c r="AM291" i="1"/>
  <c r="AL22" i="1" l="1"/>
  <c r="AM210" i="1"/>
  <c r="AL30" i="1" l="1"/>
  <c r="AM22" i="1"/>
  <c r="AL299" i="1" l="1"/>
  <c r="AM30" i="1"/>
  <c r="AL325" i="1" l="1"/>
  <c r="AM299" i="1"/>
  <c r="AL307" i="1" l="1"/>
  <c r="AM325" i="1"/>
  <c r="AL341" i="1" l="1"/>
  <c r="AM307" i="1"/>
  <c r="AL263" i="1" l="1"/>
  <c r="AM341" i="1"/>
  <c r="AL17" i="1" l="1"/>
  <c r="AM263" i="1"/>
  <c r="AL283" i="1" l="1"/>
  <c r="AM17" i="1"/>
  <c r="AL271" i="1" l="1"/>
  <c r="AM283" i="1"/>
  <c r="AL27" i="1" l="1"/>
  <c r="AM271" i="1"/>
  <c r="AL32" i="1" l="1"/>
  <c r="AM27" i="1"/>
  <c r="AL330" i="1" l="1"/>
  <c r="AM32" i="1"/>
  <c r="AL7" i="1" l="1"/>
  <c r="AM330" i="1"/>
  <c r="AL79" i="1" l="1"/>
  <c r="AM7" i="1"/>
  <c r="AL378" i="1" l="1"/>
  <c r="AM79" i="1"/>
  <c r="AL29" i="1" l="1"/>
  <c r="AM378" i="1"/>
  <c r="AL262" i="1" l="1"/>
  <c r="AM29" i="1"/>
  <c r="AL218" i="1" l="1"/>
  <c r="AM262" i="1"/>
  <c r="AL338" i="1" l="1"/>
  <c r="AM218" i="1"/>
  <c r="AL317" i="1" l="1"/>
  <c r="AM338" i="1"/>
  <c r="AL305" i="1" l="1"/>
  <c r="AM317" i="1"/>
  <c r="AL40" i="1" l="1"/>
  <c r="AM305" i="1"/>
  <c r="AL216" i="1" l="1"/>
  <c r="AM40" i="1"/>
  <c r="AL46" i="1" l="1"/>
  <c r="AM216" i="1"/>
  <c r="AL147" i="1" l="1"/>
  <c r="AM46" i="1"/>
  <c r="AL231" i="1" l="1"/>
  <c r="AM147" i="1"/>
  <c r="AL327" i="1" l="1"/>
  <c r="AM231" i="1"/>
  <c r="AL285" i="1" l="1"/>
  <c r="AM327" i="1"/>
  <c r="AL223" i="1" l="1"/>
  <c r="AM285" i="1"/>
  <c r="AL292" i="1" l="1"/>
  <c r="AM223" i="1"/>
  <c r="AL221" i="1" l="1"/>
  <c r="AM292" i="1"/>
  <c r="AL156" i="1" l="1"/>
  <c r="AM221" i="1"/>
  <c r="AL247" i="1" l="1"/>
  <c r="AM156" i="1"/>
  <c r="AL72" i="1" l="1"/>
  <c r="AM247" i="1"/>
  <c r="AL339" i="1" l="1"/>
  <c r="AM72" i="1"/>
  <c r="AL256" i="1" l="1"/>
  <c r="AM339" i="1"/>
  <c r="AL254" i="1" l="1"/>
  <c r="AM256" i="1"/>
  <c r="AL73" i="1" l="1"/>
  <c r="AM254" i="1"/>
  <c r="AL112" i="1" l="1"/>
  <c r="AM73" i="1"/>
  <c r="AL246" i="1" l="1"/>
  <c r="AM112" i="1"/>
  <c r="AL129" i="1" l="1"/>
  <c r="AM246" i="1"/>
  <c r="AL313" i="1" l="1"/>
  <c r="AM129" i="1"/>
  <c r="AL349" i="1" l="1"/>
  <c r="AM313" i="1"/>
  <c r="AL120" i="1" l="1"/>
  <c r="AM349" i="1"/>
  <c r="AL148" i="1" l="1"/>
  <c r="AM120" i="1"/>
  <c r="AL95" i="1" l="1"/>
  <c r="AM148" i="1"/>
  <c r="AL281" i="1" l="1"/>
  <c r="AM95" i="1"/>
  <c r="AL33" i="1" l="1"/>
  <c r="AM281" i="1"/>
  <c r="AL176" i="1" l="1"/>
  <c r="AM33" i="1"/>
  <c r="AL249" i="1" l="1"/>
  <c r="AM176" i="1"/>
  <c r="AL177" i="1" l="1"/>
  <c r="AM249" i="1"/>
  <c r="AL227" i="1" l="1"/>
  <c r="AM177" i="1"/>
  <c r="AL322" i="1" l="1"/>
  <c r="AM227" i="1"/>
  <c r="AL6" i="1" l="1"/>
  <c r="AM322" i="1"/>
  <c r="AL119" i="1" l="1"/>
  <c r="AM6" i="1"/>
  <c r="AL296" i="1" l="1"/>
  <c r="AM119" i="1"/>
  <c r="AL57" i="1" l="1"/>
  <c r="AM296" i="1"/>
  <c r="AL350" i="1" l="1"/>
  <c r="AM57" i="1"/>
  <c r="AL347" i="1" l="1"/>
  <c r="AM350" i="1"/>
  <c r="AL170" i="1" l="1"/>
  <c r="AM347" i="1"/>
  <c r="AL50" i="1" l="1"/>
  <c r="AM170" i="1"/>
  <c r="AL71" i="1" l="1"/>
  <c r="AM50" i="1"/>
  <c r="AL372" i="1" l="1"/>
  <c r="AM71" i="1"/>
  <c r="AL367" i="1" l="1"/>
  <c r="AM372" i="1"/>
  <c r="AL380" i="1" l="1"/>
  <c r="AM367" i="1"/>
  <c r="AL10" i="1" l="1"/>
  <c r="AM380" i="1"/>
  <c r="AL160" i="1" l="1"/>
  <c r="AM10" i="1"/>
  <c r="AL310" i="1" l="1"/>
  <c r="AM160" i="1"/>
  <c r="AL242" i="1" l="1"/>
  <c r="AM310" i="1"/>
  <c r="AL363" i="1" l="1"/>
  <c r="AM242" i="1"/>
  <c r="AL278" i="1" l="1"/>
  <c r="AM363" i="1"/>
  <c r="AL336" i="1" l="1"/>
  <c r="AM336" i="1" s="1"/>
  <c r="AM278" i="1"/>
</calcChain>
</file>

<file path=xl/sharedStrings.xml><?xml version="1.0" encoding="utf-8"?>
<sst xmlns="http://schemas.openxmlformats.org/spreadsheetml/2006/main" count="2187" uniqueCount="736">
  <si>
    <t>Control</t>
  </si>
  <si>
    <t>HFpEF</t>
  </si>
  <si>
    <t>blank</t>
  </si>
  <si>
    <t>index</t>
  </si>
  <si>
    <t>m/z</t>
  </si>
  <si>
    <t>rt</t>
  </si>
  <si>
    <t>z</t>
  </si>
  <si>
    <t>コメント</t>
  </si>
  <si>
    <t>PC(16:0/22:6)</t>
  </si>
  <si>
    <t>PC</t>
  </si>
  <si>
    <t>FA</t>
  </si>
  <si>
    <t>PE(18:0/22:6)</t>
  </si>
  <si>
    <t>PE</t>
  </si>
  <si>
    <t>PC(18:0/22:6)</t>
  </si>
  <si>
    <t>PI(18:0/20:4)</t>
  </si>
  <si>
    <t>PI</t>
  </si>
  <si>
    <t>PE(16:0/22:6)</t>
  </si>
  <si>
    <t>PE(18:1/22:6)</t>
  </si>
  <si>
    <t>PE[p](16:0p/22:6)</t>
  </si>
  <si>
    <t>PE[p]</t>
  </si>
  <si>
    <t>PS(18:0/22:6)</t>
  </si>
  <si>
    <t>PS</t>
  </si>
  <si>
    <t>PE[p](18:0p/22:6)</t>
  </si>
  <si>
    <t>PE(18:0/20:4)</t>
  </si>
  <si>
    <t>PC(16:0/18:2)</t>
  </si>
  <si>
    <t>PC(18:2/22:6)</t>
  </si>
  <si>
    <t>PE(18:2/22:6)</t>
  </si>
  <si>
    <t>PG(16:0/18:1)</t>
  </si>
  <si>
    <t>PG</t>
  </si>
  <si>
    <t>PE[p](18:1p/22:6)</t>
  </si>
  <si>
    <t>CL(18:2/18:2/18:2/18:2)</t>
  </si>
  <si>
    <t>CL</t>
  </si>
  <si>
    <t>PC(16:0/20:4)</t>
  </si>
  <si>
    <t>PC(18:0/20:4)</t>
  </si>
  <si>
    <t>PI(18:0/22:6)</t>
  </si>
  <si>
    <t>PC(16:0/18:1)</t>
  </si>
  <si>
    <t>LPC(16:0)</t>
  </si>
  <si>
    <t>LPC</t>
  </si>
  <si>
    <t>PI(18:0/18:2)</t>
  </si>
  <si>
    <t>PC(18:0/18:2)</t>
  </si>
  <si>
    <t>PC(16:0/16:0)</t>
  </si>
  <si>
    <t>PI(18:0/20:3)</t>
  </si>
  <si>
    <t>PC[p](16:0p/22:6)</t>
  </si>
  <si>
    <t>PC[p]</t>
  </si>
  <si>
    <t>CL(18:2/18:2/18:2/22:6)</t>
  </si>
  <si>
    <t>PI(16:0/20:4)</t>
  </si>
  <si>
    <t>PI(16:0/18:2)</t>
  </si>
  <si>
    <t>PI(18:1/20:4), PI(16:0/22:5)</t>
  </si>
  <si>
    <t>CL(18:1/18:2/18:2/18:2)</t>
  </si>
  <si>
    <t>FA(18:2)</t>
  </si>
  <si>
    <t>PC(18:1/22:6)</t>
  </si>
  <si>
    <t>LPC(18:0)</t>
  </si>
  <si>
    <t>IS(LPE_d7)(18:1)</t>
  </si>
  <si>
    <t>IS</t>
  </si>
  <si>
    <t>PI(18:1/18:2)</t>
  </si>
  <si>
    <t>PC(16:0/22:5)</t>
  </si>
  <si>
    <t>SM(d18:1/16:0)</t>
  </si>
  <si>
    <t>SM</t>
  </si>
  <si>
    <t>SM(d18:1/20:0)</t>
  </si>
  <si>
    <t>PC(18:1/18:2)</t>
  </si>
  <si>
    <t>FA(18:1)</t>
  </si>
  <si>
    <t>PG(16:0/18:2)</t>
  </si>
  <si>
    <t>GM3(d18:1/20:0)</t>
  </si>
  <si>
    <t>GM3</t>
  </si>
  <si>
    <t>PC(18:0/18:1)</t>
  </si>
  <si>
    <t>PI(16:0/22:6)</t>
  </si>
  <si>
    <t>PE(18:0/18:2)</t>
  </si>
  <si>
    <t>PE(18:1/20:4)</t>
  </si>
  <si>
    <t>FA(22:6)</t>
  </si>
  <si>
    <t>PC[e](16:0e/22:6)</t>
  </si>
  <si>
    <t>PC[e]</t>
  </si>
  <si>
    <t>PI(18:0/22:5)</t>
  </si>
  <si>
    <t>PS(18:0/20:4)</t>
  </si>
  <si>
    <t>PC(18:2/18:2)</t>
  </si>
  <si>
    <t>SM(d18:1/22:0)</t>
  </si>
  <si>
    <t>CL(18:1/18:2/18:2/22:6)</t>
  </si>
  <si>
    <t>IS(PI_sn2d7)(15:0/18:1)</t>
  </si>
  <si>
    <t>PE(16:0/20:4)</t>
  </si>
  <si>
    <t>PE[p](20:0p/22:6)</t>
  </si>
  <si>
    <t>IS(LPC_d7)(18:1)</t>
  </si>
  <si>
    <t>PE[p](16:0p/20:4)</t>
  </si>
  <si>
    <t>PE(19:0/22:6)</t>
  </si>
  <si>
    <t>PC(17:0/22:6)</t>
  </si>
  <si>
    <t>SM(d18:1/24:1)</t>
  </si>
  <si>
    <t>CL(18:2/18:2/18:2/20:3)</t>
  </si>
  <si>
    <t>SM(d18:1/18:0)</t>
  </si>
  <si>
    <t>LPE</t>
  </si>
  <si>
    <t>LPC(22:6)</t>
  </si>
  <si>
    <t>PG(16:0/20:2), PG(18:0/18:2)</t>
  </si>
  <si>
    <t>PE(17:0/22:6)</t>
  </si>
  <si>
    <t>CL(18:1/18:1/18:2/18:2)</t>
  </si>
  <si>
    <t>IS(PS_sn2d7)(15:0/18:1)</t>
  </si>
  <si>
    <t>CL(18:2/18:2/22:6/22:6)</t>
  </si>
  <si>
    <t>PC(19:0/22:6)</t>
  </si>
  <si>
    <t>PE(16:0/18:2)</t>
  </si>
  <si>
    <t>PS(18:0/20:3)</t>
  </si>
  <si>
    <t>IS(Cer_sn1d7)(d18:1/15:0)</t>
  </si>
  <si>
    <t>LPC(18:2)</t>
  </si>
  <si>
    <t>CL(18:2/18:2/18:2/20:2)</t>
  </si>
  <si>
    <t>PE(20:1/22:6)</t>
  </si>
  <si>
    <t>LPE(18:0)</t>
  </si>
  <si>
    <t>PE[p](18:0p/20:4)</t>
  </si>
  <si>
    <t>GM3(d18:1/22:0)</t>
  </si>
  <si>
    <t>PE(18:1/18:2)</t>
  </si>
  <si>
    <t>GM3[NeuGc](d18:1/20:0)</t>
  </si>
  <si>
    <t>GM3[NeuGc]</t>
  </si>
  <si>
    <t>PI(17:0/20:4)</t>
  </si>
  <si>
    <t>PS(19:0/22:6)</t>
  </si>
  <si>
    <t>PE[p](18:0p/18:2)</t>
  </si>
  <si>
    <t>LPI(18:0)</t>
  </si>
  <si>
    <t>LPI</t>
  </si>
  <si>
    <t>BMP(22:6/22:6)</t>
  </si>
  <si>
    <t>BMP</t>
  </si>
  <si>
    <t>PC(18:0/20:3)</t>
  </si>
  <si>
    <t>IS(PG_sn2d7)(15:0/18:1)</t>
  </si>
  <si>
    <t>GM3(d18:1/18:0)</t>
  </si>
  <si>
    <t>PC(22:6/22:6)</t>
  </si>
  <si>
    <t>PC[p](18:1p/22:6)</t>
  </si>
  <si>
    <t>PI(19:0/20:4)</t>
  </si>
  <si>
    <t>SM(d18:1/24:0)</t>
  </si>
  <si>
    <t>PE(16:1/22:6)</t>
  </si>
  <si>
    <t>PS(18:2/22:5)</t>
  </si>
  <si>
    <t>PE[p](16:0p/18:2)</t>
  </si>
  <si>
    <t>PE[p](17:0p/22:6)</t>
  </si>
  <si>
    <t>PC(15:0/22:6)</t>
  </si>
  <si>
    <t>SM(d18:1/23:0)</t>
  </si>
  <si>
    <t>SM(d18:1/21:0)</t>
  </si>
  <si>
    <t>CL(18:2/18:2/20:3/22:6)</t>
  </si>
  <si>
    <t>PI(18:2/18:2)</t>
  </si>
  <si>
    <t>PE(20:0/22:6)</t>
  </si>
  <si>
    <t>CL(16:1/18:2/18:2/18:2)</t>
  </si>
  <si>
    <t>LPI(20:4)</t>
  </si>
  <si>
    <t>GM3(d18:2/20:0)</t>
  </si>
  <si>
    <t>IS(MG_d7)(18:1)</t>
  </si>
  <si>
    <t>PE[p](16:0p/20:5)</t>
  </si>
  <si>
    <t>LPC(18:1)</t>
  </si>
  <si>
    <t>PI(18:1/22:6)</t>
  </si>
  <si>
    <t>PE[p](20:1p/22:6)</t>
  </si>
  <si>
    <t>SM(d18:2/22:0)</t>
  </si>
  <si>
    <t>PE(19:0/20:4)</t>
  </si>
  <si>
    <t>PG(18:0/18:1)</t>
  </si>
  <si>
    <t>FA(20:4)</t>
  </si>
  <si>
    <t>LPE(16:0)</t>
  </si>
  <si>
    <t>PS(16:0/22:6)</t>
  </si>
  <si>
    <t>BMP(18:2/22:6)</t>
  </si>
  <si>
    <t>PE(18:2/18:2)</t>
  </si>
  <si>
    <t>GM3(d18:1/16:0)</t>
  </si>
  <si>
    <t>PS(18:0/20:5)</t>
  </si>
  <si>
    <t>PI(17:0/18:2)</t>
  </si>
  <si>
    <t>FA(20:5)</t>
  </si>
  <si>
    <t>PC[p](18:0p/22:6)</t>
  </si>
  <si>
    <t>PG(18:0/22:6)</t>
  </si>
  <si>
    <t>PI(16:0/20:5)</t>
  </si>
  <si>
    <t>PC(16:1/18:2)</t>
  </si>
  <si>
    <t>PC(20:0/22:6)</t>
  </si>
  <si>
    <t>IS(SM_sn2d9)(d18:1/18:1)</t>
  </si>
  <si>
    <t>PC[e](16:0e/22:5)</t>
  </si>
  <si>
    <t>PG(18:1/18:2)</t>
  </si>
  <si>
    <t>PE(18:0/20:3)</t>
  </si>
  <si>
    <t>GPPG(18:2/18:2)</t>
  </si>
  <si>
    <t>GPPG</t>
  </si>
  <si>
    <t>FA(22:5)</t>
  </si>
  <si>
    <t>PS(20:4/20:4), PS(18:2/22:6)</t>
  </si>
  <si>
    <t>LPG(22:6)</t>
  </si>
  <si>
    <t>LPG</t>
  </si>
  <si>
    <t>PS(18:0/22:4)</t>
  </si>
  <si>
    <t>PE(16:0/20:5)</t>
  </si>
  <si>
    <t>LPS</t>
  </si>
  <si>
    <t>PC(17:1/22:6)</t>
  </si>
  <si>
    <t>PC[e](18:1e/22:6)</t>
  </si>
  <si>
    <t>SM(d18:1/19:0)</t>
  </si>
  <si>
    <t>FA(20:1)</t>
  </si>
  <si>
    <t>PE(20:2/22:6)</t>
  </si>
  <si>
    <t>GM3[NeuGc](d18:1/18:0)</t>
  </si>
  <si>
    <t>PC[p](16:0p/18:2)</t>
  </si>
  <si>
    <t>PE(18:3/22:6)</t>
  </si>
  <si>
    <t>GM3(d18:1/19:0), GM3(d17:1/20:0)</t>
  </si>
  <si>
    <t>SM(d18:0/16:0)</t>
  </si>
  <si>
    <t>LPE[p](16:0p)</t>
  </si>
  <si>
    <t>LPE[p]</t>
  </si>
  <si>
    <t>PC(18:0/20:2)</t>
  </si>
  <si>
    <t>FA(16:1)</t>
  </si>
  <si>
    <t>PC[e](16:0e/16:0)</t>
  </si>
  <si>
    <t>PE[p](18:1p/18:2)</t>
  </si>
  <si>
    <t>LPA(16:0)</t>
  </si>
  <si>
    <t>LPA</t>
  </si>
  <si>
    <t>MLCL(18:2/18:2/18:2)</t>
  </si>
  <si>
    <t>MLCL</t>
  </si>
  <si>
    <t>PS(16:0/20:4)</t>
  </si>
  <si>
    <t>PI(17:0/22:6)</t>
  </si>
  <si>
    <t>PS[p](18:0p/22:6)</t>
  </si>
  <si>
    <t>PS[p]</t>
  </si>
  <si>
    <t>LPE(18:1)</t>
  </si>
  <si>
    <t>PG(16:0/22:6)</t>
  </si>
  <si>
    <t>PS(17:0/22:6)</t>
  </si>
  <si>
    <t>CL(16:1/18:2/18:2/22:6)</t>
  </si>
  <si>
    <t>PS(22:5/22:6)</t>
  </si>
  <si>
    <t>PE[p](16:0p/22:4)</t>
  </si>
  <si>
    <t>PS(16:0/18:2)</t>
  </si>
  <si>
    <t>CL(18:2/18:2/18:2/18:3)</t>
  </si>
  <si>
    <t>GM3(d18:1/24:0)</t>
  </si>
  <si>
    <t>PC(19:0/20:4)</t>
  </si>
  <si>
    <t>FA(18:3)</t>
  </si>
  <si>
    <t>Cer(d18:1/20:0)</t>
  </si>
  <si>
    <t>Cer</t>
  </si>
  <si>
    <t>LPG(18:2)</t>
  </si>
  <si>
    <t>PC(18:2/19:0)</t>
  </si>
  <si>
    <t>PE(16:0/16:0)</t>
  </si>
  <si>
    <t>CL(16:0/18:1/18:2/18:2)</t>
  </si>
  <si>
    <t>PA(16:0/18:1)</t>
  </si>
  <si>
    <t>PA</t>
  </si>
  <si>
    <t>GPPG(18:2/22:6)</t>
  </si>
  <si>
    <t>CL(18:1/18:2/22:6/22:6)</t>
  </si>
  <si>
    <t>PE(16:0/18:0)</t>
  </si>
  <si>
    <t>CoA(18:1)</t>
  </si>
  <si>
    <t>CoA</t>
  </si>
  <si>
    <t>TLCL(22:6)</t>
  </si>
  <si>
    <t>TLCL</t>
  </si>
  <si>
    <t>LPC(20:4)</t>
  </si>
  <si>
    <t>LPG(16:0)</t>
  </si>
  <si>
    <t>CoA(18:2)</t>
  </si>
  <si>
    <t>CL(16:0/18:1/18:1/18:2)</t>
  </si>
  <si>
    <t>GD1(d18:1/20:0)</t>
  </si>
  <si>
    <t>GD1</t>
  </si>
  <si>
    <t>LPC(17:0)</t>
  </si>
  <si>
    <t>PE[p](22:1p/22:6)</t>
  </si>
  <si>
    <t>PIP1(18:0/20:4)</t>
  </si>
  <si>
    <t>PIP1</t>
  </si>
  <si>
    <t>PE(14:0/22:6)</t>
  </si>
  <si>
    <t>LPE[p](18:0p)</t>
  </si>
  <si>
    <t>PG(16:0/16:0)</t>
  </si>
  <si>
    <t>PC(15:0/16:0)</t>
  </si>
  <si>
    <t>DLCL(18:2/18:2)</t>
  </si>
  <si>
    <t>DLCL</t>
  </si>
  <si>
    <t>SM(d18:2/18:0)</t>
  </si>
  <si>
    <t>SM(d18:2/23:0)</t>
  </si>
  <si>
    <t>PC(20:3/22:6)</t>
  </si>
  <si>
    <t>LPI(22:6)</t>
  </si>
  <si>
    <t>LPI(18:2)</t>
  </si>
  <si>
    <t>LPS(22:6)</t>
  </si>
  <si>
    <t>PE[p](20:0p/18:2)</t>
  </si>
  <si>
    <t>Cer(d18:1/22:0)</t>
  </si>
  <si>
    <t>MLCL(18:1/18:2/18:2)</t>
  </si>
  <si>
    <t>PE[p](20:0p/20:4)</t>
  </si>
  <si>
    <t>PE[p](18:0p/18:1), PE[p](16:0p/20:1)</t>
  </si>
  <si>
    <t>GM3[NeuGc](d18:1/16:0)</t>
  </si>
  <si>
    <t>PS(18:1/18:2)</t>
  </si>
  <si>
    <t>PE[e]</t>
  </si>
  <si>
    <t>CL(18:2/18:2/20:1/22:6)</t>
  </si>
  <si>
    <t>BMP(18:2/18:2)</t>
  </si>
  <si>
    <t>PE(18:0/22:4)</t>
  </si>
  <si>
    <t>CoA(16:0)</t>
  </si>
  <si>
    <t>PE(20:0/20:4)</t>
  </si>
  <si>
    <t>LPE(20:4)</t>
  </si>
  <si>
    <t>GPPG(18:1/18:2)</t>
  </si>
  <si>
    <t>TLCL(18:2)</t>
  </si>
  <si>
    <t>CL(18:2/22:6/22:6/22:6)</t>
  </si>
  <si>
    <t>LPE(18:2)</t>
  </si>
  <si>
    <t>LPC(20:0)</t>
  </si>
  <si>
    <t>CL(18:1/18:2/18:2/20:1)</t>
  </si>
  <si>
    <t>CL(16:0/16:0/18:1/18:1)</t>
  </si>
  <si>
    <t>LPE[p](18:1p)</t>
  </si>
  <si>
    <t>LPG(18:1)</t>
  </si>
  <si>
    <t>PA(16:0/18:2)</t>
  </si>
  <si>
    <t>CoA(16:2)</t>
  </si>
  <si>
    <t>Cer(d18:2/20:0)</t>
  </si>
  <si>
    <t>Cer(d18:1/24:0)</t>
  </si>
  <si>
    <t>FA(22:1)</t>
  </si>
  <si>
    <t>PS(20:5/22:6)</t>
  </si>
  <si>
    <t>PC(18:1/19:0)</t>
  </si>
  <si>
    <t>GM2[NeuGc](d18:1/16:0)</t>
  </si>
  <si>
    <t>GM2[NeuGc]</t>
  </si>
  <si>
    <t>PG(18:2/18:2)</t>
  </si>
  <si>
    <t>Taurine(18:0)</t>
  </si>
  <si>
    <t>Taurine</t>
  </si>
  <si>
    <t>CL(14:0/18:2/18:2/18:2)</t>
  </si>
  <si>
    <t>PI(18:2/22:6)</t>
  </si>
  <si>
    <t>CL(18:2/18:2/18:3/22:6)</t>
  </si>
  <si>
    <t>SM(d18:1/23:1)</t>
  </si>
  <si>
    <t>DLCL(18:1/18:2)</t>
  </si>
  <si>
    <t>Cer(d18:2/22:0)</t>
  </si>
  <si>
    <t>CoA(16:1)</t>
  </si>
  <si>
    <t>PS(18:1/24:0)</t>
  </si>
  <si>
    <t>LPI(20:3)</t>
  </si>
  <si>
    <t>FA[O](18:1)</t>
  </si>
  <si>
    <t>FA[O]</t>
  </si>
  <si>
    <t>LPC(20:3)</t>
  </si>
  <si>
    <t>LPC(16:1)</t>
  </si>
  <si>
    <t>LPI(16:0)</t>
  </si>
  <si>
    <t>LPG(18:0)</t>
  </si>
  <si>
    <t>CL(14:0/18:1/18:2/18:2)</t>
  </si>
  <si>
    <t>Cer(d18:1/23:0)</t>
  </si>
  <si>
    <t>Taurine(16:0)</t>
  </si>
  <si>
    <t>CoA(14:0)</t>
  </si>
  <si>
    <t>LPC[p](16:0p)</t>
  </si>
  <si>
    <t>LPC[p]</t>
  </si>
  <si>
    <t>LPA(18:1)</t>
  </si>
  <si>
    <t>GalNAcGb4(d18:1/16:0)</t>
  </si>
  <si>
    <t>GalNAcGb4</t>
  </si>
  <si>
    <t>PC(18:2/22:1)</t>
  </si>
  <si>
    <t>FA(20:2)</t>
  </si>
  <si>
    <t>LPI(18:1)</t>
  </si>
  <si>
    <t>LPC(15:0)</t>
  </si>
  <si>
    <t>BMP(20:4/22:6)</t>
  </si>
  <si>
    <t>CL(16:1/18:2/22:6/22:6)</t>
  </si>
  <si>
    <t>Cer(d18:2/24:1)</t>
  </si>
  <si>
    <t>CL(17:1/18:2/18:2/18:2)</t>
  </si>
  <si>
    <t>CoA(12:0)</t>
  </si>
  <si>
    <t>LPC(20:5)</t>
  </si>
  <si>
    <t>PS(18:2/18:2)</t>
  </si>
  <si>
    <t>FA(18:4)</t>
  </si>
  <si>
    <t>PI(17:1/18:2)</t>
  </si>
  <si>
    <t>CoA(18:3)</t>
  </si>
  <si>
    <t>PE(18:0/18:0)</t>
  </si>
  <si>
    <t>PG(16:1/18:2)</t>
  </si>
  <si>
    <t>PIP1(18:0/18:2)</t>
  </si>
  <si>
    <t>Cer(d18:2/24:0)</t>
  </si>
  <si>
    <t>GPPG(18:2/20:3)</t>
  </si>
  <si>
    <t>CoA(14:1)</t>
  </si>
  <si>
    <t>Taurine(18:1)</t>
  </si>
  <si>
    <t>PE(18:2/22:1)</t>
  </si>
  <si>
    <t>HBMP(16:0/18:1/g18:2)</t>
  </si>
  <si>
    <t>HBMP</t>
  </si>
  <si>
    <t>PS(18:2/20:5)</t>
  </si>
  <si>
    <t>Cer(d18:2/23:0)</t>
  </si>
  <si>
    <t>PIP1(18:0/22:6)</t>
  </si>
  <si>
    <t>FA(24:1)</t>
  </si>
  <si>
    <t>LPI(22:5)</t>
  </si>
  <si>
    <t>PS(22:6/22:6)</t>
  </si>
  <si>
    <t>PE(18:0/22:1)</t>
  </si>
  <si>
    <t>CoA(10:0)</t>
  </si>
  <si>
    <t>CoA(18:0)</t>
  </si>
  <si>
    <t>DLCL(18:1/22:6)</t>
  </si>
  <si>
    <t>LPC(20:1)</t>
  </si>
  <si>
    <t>DLCL(18:1/18:1)</t>
  </si>
  <si>
    <t>LPC(14:0)</t>
  </si>
  <si>
    <t>CoA(16:3)</t>
  </si>
  <si>
    <t>GPPG(16:0/18:1)</t>
  </si>
  <si>
    <t>GD1(d18:1/16:0)</t>
  </si>
  <si>
    <t>CoA(20:2)</t>
  </si>
  <si>
    <t>S1P(d18:1)</t>
  </si>
  <si>
    <t>S1P</t>
  </si>
  <si>
    <t>CL(16:0/16:0/18:2/18:2)</t>
  </si>
  <si>
    <t>G1Cer(d18:1/24:0)</t>
  </si>
  <si>
    <t>G1Cer</t>
  </si>
  <si>
    <t>LPE(17:0)</t>
  </si>
  <si>
    <t>CoA(12:1)</t>
  </si>
  <si>
    <t>HBMP(16:0/18:1/g22:6)</t>
  </si>
  <si>
    <t>LPC(22:1)</t>
  </si>
  <si>
    <t>LPE(20:1)</t>
  </si>
  <si>
    <t>LPE(20:0)</t>
  </si>
  <si>
    <t>LPC[e](18:0e)</t>
  </si>
  <si>
    <t>LPC[e]</t>
  </si>
  <si>
    <t>CoA(8:0)</t>
  </si>
  <si>
    <t>PC(22:6/34:1)</t>
  </si>
  <si>
    <t>FA(24:5)</t>
  </si>
  <si>
    <t>Neg</t>
    <phoneticPr fontId="2"/>
  </si>
  <si>
    <t>Pos</t>
    <phoneticPr fontId="2"/>
  </si>
  <si>
    <t>TG(16:0/18:1/18:2)</t>
  </si>
  <si>
    <t>TG</t>
  </si>
  <si>
    <t>TG(18:1/18:1/18:2)</t>
  </si>
  <si>
    <t>TG(16:0/18:1/18:1)</t>
  </si>
  <si>
    <t>TG(16:0/18:2/18:2)</t>
  </si>
  <si>
    <t>TG(16:0/16:0/18:1)</t>
  </si>
  <si>
    <t>TG(18:1/18:2/18:2)</t>
  </si>
  <si>
    <t>TG(18:2/18:2/18:2)</t>
  </si>
  <si>
    <t>TG(18:1/18:2/20:1)</t>
  </si>
  <si>
    <t>TG(16:0/16:0/16:0)</t>
  </si>
  <si>
    <t>Car(18:2)</t>
  </si>
  <si>
    <t>Car</t>
  </si>
  <si>
    <t>Car(16:0)</t>
  </si>
  <si>
    <t>Car(18:1)</t>
  </si>
  <si>
    <t>TG(18:2/18:2/20:1)</t>
  </si>
  <si>
    <t>CoQ9</t>
  </si>
  <si>
    <t>TG(16:0/18:2/22:6)</t>
  </si>
  <si>
    <t>TG(16:0/18:1/22:6)</t>
  </si>
  <si>
    <t>TG(18:1/18:2/22:6)</t>
  </si>
  <si>
    <t>Car(14:0)</t>
  </si>
  <si>
    <t>CoQ9H2</t>
  </si>
  <si>
    <t>Car(16:2)</t>
  </si>
  <si>
    <t>TG(18:2/18:2/22:6)</t>
  </si>
  <si>
    <t>Car(16:1)</t>
  </si>
  <si>
    <t>TG(16:0/16:0/18:0)</t>
  </si>
  <si>
    <t>Car[O](18:1)</t>
  </si>
  <si>
    <t>Car[O]</t>
  </si>
  <si>
    <t>Car(12:0)</t>
  </si>
  <si>
    <t>Car[O](18:2)</t>
  </si>
  <si>
    <t>TG(18:1/18:2/22:5)</t>
  </si>
  <si>
    <t>Car[O](16:0)</t>
  </si>
  <si>
    <t>Car(18:0)</t>
  </si>
  <si>
    <t>ChE(18:2)</t>
  </si>
  <si>
    <t>ChE</t>
  </si>
  <si>
    <t>TG(16:0/16:0/22:6)</t>
  </si>
  <si>
    <t>Car(20:2)</t>
  </si>
  <si>
    <t>TG(16:0/22:6/22:6)</t>
  </si>
  <si>
    <t>Car(14:1)</t>
  </si>
  <si>
    <t>TG(18:2/20:1/22:6)</t>
  </si>
  <si>
    <t>TG(18:2/18:2/22:5)</t>
  </si>
  <si>
    <t>Car(20:1)</t>
  </si>
  <si>
    <t>TG(18:2/18:2/18:3)</t>
  </si>
  <si>
    <t>TG(16:0/18:0/22:6)</t>
  </si>
  <si>
    <t>IS(TG_sn2d7)(15:0/18:1/15:0)</t>
  </si>
  <si>
    <t>TG(18:1/20:1/22:6)</t>
  </si>
  <si>
    <t>DG(18:1/18:2)</t>
  </si>
  <si>
    <t>DG</t>
  </si>
  <si>
    <t>DG(18:2/18:2)</t>
  </si>
  <si>
    <t>TG(18:2/22:6/22:6)</t>
  </si>
  <si>
    <t>CoQ10</t>
  </si>
  <si>
    <t>Car(14:2)</t>
  </si>
  <si>
    <t>TG(16:0/22:5/22:6)</t>
  </si>
  <si>
    <t>Car[O](16:1)</t>
  </si>
  <si>
    <t>ChE(22:6)</t>
  </si>
  <si>
    <t>Car[O](18:0)</t>
  </si>
  <si>
    <t>TG(18:1/22:6/22:6)</t>
  </si>
  <si>
    <t>Car(10:0)</t>
  </si>
  <si>
    <t>ChE(18:1)</t>
  </si>
  <si>
    <t>Car[O](20:2)</t>
  </si>
  <si>
    <t>TG(16:1/18:2/22:6)</t>
  </si>
  <si>
    <t>IS(ChE_d7)(18:1)</t>
  </si>
  <si>
    <t>TG(15:0/18:2/18:2)</t>
  </si>
  <si>
    <t>Car(8:0)</t>
  </si>
  <si>
    <t>Car(18:3)</t>
  </si>
  <si>
    <t>TG(18:2/22:5/22:6)</t>
  </si>
  <si>
    <t>TG(18:2/22:1/22:6)</t>
  </si>
  <si>
    <t>ChE(20:4)</t>
  </si>
  <si>
    <t>IS(DG_sn2d7)(15:0/18:1)</t>
  </si>
  <si>
    <t>Car(6:0)</t>
  </si>
  <si>
    <t>CoQ10H2</t>
  </si>
  <si>
    <t>TG(18:1/22:5/22:6)</t>
  </si>
  <si>
    <t>DG(16:0/18:1)</t>
  </si>
  <si>
    <t>DG(18:2/22:6)</t>
  </si>
  <si>
    <t>Car[O](20:1)</t>
  </si>
  <si>
    <t>Car[O](12:0)</t>
  </si>
  <si>
    <t>Car(12:1)</t>
  </si>
  <si>
    <t>DG(16:0/22:6)</t>
  </si>
  <si>
    <t>TG(18:0/22:6/22:6)</t>
  </si>
  <si>
    <t>Car[O](14:1)</t>
  </si>
  <si>
    <t>DG(18:1/22:6)</t>
  </si>
  <si>
    <t>ChE(22:5)</t>
  </si>
  <si>
    <t>TG(20:1/22:6/22:6)</t>
  </si>
  <si>
    <t>TG(16:0/20:4/22:6)</t>
  </si>
  <si>
    <t>ChE(16:0)</t>
  </si>
  <si>
    <t>Car(20:5)</t>
  </si>
  <si>
    <t>ChE(20:5)</t>
  </si>
  <si>
    <t>Car[O](22:5)</t>
  </si>
  <si>
    <t>Car(16:3)</t>
  </si>
  <si>
    <t>Car(22:6)</t>
  </si>
  <si>
    <t>Car(22:5)</t>
  </si>
  <si>
    <t>TG(20:1/22:5/22:6)</t>
  </si>
  <si>
    <t>DG(16:0/16:0)</t>
  </si>
  <si>
    <t>TG(22:6/22:6/22:6)</t>
  </si>
  <si>
    <t>DG(22:6/22:6)</t>
  </si>
  <si>
    <t>TG(14:0/18:2/22:6)</t>
  </si>
  <si>
    <t>Car(20:4)</t>
  </si>
  <si>
    <t>ChE(20:1)</t>
  </si>
  <si>
    <t>ChE(16:1)</t>
  </si>
  <si>
    <t>DG(18:2/22:5)</t>
  </si>
  <si>
    <t>DG(16:0/16:1), DG(14:0/18:1)</t>
  </si>
  <si>
    <t>TG(22:5/22:6/22:6)</t>
  </si>
  <si>
    <t>TG(18:2/20:5/22:6)</t>
  </si>
  <si>
    <t>Car(20:0)</t>
  </si>
  <si>
    <t>Car(22:2)</t>
  </si>
  <si>
    <t>TG(22:1/22:6/22:6)</t>
  </si>
  <si>
    <t>DG(18:0/20:4)</t>
  </si>
  <si>
    <t>CoQ8</t>
  </si>
  <si>
    <t>TG[e]</t>
  </si>
  <si>
    <t>TG(15:0/18:2/22:6)</t>
  </si>
  <si>
    <t>Car(18:4)</t>
  </si>
  <si>
    <t>DG(14:0/18:2)</t>
  </si>
  <si>
    <t>DG(18:0/18:1), DG(16:0/20:1)</t>
  </si>
  <si>
    <t>TG(18:2/22:6/24:1)</t>
  </si>
  <si>
    <t>DG(16:0/22:5), DG(18:1/20:4)</t>
  </si>
  <si>
    <t>ChE(18:3)</t>
  </si>
  <si>
    <t>ChE(20:3)</t>
  </si>
  <si>
    <t>DG(18:0/22:6)</t>
  </si>
  <si>
    <t>TG(22:1/22:5/22:6)</t>
  </si>
  <si>
    <t>DG(18:2/18:3)</t>
  </si>
  <si>
    <t>DG(18:2/20:4)</t>
  </si>
  <si>
    <t>CoQ8H2</t>
  </si>
  <si>
    <t>Car[O](22:2)</t>
  </si>
  <si>
    <t>DG(16:0/18:0)</t>
  </si>
  <si>
    <t>DG(20:1/22:6)</t>
  </si>
  <si>
    <t>TG(20:4/22:6/22:6)</t>
  </si>
  <si>
    <t>Sph(d18:1)</t>
  </si>
  <si>
    <t>Sph</t>
  </si>
  <si>
    <t>ChE(18:0)</t>
  </si>
  <si>
    <t>TG(14:0/22:6/22:6)</t>
  </si>
  <si>
    <t>ChE(22:1)</t>
  </si>
  <si>
    <t>TG(22:5/22:5/22:6)</t>
  </si>
  <si>
    <t>TG[e](22:1e/18:2/22:6)</t>
  </si>
  <si>
    <t>DG(18:2/22:1)</t>
  </si>
  <si>
    <t>DG(20:3/22:6)</t>
  </si>
  <si>
    <t>ChE(20:2)</t>
  </si>
  <si>
    <t>DG(20:4/22:6)</t>
  </si>
  <si>
    <t>ChE(22:4)</t>
  </si>
  <si>
    <t>Car(15:0)</t>
  </si>
  <si>
    <t>ChE(24:1)</t>
  </si>
  <si>
    <t>TG(18:2/18:2/34:1)</t>
  </si>
  <si>
    <t>DG(22:1/22:6)</t>
  </si>
  <si>
    <t>DG(17:0/18:2)</t>
  </si>
  <si>
    <t>DG(16:1/22:6)</t>
  </si>
  <si>
    <t>DG(20:1/22:1), DG(18:1/24:1)</t>
  </si>
  <si>
    <t>DG(18:2/24:1)</t>
  </si>
  <si>
    <t>DG(22:1/22:5)</t>
  </si>
  <si>
    <t>CoQ</t>
    <phoneticPr fontId="2"/>
  </si>
  <si>
    <t>MG</t>
  </si>
  <si>
    <t>Welch-T</t>
    <phoneticPr fontId="2"/>
  </si>
  <si>
    <t>有意差</t>
    <rPh sb="0" eb="3">
      <t>ユウイサ</t>
    </rPh>
    <phoneticPr fontId="2"/>
  </si>
  <si>
    <t>b</t>
    <phoneticPr fontId="2"/>
  </si>
  <si>
    <t>l</t>
    <phoneticPr fontId="2"/>
  </si>
  <si>
    <t>k</t>
    <phoneticPr fontId="2"/>
  </si>
  <si>
    <t>Control</t>
    <phoneticPr fontId="2"/>
  </si>
  <si>
    <t>CoQ</t>
  </si>
  <si>
    <t>CoA</t>
    <phoneticPr fontId="2"/>
  </si>
  <si>
    <t>Car</t>
    <phoneticPr fontId="2"/>
  </si>
  <si>
    <t>CoA/Car</t>
    <phoneticPr fontId="2"/>
  </si>
  <si>
    <t>(8:0)</t>
  </si>
  <si>
    <t>(10:0)</t>
  </si>
  <si>
    <t>(12:0)</t>
  </si>
  <si>
    <t>(14:0)</t>
  </si>
  <si>
    <t>(14:1)</t>
  </si>
  <si>
    <t>(16:0)</t>
  </si>
  <si>
    <t>(16:1)</t>
  </si>
  <si>
    <t>(16:2)</t>
  </si>
  <si>
    <t>(16:3)</t>
  </si>
  <si>
    <t>(18:0)</t>
  </si>
  <si>
    <t>(18:1)</t>
  </si>
  <si>
    <t>(18:2)</t>
  </si>
  <si>
    <t>(18:3)</t>
  </si>
  <si>
    <t>(20:2)</t>
  </si>
  <si>
    <t>Welchh-T</t>
    <phoneticPr fontId="2"/>
  </si>
  <si>
    <t>累計</t>
    <rPh sb="0" eb="2">
      <t>ルイケイ</t>
    </rPh>
    <phoneticPr fontId="2"/>
  </si>
  <si>
    <t>※累計は、ほぼ16:0,18:1,18:2の影響</t>
    <rPh sb="1" eb="3">
      <t>ルイケイ</t>
    </rPh>
    <rPh sb="22" eb="24">
      <t>エイキョウ</t>
    </rPh>
    <phoneticPr fontId="2"/>
  </si>
  <si>
    <t>※CarとCoAの対応は同じ鎖で比を取っているが、異性体複数種存在やピーク分裂している可能性のあるものも含まれており、一部対応していない可能性あり。</t>
    <rPh sb="9" eb="11">
      <t>タイオウ</t>
    </rPh>
    <rPh sb="12" eb="13">
      <t>オナ</t>
    </rPh>
    <rPh sb="14" eb="15">
      <t>クサリ</t>
    </rPh>
    <rPh sb="16" eb="17">
      <t>ヒ</t>
    </rPh>
    <rPh sb="18" eb="19">
      <t>ト</t>
    </rPh>
    <rPh sb="25" eb="28">
      <t>イセイタイ</t>
    </rPh>
    <rPh sb="28" eb="31">
      <t>フクスウシュ</t>
    </rPh>
    <rPh sb="31" eb="33">
      <t>ソンザイ</t>
    </rPh>
    <rPh sb="37" eb="39">
      <t>ブンレツ</t>
    </rPh>
    <rPh sb="43" eb="46">
      <t>カノウセイ</t>
    </rPh>
    <rPh sb="52" eb="53">
      <t>フク</t>
    </rPh>
    <rPh sb="59" eb="61">
      <t>イチブ</t>
    </rPh>
    <rPh sb="61" eb="63">
      <t>タイオウ</t>
    </rPh>
    <rPh sb="68" eb="71">
      <t>カノウセイ</t>
    </rPh>
    <phoneticPr fontId="2"/>
  </si>
  <si>
    <t>PS(18:0/18:2)</t>
  </si>
  <si>
    <t>IS(PE_sn2d7)(15:0/18:1)</t>
  </si>
  <si>
    <t>PS(18:0/22:5)</t>
  </si>
  <si>
    <t>PC(16:0/20:5)</t>
  </si>
  <si>
    <t>PS(18:0/18:1)</t>
  </si>
  <si>
    <t>IS(PC_sn2d7)(15:0/18:1)</t>
  </si>
  <si>
    <t>PE(18:0/18:1)</t>
  </si>
  <si>
    <t>CL(18:1/18:2/18:2/20:2)</t>
  </si>
  <si>
    <t>PI(18:1/20:5), PI(18:2/20:4)</t>
  </si>
  <si>
    <t>PE(18:2/20:4), PE(18:1/20:5)</t>
  </si>
  <si>
    <t>CL(18:2/18:2/20:2/22:6)</t>
  </si>
  <si>
    <t>PC(17:0/18:2)</t>
  </si>
  <si>
    <t>PE[p](16:0p/18:1), PE[p](18:1p/16:0)</t>
  </si>
  <si>
    <t>FA[O](18:0)</t>
  </si>
  <si>
    <t>PI(18:2/19:0)</t>
  </si>
  <si>
    <t>PI(18:1/22:5), PI(20:2/20:4)</t>
  </si>
  <si>
    <t>CL(16:1/18:1/18:2/18:2)</t>
  </si>
  <si>
    <t>PS(16:0/18:1), PS(16:1/18:0)</t>
  </si>
  <si>
    <t>PE(17:0/20:4)</t>
  </si>
  <si>
    <t>PS(18:2/20:4), PS(18:1/20:5)</t>
  </si>
  <si>
    <t>PI(17:0/22:5)</t>
  </si>
  <si>
    <t>PI(17:0/20:3)</t>
  </si>
  <si>
    <t>PC(18:1/20:1)</t>
  </si>
  <si>
    <t>PE(18:0/20:1)</t>
  </si>
  <si>
    <t>BMP(18:1/22:6)</t>
  </si>
  <si>
    <t>CoA(20:1)</t>
  </si>
  <si>
    <t>MLCL(18:2/18:2/22:6)</t>
  </si>
  <si>
    <t>CL(18:1/18:1/18:1/18:2)</t>
  </si>
  <si>
    <t>PI(19:0/22:6)</t>
  </si>
  <si>
    <t>PE[p](14:0p/22:6)+H</t>
  </si>
  <si>
    <t>MG(18:1)</t>
  </si>
  <si>
    <t>PGP(16:0/18:1)</t>
  </si>
  <si>
    <t>PGP</t>
  </si>
  <si>
    <t>CL(16:0/16:0/18:1/18:2)</t>
  </si>
  <si>
    <t>LPC[e](16:0e)</t>
  </si>
  <si>
    <t>PE(18:2/19:0)</t>
  </si>
  <si>
    <t>PG(17:0/18:2)</t>
  </si>
  <si>
    <t>PC(18:0/24:6)</t>
  </si>
  <si>
    <t>PE[p](18:0p/16:0)+H</t>
  </si>
  <si>
    <t>PI(18:2/18:3)</t>
  </si>
  <si>
    <t>PE(17:0/18:2)</t>
  </si>
  <si>
    <t>PC[sn2_COOH](16:0/4:0)</t>
  </si>
  <si>
    <t>PC[sn2_COOH]</t>
  </si>
  <si>
    <t>PI(18:2/20:5), PI(18:3/20:4)</t>
  </si>
  <si>
    <t>CoA(20:4)</t>
  </si>
  <si>
    <t>CL(18:2/20:3/22:6/22:6)</t>
  </si>
  <si>
    <t>CoA(22:6)</t>
  </si>
  <si>
    <t>CoA(22:5)</t>
  </si>
  <si>
    <t>CL(16:0/18:1/18:1/18:1), CL(16:0/18:0/18:1/18:2)</t>
  </si>
  <si>
    <t>CL(18:2/18:2/18:2/22:1)</t>
  </si>
  <si>
    <t>CL(18:2/18:2/18:2/19:1)</t>
  </si>
  <si>
    <t>Taurine(22:6)</t>
  </si>
  <si>
    <t>PE[p](18:0p/20:1), PE[p](20:0p/18:1)</t>
  </si>
  <si>
    <t>CoA(14:2)</t>
  </si>
  <si>
    <t>PIP1(18:0/20:5)</t>
  </si>
  <si>
    <t>CoA(20:5)</t>
  </si>
  <si>
    <t>PGP(16:0/18:2)</t>
  </si>
  <si>
    <t>薄くて定性難。前回定性から推定。</t>
    <rPh sb="0" eb="1">
      <t>ウス</t>
    </rPh>
    <rPh sb="3" eb="5">
      <t>テイセイ</t>
    </rPh>
    <rPh sb="5" eb="6">
      <t>ナン</t>
    </rPh>
    <rPh sb="7" eb="9">
      <t>ゼンカイ</t>
    </rPh>
    <rPh sb="9" eb="11">
      <t>テイセイ</t>
    </rPh>
    <rPh sb="13" eb="15">
      <t>スイテイ</t>
    </rPh>
    <phoneticPr fontId="5"/>
  </si>
  <si>
    <t>MS/MSなし。前回定性から推定。</t>
    <rPh sb="8" eb="10">
      <t>ゼンカイ</t>
    </rPh>
    <rPh sb="10" eb="12">
      <t>テイセイ</t>
    </rPh>
    <rPh sb="14" eb="16">
      <t>スイテイ</t>
    </rPh>
    <phoneticPr fontId="5"/>
  </si>
  <si>
    <t>Cer(d18:1/21:0)</t>
  </si>
  <si>
    <t>CL(17:1/18:1/18:2/18:2), CL(17:0/18:2/18:2/18:2)</t>
  </si>
  <si>
    <t>LPG(20:4)</t>
  </si>
  <si>
    <t>CL(18:2/18:2/20:1/20:1), CL(18:1/18:2/18:2/22:1)</t>
  </si>
  <si>
    <t>CL(16:1/16:1/18:1/18:1)</t>
  </si>
  <si>
    <t>PIP1(16:0/22:6)</t>
  </si>
  <si>
    <t>PG(14:0/16:0)</t>
  </si>
  <si>
    <t>PE(17:0/20:1)</t>
  </si>
  <si>
    <t>Taurine(24:0)</t>
  </si>
  <si>
    <t>TG(18:2/20:1/20:1), TG(18:1/18:2/22:1)</t>
  </si>
  <si>
    <t>TG(16:0/16:0/18:2)</t>
  </si>
  <si>
    <t>TG(18:2/18:2/22:1), TG(18:1/20:1/20:3)</t>
  </si>
  <si>
    <t>TG(18:0/18:1/22:6), TG(16:0/20:1/22:6)</t>
  </si>
  <si>
    <t>TG(18:2/20:1/22:1), TG(18:1/18:2/24:1)</t>
  </si>
  <si>
    <t>TG(16:0/18:1/20:1), TG(18:0/18:1/18:1)</t>
  </si>
  <si>
    <t>TG(18:1/18:1/22:6), TG(18:0/18:2/22:6)</t>
  </si>
  <si>
    <t>TG(20:1/20:1/22:6), TG(18:1/22:1/22:6)</t>
  </si>
  <si>
    <t>TG(16:0/18:0/18:1), TG(16:0/16:0/20:1)</t>
  </si>
  <si>
    <t>TG(20:1/22:1/22:6), TG(18:1/22:6/24:1)</t>
  </si>
  <si>
    <t>DG(18:2/20:1), DG(18:1/20:2)</t>
  </si>
  <si>
    <t>TG(14:0/16:0/18:1), TG(16:0/16:0/16:1)</t>
  </si>
  <si>
    <t>TG(14:0/16:0/18:2), TG(16:0/16:1/16:1)</t>
  </si>
  <si>
    <t>Car(22:1)</t>
  </si>
  <si>
    <t>TG[e](16:0e/18:1/22:6)</t>
  </si>
  <si>
    <t>TG(17:1/18:1/18:2), TG(17:0/18:2/18:2)</t>
  </si>
  <si>
    <t>DG(18:1/22:5)</t>
  </si>
  <si>
    <t>TG(22:1/22:1/22:6), TG(20:1/22:6/24:1)</t>
  </si>
  <si>
    <t>TG[e](18:0e/18:1/22:6), TG[e](16:0e/20:1/22:6)</t>
  </si>
  <si>
    <t>TG(22:1/22:1/22:1), TG(20:1/22:1/24:1)</t>
  </si>
  <si>
    <t>TG(18:0/18:0/22:6), TG(16:0/20:0/22:6)</t>
  </si>
  <si>
    <t>TG[e](16:0e/16:0/22:6)</t>
  </si>
  <si>
    <t>DG(16:1/18:2)</t>
  </si>
  <si>
    <t>ChE[O](22:2)</t>
  </si>
  <si>
    <t>ChE[O]</t>
  </si>
  <si>
    <t>TG(20:3/22:5/22:6), TG(18:2/22:6/24:6)</t>
  </si>
  <si>
    <t>Car[O](18:3)</t>
  </si>
  <si>
    <t>TG[e](16:0e/18:1/22:5), TG[e](18:1e/16:0/22:5)</t>
  </si>
  <si>
    <t>TG(18:2/21:0/22:6)</t>
  </si>
  <si>
    <t>TG(20:3/22:6/22:6), TG(20:4/22:5/22:6)</t>
  </si>
  <si>
    <t>TG(20:1/22:5/22:5)</t>
  </si>
  <si>
    <t>TG[e](16:0e/16:0/18:1), TG[e](18:1e/16:0/16:0)</t>
  </si>
  <si>
    <t>TG[e](18:0e/16:0/22:6)</t>
  </si>
  <si>
    <t>TG[e](16:0e/22:1/22:5), TG[e](20:0e/18:1/22:5)</t>
  </si>
  <si>
    <t>TG(16:2/18:2/18:2), TG(16:1/18:2/18:3)</t>
  </si>
  <si>
    <t>TG(18:1/18:2/36:1), TG(18:2/20:1/34:1)</t>
  </si>
  <si>
    <t>TG(18:1/19:0/22:6)</t>
  </si>
  <si>
    <t>TG[e](22:1e/18:1/18:2), TG[e](18:1e/18:2/22:1)</t>
  </si>
  <si>
    <t>TG[e](20:0e/18:2/22:6)</t>
  </si>
  <si>
    <t>TG(18:2/22:6/23:0)</t>
  </si>
  <si>
    <t>Car[O](20:0)</t>
  </si>
  <si>
    <t>ChE(14:0)</t>
  </si>
  <si>
    <t>DG(16:0/20:4)</t>
  </si>
  <si>
    <t>TG(20:2/22:5/22:6)</t>
  </si>
  <si>
    <t>DG(18:0/22:5)</t>
  </si>
  <si>
    <t>Car(24:0)</t>
  </si>
  <si>
    <t>TG(12:0/16:0/22:6), TG(14:0/14:0/22:6)</t>
  </si>
  <si>
    <t>TG[e](20:0e/18:2/18:2)</t>
  </si>
  <si>
    <t>DG(20:2/22:6)</t>
  </si>
  <si>
    <t>TG[e](18:0e/22:1/22:5)</t>
  </si>
  <si>
    <t>Car[O](20:4)</t>
  </si>
  <si>
    <t>ChE[O](22:1)</t>
  </si>
  <si>
    <t>ChE(24:5)</t>
  </si>
  <si>
    <t>ChE[O](24:4)</t>
  </si>
  <si>
    <t>TG(14:2/16:0/22:6)</t>
  </si>
  <si>
    <t>ChE(20:0)</t>
  </si>
  <si>
    <t>TG[e](20:0e/22:1/22:6)</t>
  </si>
  <si>
    <t>TG(18:0/22:6/24:1)</t>
  </si>
  <si>
    <t>TG(18:2/20:5/20:5), TG(18:2/18:4/22:6)</t>
  </si>
  <si>
    <t>TG(18:2/22:1/36:1), TG(18:2/20:1/38:1)</t>
  </si>
  <si>
    <t>TG(10:0/16:0/18:2), TG(12:0/14:0/18:2)</t>
  </si>
  <si>
    <t>SulfonoCer[bOH](d17:0/17:0)</t>
    <phoneticPr fontId="2"/>
  </si>
  <si>
    <t>SulfonoCer[bOH]</t>
    <phoneticPr fontId="2"/>
  </si>
  <si>
    <t>HFpEF</t>
    <phoneticPr fontId="2"/>
  </si>
  <si>
    <t>PE[e]</t>
    <phoneticPr fontId="2"/>
  </si>
  <si>
    <t>PE[e](16:0e/20:1), PE[e](18:0e/18:1)</t>
    <phoneticPr fontId="2"/>
  </si>
  <si>
    <t>PE[e](20:0e/20:4)</t>
    <phoneticPr fontId="2"/>
  </si>
  <si>
    <t>(20:1)</t>
  </si>
  <si>
    <t>(20:4)</t>
  </si>
  <si>
    <t>(20:5)</t>
  </si>
  <si>
    <t>(22:5)</t>
  </si>
  <si>
    <t>(22:6)</t>
  </si>
  <si>
    <t>1
0</t>
    <phoneticPr fontId="2"/>
  </si>
  <si>
    <t>1
1</t>
    <phoneticPr fontId="2"/>
  </si>
  <si>
    <t>1
2</t>
    <phoneticPr fontId="2"/>
  </si>
  <si>
    <t>1
3</t>
    <phoneticPr fontId="2"/>
  </si>
  <si>
    <t>1
4</t>
    <phoneticPr fontId="2"/>
  </si>
  <si>
    <t>QC</t>
    <phoneticPr fontId="2"/>
  </si>
  <si>
    <t>Neg1/Pos4</t>
    <phoneticPr fontId="2"/>
  </si>
  <si>
    <t>Neg2/Pos5</t>
    <phoneticPr fontId="2"/>
  </si>
  <si>
    <t>Neg3/Pos6</t>
    <phoneticPr fontId="2"/>
  </si>
  <si>
    <t>QCRSD≦25%</t>
    <phoneticPr fontId="2"/>
  </si>
  <si>
    <t>比較対象</t>
    <rPh sb="0" eb="4">
      <t>ヒカクタイショウ</t>
    </rPh>
    <phoneticPr fontId="2"/>
  </si>
  <si>
    <t>QCRSD
≦25%</t>
    <phoneticPr fontId="2"/>
  </si>
  <si>
    <t>-</t>
    <phoneticPr fontId="2"/>
  </si>
  <si>
    <t>いずれも</t>
    <phoneticPr fontId="2"/>
  </si>
  <si>
    <t>QC</t>
  </si>
  <si>
    <t>RSD</t>
  </si>
  <si>
    <t>RSD</t>
    <phoneticPr fontId="2"/>
  </si>
  <si>
    <t>Dolichol18</t>
    <phoneticPr fontId="2"/>
  </si>
  <si>
    <t>Dolichol17</t>
    <phoneticPr fontId="2"/>
  </si>
  <si>
    <t>Dolichol19</t>
    <phoneticPr fontId="2"/>
  </si>
  <si>
    <t>Dolichol</t>
    <phoneticPr fontId="2"/>
  </si>
  <si>
    <t>Cholesterol sulfate</t>
    <phoneticPr fontId="2"/>
  </si>
  <si>
    <t>Cholesterol</t>
    <phoneticPr fontId="2"/>
  </si>
  <si>
    <t>Ch</t>
    <phoneticPr fontId="2"/>
  </si>
  <si>
    <t>Polarity</t>
    <phoneticPr fontId="2"/>
  </si>
  <si>
    <t>Annotation</t>
    <phoneticPr fontId="3"/>
  </si>
  <si>
    <t>Class</t>
    <phoneticPr fontId="2"/>
  </si>
  <si>
    <t>Blank</t>
    <phoneticPr fontId="2"/>
  </si>
  <si>
    <t>Mean</t>
    <phoneticPr fontId="2"/>
  </si>
  <si>
    <t>B</t>
    <phoneticPr fontId="2"/>
  </si>
  <si>
    <r>
      <rPr>
        <b/>
        <sz val="11"/>
        <color rgb="FFFFFFFF"/>
        <rFont val="ＭＳ Ｐゴシック"/>
        <family val="3"/>
        <charset val="128"/>
      </rPr>
      <t>倍以上</t>
    </r>
    <rPh sb="0" eb="1">
      <t>バイ</t>
    </rPh>
    <rPh sb="1" eb="3">
      <t>イジョウ</t>
    </rPh>
    <phoneticPr fontId="4"/>
  </si>
  <si>
    <r>
      <rPr>
        <b/>
        <sz val="11"/>
        <color rgb="FFFFFFFF"/>
        <rFont val="ＭＳ Ｐゴシック"/>
        <family val="3"/>
        <charset val="128"/>
      </rPr>
      <t>●●</t>
    </r>
    <phoneticPr fontId="4"/>
  </si>
  <si>
    <r>
      <rPr>
        <b/>
        <sz val="11"/>
        <color rgb="FFFFFFFF"/>
        <rFont val="ＭＳ Ｐゴシック"/>
        <family val="2"/>
        <charset val="128"/>
      </rPr>
      <t>群検出率</t>
    </r>
    <rPh sb="0" eb="1">
      <t>グン</t>
    </rPh>
    <rPh sb="1" eb="4">
      <t>ケンシュツリツ</t>
    </rPh>
    <phoneticPr fontId="2"/>
  </si>
  <si>
    <t>Dolichol</t>
    <phoneticPr fontId="2"/>
  </si>
  <si>
    <r>
      <rPr>
        <b/>
        <sz val="11"/>
        <color rgb="FFFFFFFF"/>
        <rFont val="ＭＳ Ｐゴシック"/>
        <family val="3"/>
        <charset val="128"/>
      </rPr>
      <t>●●●</t>
    </r>
    <phoneticPr fontId="4"/>
  </si>
  <si>
    <r>
      <rPr>
        <b/>
        <sz val="11"/>
        <color rgb="FFFFFFFF"/>
        <rFont val="ＭＳ Ｐゴシック"/>
        <family val="3"/>
        <charset val="128"/>
      </rPr>
      <t>●</t>
    </r>
    <phoneticPr fontId="4"/>
  </si>
  <si>
    <r>
      <rPr>
        <b/>
        <sz val="11"/>
        <color rgb="FFFFFFFF"/>
        <rFont val="ＭＳ Ｐゴシック"/>
        <family val="2"/>
        <charset val="128"/>
      </rPr>
      <t>※検出数および累計値は</t>
    </r>
    <r>
      <rPr>
        <b/>
        <sz val="11"/>
        <color rgb="FFFFFFFF"/>
        <rFont val="Calibri"/>
        <family val="2"/>
      </rPr>
      <t>QCRSD</t>
    </r>
    <rPh sb="1" eb="4">
      <t>ケンシュツスウ</t>
    </rPh>
    <rPh sb="7" eb="9">
      <t>ルイケイ</t>
    </rPh>
    <rPh sb="9" eb="10">
      <t>アタイ</t>
    </rPh>
    <phoneticPr fontId="2"/>
  </si>
  <si>
    <r>
      <rPr>
        <b/>
        <sz val="11"/>
        <color rgb="FFFFFFFF"/>
        <rFont val="ＭＳ Ｐゴシック"/>
        <family val="2"/>
        <charset val="128"/>
      </rPr>
      <t>　　</t>
    </r>
    <r>
      <rPr>
        <b/>
        <sz val="11"/>
        <color rgb="FFFFFFFF"/>
        <rFont val="Calibri"/>
        <family val="2"/>
      </rPr>
      <t>25%</t>
    </r>
    <r>
      <rPr>
        <b/>
        <sz val="11"/>
        <color rgb="FFFFFFFF"/>
        <rFont val="ＭＳ Ｐゴシック"/>
        <family val="2"/>
        <charset val="128"/>
      </rPr>
      <t>以下のもののみを集計。</t>
    </r>
    <rPh sb="5" eb="7">
      <t>イカ</t>
    </rPh>
    <rPh sb="13" eb="15">
      <t>シュウケイ</t>
    </rPh>
    <phoneticPr fontId="2"/>
  </si>
  <si>
    <t>Class</t>
    <phoneticPr fontId="2"/>
  </si>
  <si>
    <t>Counts</t>
    <phoneticPr fontId="2"/>
  </si>
  <si>
    <t>P-value</t>
    <phoneticPr fontId="2"/>
  </si>
  <si>
    <t>Significance</t>
    <phoneticPr fontId="2"/>
  </si>
  <si>
    <t>Blank</t>
    <phoneticPr fontId="2"/>
  </si>
  <si>
    <t>検定数</t>
    <rPh sb="0" eb="2">
      <t>ケンテイ</t>
    </rPh>
    <rPh sb="2" eb="3">
      <t>カズ</t>
    </rPh>
    <phoneticPr fontId="1"/>
  </si>
  <si>
    <r>
      <t>Q</t>
    </r>
    <r>
      <rPr>
        <b/>
        <sz val="11"/>
        <color theme="1"/>
        <rFont val="ＭＳ ゴシック"/>
        <family val="3"/>
        <charset val="128"/>
      </rPr>
      <t>値</t>
    </r>
    <rPh sb="1" eb="2">
      <t>アタイ</t>
    </rPh>
    <phoneticPr fontId="1"/>
  </si>
  <si>
    <t>平滑化前</t>
  </si>
  <si>
    <t>Fold change</t>
    <phoneticPr fontId="2"/>
  </si>
  <si>
    <t>FDR</t>
    <phoneticPr fontId="2"/>
  </si>
  <si>
    <t>Significance</t>
    <phoneticPr fontId="1"/>
  </si>
  <si>
    <t>Welch-T Significance</t>
    <phoneticPr fontId="2"/>
  </si>
  <si>
    <t>FDR Significance</t>
    <phoneticPr fontId="2"/>
  </si>
  <si>
    <r>
      <rPr>
        <b/>
        <i/>
        <sz val="11"/>
        <color theme="1"/>
        <rFont val="Calibri"/>
        <family val="2"/>
      </rPr>
      <t>P</t>
    </r>
    <r>
      <rPr>
        <b/>
        <sz val="11"/>
        <color theme="1"/>
        <rFont val="Calibri"/>
        <family val="2"/>
      </rPr>
      <t>&lt;0.001 : ***</t>
    </r>
    <phoneticPr fontId="2"/>
  </si>
  <si>
    <r>
      <rPr>
        <b/>
        <i/>
        <sz val="11"/>
        <color theme="1"/>
        <rFont val="Calibri"/>
        <family val="2"/>
      </rPr>
      <t>Q</t>
    </r>
    <r>
      <rPr>
        <b/>
        <sz val="11"/>
        <color theme="1"/>
        <rFont val="Calibri"/>
        <family val="2"/>
      </rPr>
      <t>&lt;0.05 : **</t>
    </r>
    <phoneticPr fontId="2"/>
  </si>
  <si>
    <r>
      <rPr>
        <b/>
        <i/>
        <sz val="11"/>
        <color theme="1"/>
        <rFont val="Calibri"/>
        <family val="2"/>
      </rPr>
      <t>P</t>
    </r>
    <r>
      <rPr>
        <b/>
        <sz val="11"/>
        <color theme="1"/>
        <rFont val="Calibri"/>
        <family val="2"/>
      </rPr>
      <t>&lt;0.010 : **</t>
    </r>
    <phoneticPr fontId="2"/>
  </si>
  <si>
    <r>
      <rPr>
        <b/>
        <i/>
        <sz val="11"/>
        <color theme="1"/>
        <rFont val="Calibri"/>
        <family val="2"/>
      </rPr>
      <t>Q</t>
    </r>
    <r>
      <rPr>
        <b/>
        <sz val="11"/>
        <color theme="1"/>
        <rFont val="Calibri"/>
        <family val="2"/>
      </rPr>
      <t>&lt;0.10 : *</t>
    </r>
    <phoneticPr fontId="2"/>
  </si>
  <si>
    <r>
      <rPr>
        <b/>
        <i/>
        <sz val="11"/>
        <color theme="1"/>
        <rFont val="Calibri"/>
        <family val="2"/>
      </rPr>
      <t>P</t>
    </r>
    <r>
      <rPr>
        <b/>
        <sz val="11"/>
        <color theme="1"/>
        <rFont val="Calibri"/>
        <family val="2"/>
      </rPr>
      <t>&lt;0.050 : *</t>
    </r>
    <phoneticPr fontId="2"/>
  </si>
  <si>
    <t>Detection criteria:</t>
    <phoneticPr fontId="2"/>
  </si>
  <si>
    <t>height &gt; 100 cps</t>
    <phoneticPr fontId="2"/>
  </si>
  <si>
    <t>RSD in QC samples&lt;25%</t>
    <phoneticPr fontId="2"/>
  </si>
  <si>
    <t>height &gt; blank</t>
    <phoneticPr fontId="2"/>
  </si>
  <si>
    <t>DG(18:1/20:3), DG(18:2/20:2)</t>
    <phoneticPr fontId="2"/>
  </si>
  <si>
    <t>Q-value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</si>
</sst>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1" formatCode="0.0000"/>
  </numFmts>
  <fonts count="17" x14ac:knownFonts="1"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sz val="6"/>
      <name val="ＭＳ Ｐゴシック"/>
      <family val="2"/>
      <charset val="128"/>
    </font>
    <font>
      <b/>
      <sz val="11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FA7D00"/>
      <name val="ＭＳ Ｐゴシック"/>
      <family val="2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ＭＳ Ｐゴシック"/>
      <family val="2"/>
      <charset val="128"/>
    </font>
    <font>
      <b/>
      <sz val="1"/>
      <color theme="0"/>
      <name val="Calibri"/>
      <family val="2"/>
    </font>
    <font>
      <b/>
      <sz val="11"/>
      <color rgb="FFFFFFFF"/>
      <name val="ＭＳ Ｐゴシック"/>
      <family val="2"/>
      <charset val="128"/>
    </font>
    <font>
      <b/>
      <sz val="11"/>
      <color theme="1"/>
      <name val="ＭＳ 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theme="1"/>
      <name val="Calibri"/>
      <family val="3"/>
    </font>
    <font>
      <b/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 wrapText="1"/>
    </xf>
    <xf numFmtId="0" fontId="7" fillId="0" borderId="1" xfId="0" applyFont="1" applyBorder="1">
      <alignment vertical="center"/>
    </xf>
    <xf numFmtId="0" fontId="8" fillId="2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1" fontId="11" fillId="0" borderId="1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76" fontId="9" fillId="0" borderId="1" xfId="0" applyNumberFormat="1" applyFont="1" applyBorder="1">
      <alignment vertical="center"/>
    </xf>
    <xf numFmtId="0" fontId="9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2" fontId="9" fillId="0" borderId="1" xfId="0" applyNumberFormat="1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1" fontId="9" fillId="0" borderId="1" xfId="0" applyNumberFormat="1" applyFont="1" applyBorder="1" applyAlignment="1">
      <alignment horizontal="left" vertical="center"/>
    </xf>
  </cellXfs>
  <cellStyles count="1">
    <cellStyle name="標準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E2D7-5867-4C51-A944-D315829BC7DF}">
  <dimension ref="A1:BD397"/>
  <sheetViews>
    <sheetView tabSelected="1" zoomScale="75" zoomScaleNormal="75" workbookViewId="0">
      <pane xSplit="7" ySplit="3" topLeftCell="P4" activePane="bottomRight" state="frozen"/>
      <selection pane="topRight" activeCell="H1" sqref="H1"/>
      <selection pane="bottomLeft" activeCell="A4" sqref="A4"/>
      <selection pane="bottomRight"/>
    </sheetView>
  </sheetViews>
  <sheetFormatPr defaultColWidth="8.88671875" defaultRowHeight="14.4" outlineLevelCol="1" x14ac:dyDescent="0.2"/>
  <cols>
    <col min="1" max="1" width="10" style="16" customWidth="1"/>
    <col min="2" max="2" width="7.6640625" style="16" hidden="1" customWidth="1"/>
    <col min="3" max="4" width="9" hidden="1" customWidth="1" outlineLevel="1"/>
    <col min="5" max="5" width="4.33203125" hidden="1" customWidth="1" outlineLevel="1"/>
    <col min="6" max="6" width="29.109375" style="18" customWidth="1" collapsed="1"/>
    <col min="7" max="7" width="15.33203125" style="18" customWidth="1"/>
    <col min="8" max="8" width="23.109375" style="3" hidden="1" customWidth="1"/>
    <col min="9" max="15" width="8.88671875" style="16"/>
    <col min="16" max="16" width="1.6640625" style="16" customWidth="1"/>
    <col min="17" max="23" width="8.88671875" style="16"/>
    <col min="24" max="24" width="1.6640625" style="16" customWidth="1"/>
    <col min="25" max="31" width="8.88671875" style="16"/>
    <col min="32" max="32" width="13.6640625" style="16" customWidth="1"/>
    <col min="33" max="33" width="12.77734375" style="33" customWidth="1"/>
    <col min="34" max="34" width="13.33203125" style="16" customWidth="1"/>
    <col min="35" max="37" width="9.6640625" style="16" hidden="1" customWidth="1" outlineLevel="1"/>
    <col min="38" max="38" width="12.6640625" style="33" customWidth="1" collapsed="1"/>
    <col min="39" max="39" width="13.33203125" style="16" customWidth="1"/>
    <col min="40" max="56" width="1.6640625" style="16" customWidth="1"/>
    <col min="57" max="16384" width="8.88671875" style="16"/>
  </cols>
  <sheetData>
    <row r="1" spans="1:56" x14ac:dyDescent="0.2">
      <c r="A1" s="8"/>
      <c r="B1" s="8"/>
      <c r="F1" s="19" t="s">
        <v>706</v>
      </c>
      <c r="G1" s="8">
        <v>0.8</v>
      </c>
      <c r="H1" s="5"/>
      <c r="I1" s="11"/>
      <c r="J1" s="11"/>
      <c r="K1" s="11"/>
      <c r="L1" s="11"/>
      <c r="M1" s="11"/>
      <c r="N1" s="11"/>
      <c r="O1" s="11"/>
      <c r="P1" s="11"/>
      <c r="Q1" s="11"/>
      <c r="R1" s="13"/>
      <c r="S1" s="13"/>
      <c r="T1" s="13"/>
      <c r="U1" s="13">
        <f>(AD1-1)/(AD1+1)</f>
        <v>-1</v>
      </c>
      <c r="V1" s="13" t="e">
        <f>(#REF!-1)/(#REF!+1)</f>
        <v>#REF!</v>
      </c>
      <c r="W1" s="13">
        <f>(AH1-1)/(AH1+1)</f>
        <v>-1</v>
      </c>
      <c r="X1" s="11"/>
      <c r="Y1" s="11"/>
      <c r="Z1" s="11"/>
      <c r="AA1" s="11"/>
      <c r="AB1" s="11"/>
      <c r="AC1" s="11"/>
      <c r="AD1" s="8"/>
      <c r="AE1" s="8"/>
      <c r="AF1" s="8"/>
      <c r="AG1" s="34"/>
      <c r="AH1" s="8"/>
      <c r="AI1" s="11"/>
      <c r="AJ1" s="11"/>
      <c r="AK1" s="11"/>
      <c r="AL1" s="29"/>
      <c r="AM1" s="11"/>
      <c r="AN1" s="35" t="s">
        <v>511</v>
      </c>
      <c r="AO1" s="35"/>
      <c r="AP1" s="35"/>
      <c r="AQ1" s="35"/>
      <c r="AR1" s="35"/>
      <c r="AS1" s="35"/>
      <c r="AT1" s="35"/>
      <c r="AU1" s="14"/>
      <c r="AV1" s="35" t="s">
        <v>665</v>
      </c>
      <c r="AW1" s="35"/>
      <c r="AX1" s="35"/>
      <c r="AY1" s="35"/>
      <c r="AZ1" s="35"/>
      <c r="BA1" s="35"/>
      <c r="BB1" s="35"/>
      <c r="BC1" s="14"/>
      <c r="BD1" s="14" t="s">
        <v>703</v>
      </c>
    </row>
    <row r="2" spans="1:56" x14ac:dyDescent="0.2">
      <c r="A2" s="20"/>
      <c r="B2" s="8"/>
      <c r="F2" s="21"/>
      <c r="G2" s="21"/>
      <c r="H2" s="5"/>
      <c r="I2" s="14" t="s">
        <v>0</v>
      </c>
      <c r="J2" s="14" t="s">
        <v>0</v>
      </c>
      <c r="K2" s="14" t="s">
        <v>0</v>
      </c>
      <c r="L2" s="14" t="s">
        <v>0</v>
      </c>
      <c r="M2" s="14" t="s">
        <v>0</v>
      </c>
      <c r="N2" s="14" t="s">
        <v>0</v>
      </c>
      <c r="O2" s="14" t="s">
        <v>0</v>
      </c>
      <c r="P2" s="14"/>
      <c r="Q2" s="14" t="s">
        <v>1</v>
      </c>
      <c r="R2" s="14" t="s">
        <v>1</v>
      </c>
      <c r="S2" s="14" t="s">
        <v>1</v>
      </c>
      <c r="T2" s="14" t="s">
        <v>1</v>
      </c>
      <c r="U2" s="14" t="s">
        <v>1</v>
      </c>
      <c r="V2" s="14" t="s">
        <v>1</v>
      </c>
      <c r="W2" s="14" t="s">
        <v>1</v>
      </c>
      <c r="X2" s="14"/>
      <c r="Y2" s="14" t="s">
        <v>701</v>
      </c>
      <c r="Z2" s="14" t="s">
        <v>679</v>
      </c>
      <c r="AA2" s="14" t="s">
        <v>679</v>
      </c>
      <c r="AB2" s="14" t="s">
        <v>679</v>
      </c>
      <c r="AC2" s="14" t="s">
        <v>679</v>
      </c>
      <c r="AD2" s="35" t="s">
        <v>702</v>
      </c>
      <c r="AE2" s="35"/>
      <c r="AF2" s="27"/>
      <c r="AG2" s="35" t="s">
        <v>506</v>
      </c>
      <c r="AH2" s="35"/>
      <c r="AI2" s="14"/>
      <c r="AJ2" s="14"/>
      <c r="AK2" s="25" t="s">
        <v>719</v>
      </c>
      <c r="AL2" s="36" t="s">
        <v>721</v>
      </c>
      <c r="AM2" s="37"/>
      <c r="AN2" s="14">
        <v>1</v>
      </c>
      <c r="AO2" s="14">
        <v>2</v>
      </c>
      <c r="AP2" s="14">
        <v>3</v>
      </c>
      <c r="AQ2" s="14">
        <v>4</v>
      </c>
      <c r="AR2" s="14">
        <v>5</v>
      </c>
      <c r="AS2" s="14">
        <v>6</v>
      </c>
      <c r="AT2" s="14">
        <v>7</v>
      </c>
      <c r="AU2" s="14"/>
      <c r="AV2" s="14">
        <v>8</v>
      </c>
      <c r="AW2" s="14">
        <v>9</v>
      </c>
      <c r="AX2" s="14">
        <v>1</v>
      </c>
      <c r="AY2" s="14">
        <v>1</v>
      </c>
      <c r="AZ2" s="14">
        <v>1</v>
      </c>
      <c r="BA2" s="14">
        <v>1</v>
      </c>
      <c r="BB2" s="14">
        <v>1</v>
      </c>
      <c r="BC2" s="14"/>
      <c r="BD2" s="14" t="s">
        <v>509</v>
      </c>
    </row>
    <row r="3" spans="1:56" x14ac:dyDescent="0.2">
      <c r="A3" s="29" t="s">
        <v>698</v>
      </c>
      <c r="B3" s="29" t="s">
        <v>3</v>
      </c>
      <c r="C3" s="1" t="s">
        <v>4</v>
      </c>
      <c r="D3" s="1" t="s">
        <v>5</v>
      </c>
      <c r="E3" s="1" t="s">
        <v>6</v>
      </c>
      <c r="F3" s="31" t="s">
        <v>699</v>
      </c>
      <c r="G3" s="31" t="s">
        <v>700</v>
      </c>
      <c r="H3" s="32" t="s">
        <v>7</v>
      </c>
      <c r="I3" s="29">
        <v>1</v>
      </c>
      <c r="J3" s="29">
        <v>2</v>
      </c>
      <c r="K3" s="29">
        <v>3</v>
      </c>
      <c r="L3" s="29">
        <v>4</v>
      </c>
      <c r="M3" s="29">
        <v>5</v>
      </c>
      <c r="N3" s="29">
        <v>6</v>
      </c>
      <c r="O3" s="29">
        <v>7</v>
      </c>
      <c r="P3" s="29"/>
      <c r="Q3" s="29">
        <v>8</v>
      </c>
      <c r="R3" s="29">
        <v>9</v>
      </c>
      <c r="S3" s="29">
        <v>10</v>
      </c>
      <c r="T3" s="29">
        <v>11</v>
      </c>
      <c r="U3" s="29">
        <v>12</v>
      </c>
      <c r="V3" s="29">
        <v>13</v>
      </c>
      <c r="W3" s="29">
        <v>14</v>
      </c>
      <c r="X3" s="29"/>
      <c r="Y3" s="29" t="s">
        <v>701</v>
      </c>
      <c r="Z3" s="29">
        <v>1</v>
      </c>
      <c r="AA3" s="29">
        <v>2</v>
      </c>
      <c r="AB3" s="29">
        <v>3</v>
      </c>
      <c r="AC3" s="29" t="s">
        <v>690</v>
      </c>
      <c r="AD3" s="29" t="s">
        <v>0</v>
      </c>
      <c r="AE3" s="29" t="s">
        <v>1</v>
      </c>
      <c r="AF3" s="29" t="s">
        <v>720</v>
      </c>
      <c r="AG3" s="29" t="s">
        <v>714</v>
      </c>
      <c r="AH3" s="29" t="s">
        <v>715</v>
      </c>
      <c r="AI3" s="29" t="s">
        <v>717</v>
      </c>
      <c r="AJ3" s="29">
        <f>COUNT(AJ4:AJ390)</f>
        <v>387</v>
      </c>
      <c r="AK3" s="29" t="s">
        <v>718</v>
      </c>
      <c r="AL3" s="29" t="s">
        <v>735</v>
      </c>
      <c r="AM3" s="30" t="s">
        <v>722</v>
      </c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>
        <v>0</v>
      </c>
      <c r="AY3" s="14">
        <v>1</v>
      </c>
      <c r="AZ3" s="14">
        <v>2</v>
      </c>
      <c r="BA3" s="14">
        <v>3</v>
      </c>
      <c r="BB3" s="14">
        <v>4</v>
      </c>
      <c r="BC3" s="14"/>
      <c r="BD3" s="14" t="s">
        <v>510</v>
      </c>
    </row>
    <row r="4" spans="1:56" ht="27" customHeight="1" x14ac:dyDescent="0.2">
      <c r="A4" s="9" t="s">
        <v>356</v>
      </c>
      <c r="B4" s="11">
        <v>49</v>
      </c>
      <c r="C4" s="2">
        <v>279.232643228374</v>
      </c>
      <c r="D4" s="2">
        <v>5.0156037037036603</v>
      </c>
      <c r="E4" s="2">
        <v>-1</v>
      </c>
      <c r="F4" s="12" t="s">
        <v>49</v>
      </c>
      <c r="G4" s="12" t="s">
        <v>10</v>
      </c>
      <c r="H4" s="5"/>
      <c r="I4" s="11">
        <v>73974</v>
      </c>
      <c r="J4" s="11">
        <v>47087</v>
      </c>
      <c r="K4" s="11">
        <v>38699</v>
      </c>
      <c r="L4" s="11">
        <v>27618</v>
      </c>
      <c r="M4" s="11">
        <v>43138</v>
      </c>
      <c r="N4" s="11">
        <v>62619</v>
      </c>
      <c r="O4" s="11">
        <v>58251</v>
      </c>
      <c r="P4" s="11"/>
      <c r="Q4" s="11">
        <v>35283</v>
      </c>
      <c r="R4" s="11">
        <v>105765</v>
      </c>
      <c r="S4" s="11">
        <v>48590</v>
      </c>
      <c r="T4" s="11">
        <v>44918</v>
      </c>
      <c r="U4" s="11">
        <v>107356</v>
      </c>
      <c r="V4" s="11">
        <v>42508</v>
      </c>
      <c r="W4" s="11">
        <v>69438</v>
      </c>
      <c r="X4" s="11"/>
      <c r="Y4" s="11">
        <v>2410</v>
      </c>
      <c r="Z4" s="11">
        <v>56518</v>
      </c>
      <c r="AA4" s="11">
        <v>70359</v>
      </c>
      <c r="AB4" s="11">
        <v>68640</v>
      </c>
      <c r="AC4" s="17">
        <f t="shared" ref="AC4:AC67" si="0">IFERROR(STDEV(Z4:AB4)/AVERAGE(Z4:AB4),0)</f>
        <v>0.11575455720947123</v>
      </c>
      <c r="AD4" s="11">
        <f t="shared" ref="AD4:AD67" si="1">AVERAGE(I4:O4)</f>
        <v>50198</v>
      </c>
      <c r="AE4" s="11">
        <f t="shared" ref="AE4:AE67" si="2">AVERAGE(Q4:W4)</f>
        <v>64836.857142857145</v>
      </c>
      <c r="AF4" s="28">
        <f>AE4/AD4</f>
        <v>1.2916223184759781</v>
      </c>
      <c r="AG4" s="42">
        <f t="shared" ref="AG4:AG67" si="3">TTEST(I4:O4,Q4:W4,2,3)</f>
        <v>0.28685179759498886</v>
      </c>
      <c r="AH4" s="14" t="str">
        <f t="shared" ref="AH4:AH67" si="4">IF(AG4&lt;0.001,"***",IF(AG4&lt;0.01,"**",IF(AG4&lt;0.05,"*","-")))</f>
        <v>-</v>
      </c>
      <c r="AI4" s="11">
        <f t="shared" ref="AI4:AI67" si="5">_xlfn.RANK.EQ(AG4,$AG$4:$AG$390,1)</f>
        <v>272</v>
      </c>
      <c r="AJ4" s="11">
        <f t="shared" ref="AJ4:AJ67" si="6">COUNTIF($AI$4:$AI$390,AI4)+AI4-1</f>
        <v>272</v>
      </c>
      <c r="AK4" s="11">
        <f t="shared" ref="AK4:AK67" si="7">MIN(AG4*$AJ$3/AJ4,1)</f>
        <v>0.40813105025463486</v>
      </c>
      <c r="AL4" s="42">
        <f t="shared" ref="AL4:AL67" si="8">MIN(AK4,IFERROR(VLOOKUP(AJ4+1,$AJ$4:$AL$390,3,FALSE),1))</f>
        <v>0.40813105025463486</v>
      </c>
      <c r="AM4" s="14" t="str">
        <f>IF(AL4&lt;0.05,"**",IF(AL4&lt;0.1,"*",""))</f>
        <v/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</row>
    <row r="5" spans="1:56" ht="27" customHeight="1" x14ac:dyDescent="0.2">
      <c r="A5" s="9" t="s">
        <v>356</v>
      </c>
      <c r="B5" s="11">
        <v>61</v>
      </c>
      <c r="C5" s="2">
        <v>281.2484117496</v>
      </c>
      <c r="D5" s="2">
        <v>5.4776324074074401</v>
      </c>
      <c r="E5" s="2">
        <v>-1</v>
      </c>
      <c r="F5" s="12" t="s">
        <v>60</v>
      </c>
      <c r="G5" s="12" t="s">
        <v>10</v>
      </c>
      <c r="H5" s="5"/>
      <c r="I5" s="11">
        <v>32894</v>
      </c>
      <c r="J5" s="11">
        <v>27780</v>
      </c>
      <c r="K5" s="11">
        <v>25971</v>
      </c>
      <c r="L5" s="11">
        <v>29617</v>
      </c>
      <c r="M5" s="11">
        <v>32858</v>
      </c>
      <c r="N5" s="11">
        <v>44821</v>
      </c>
      <c r="O5" s="11">
        <v>33859</v>
      </c>
      <c r="P5" s="11"/>
      <c r="Q5" s="11">
        <v>37438</v>
      </c>
      <c r="R5" s="11">
        <v>79389</v>
      </c>
      <c r="S5" s="11">
        <v>37908</v>
      </c>
      <c r="T5" s="11">
        <v>38144</v>
      </c>
      <c r="U5" s="11">
        <v>64735</v>
      </c>
      <c r="V5" s="11">
        <v>30332</v>
      </c>
      <c r="W5" s="11">
        <v>51618</v>
      </c>
      <c r="X5" s="11"/>
      <c r="Y5" s="11">
        <v>15746</v>
      </c>
      <c r="Z5" s="11">
        <v>47374</v>
      </c>
      <c r="AA5" s="11">
        <v>44288</v>
      </c>
      <c r="AB5" s="11">
        <v>46473</v>
      </c>
      <c r="AC5" s="17">
        <f t="shared" si="0"/>
        <v>3.4464011221168087E-2</v>
      </c>
      <c r="AD5" s="11">
        <f t="shared" si="1"/>
        <v>32542.857142857141</v>
      </c>
      <c r="AE5" s="11">
        <f t="shared" si="2"/>
        <v>48509.142857142855</v>
      </c>
      <c r="AF5" s="28">
        <f t="shared" ref="AF5:AF68" si="9">AE5/AD5</f>
        <v>1.4906233538191396</v>
      </c>
      <c r="AG5" s="42">
        <f t="shared" si="3"/>
        <v>5.7649653150882149E-2</v>
      </c>
      <c r="AH5" s="14" t="str">
        <f t="shared" si="4"/>
        <v>-</v>
      </c>
      <c r="AI5" s="11">
        <f t="shared" si="5"/>
        <v>167</v>
      </c>
      <c r="AJ5" s="11">
        <f t="shared" si="6"/>
        <v>167</v>
      </c>
      <c r="AK5" s="11">
        <f t="shared" si="7"/>
        <v>0.13359530400833167</v>
      </c>
      <c r="AL5" s="42">
        <f t="shared" si="8"/>
        <v>0.13359530400833167</v>
      </c>
      <c r="AM5" s="14" t="str">
        <f t="shared" ref="AM5:AM68" si="10">IF(AL5&lt;0.05,"**",IF(AL5&lt;0.1,"*",""))</f>
        <v/>
      </c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</row>
    <row r="6" spans="1:56" ht="27" customHeight="1" x14ac:dyDescent="0.2">
      <c r="A6" s="9" t="s">
        <v>356</v>
      </c>
      <c r="B6" s="11">
        <v>68</v>
      </c>
      <c r="C6" s="2">
        <v>327.23226220573599</v>
      </c>
      <c r="D6" s="2">
        <v>4.8707696078430498</v>
      </c>
      <c r="E6" s="2">
        <v>-1</v>
      </c>
      <c r="F6" s="12" t="s">
        <v>68</v>
      </c>
      <c r="G6" s="12" t="s">
        <v>10</v>
      </c>
      <c r="H6" s="5"/>
      <c r="I6" s="11">
        <v>21433</v>
      </c>
      <c r="J6" s="11">
        <v>20510</v>
      </c>
      <c r="K6" s="11">
        <v>22346</v>
      </c>
      <c r="L6" s="11">
        <v>10996</v>
      </c>
      <c r="M6" s="11">
        <v>12124</v>
      </c>
      <c r="N6" s="11">
        <v>24652</v>
      </c>
      <c r="O6" s="11">
        <v>18319</v>
      </c>
      <c r="P6" s="11"/>
      <c r="Q6" s="11">
        <v>27519</v>
      </c>
      <c r="R6" s="11">
        <v>69675</v>
      </c>
      <c r="S6" s="11">
        <v>50293</v>
      </c>
      <c r="T6" s="11">
        <v>37443</v>
      </c>
      <c r="U6" s="11">
        <v>50794</v>
      </c>
      <c r="V6" s="11">
        <v>44835</v>
      </c>
      <c r="W6" s="11">
        <v>63731</v>
      </c>
      <c r="X6" s="11"/>
      <c r="Y6" s="11">
        <v>4</v>
      </c>
      <c r="Z6" s="11">
        <v>25980</v>
      </c>
      <c r="AA6" s="11">
        <v>40778</v>
      </c>
      <c r="AB6" s="11">
        <v>41337</v>
      </c>
      <c r="AC6" s="17">
        <f t="shared" si="0"/>
        <v>0.2417175064324493</v>
      </c>
      <c r="AD6" s="11">
        <f t="shared" si="1"/>
        <v>18625.714285714286</v>
      </c>
      <c r="AE6" s="11">
        <f t="shared" si="2"/>
        <v>49184.285714285717</v>
      </c>
      <c r="AF6" s="28">
        <f t="shared" si="9"/>
        <v>2.6406657462801042</v>
      </c>
      <c r="AG6" s="42">
        <f t="shared" si="3"/>
        <v>9.4646903496716731E-4</v>
      </c>
      <c r="AH6" s="14" t="str">
        <f t="shared" si="4"/>
        <v>***</v>
      </c>
      <c r="AI6" s="11">
        <f t="shared" si="5"/>
        <v>19</v>
      </c>
      <c r="AJ6" s="11">
        <f t="shared" si="6"/>
        <v>19</v>
      </c>
      <c r="AK6" s="11">
        <f t="shared" si="7"/>
        <v>1.9278079817489146E-2</v>
      </c>
      <c r="AL6" s="42">
        <f t="shared" si="8"/>
        <v>1.7929650792532514E-2</v>
      </c>
      <c r="AM6" s="14" t="str">
        <f t="shared" si="10"/>
        <v>**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</row>
    <row r="7" spans="1:56" ht="27" customHeight="1" x14ac:dyDescent="0.2">
      <c r="A7" s="9" t="s">
        <v>356</v>
      </c>
      <c r="B7" s="11">
        <v>164</v>
      </c>
      <c r="C7" s="2">
        <v>329.24811284055397</v>
      </c>
      <c r="D7" s="2">
        <v>5.1799999999999402</v>
      </c>
      <c r="E7" s="2">
        <v>-1</v>
      </c>
      <c r="F7" s="12" t="s">
        <v>161</v>
      </c>
      <c r="G7" s="12" t="s">
        <v>10</v>
      </c>
      <c r="H7" s="5"/>
      <c r="I7" s="11">
        <v>5353</v>
      </c>
      <c r="J7" s="11">
        <v>6562</v>
      </c>
      <c r="K7" s="11">
        <v>6401</v>
      </c>
      <c r="L7" s="11">
        <v>4138</v>
      </c>
      <c r="M7" s="11">
        <v>5978</v>
      </c>
      <c r="N7" s="11">
        <v>7871</v>
      </c>
      <c r="O7" s="11">
        <v>6694</v>
      </c>
      <c r="P7" s="11"/>
      <c r="Q7" s="11">
        <v>10216</v>
      </c>
      <c r="R7" s="11">
        <v>23442</v>
      </c>
      <c r="S7" s="11">
        <v>11433</v>
      </c>
      <c r="T7" s="11">
        <v>10272</v>
      </c>
      <c r="U7" s="11">
        <v>14170</v>
      </c>
      <c r="V7" s="11">
        <v>9754</v>
      </c>
      <c r="W7" s="11">
        <v>14700</v>
      </c>
      <c r="X7" s="11"/>
      <c r="Y7" s="11">
        <v>167</v>
      </c>
      <c r="Z7" s="11">
        <v>9303</v>
      </c>
      <c r="AA7" s="11">
        <v>8994</v>
      </c>
      <c r="AB7" s="11">
        <v>12164</v>
      </c>
      <c r="AC7" s="17">
        <f t="shared" si="0"/>
        <v>0.17213896011485297</v>
      </c>
      <c r="AD7" s="11">
        <f t="shared" si="1"/>
        <v>6142.4285714285716</v>
      </c>
      <c r="AE7" s="11">
        <f t="shared" si="2"/>
        <v>13426.714285714286</v>
      </c>
      <c r="AF7" s="28">
        <f t="shared" si="9"/>
        <v>2.1858966904667767</v>
      </c>
      <c r="AG7" s="42">
        <f t="shared" si="3"/>
        <v>6.6320837352925495E-3</v>
      </c>
      <c r="AH7" s="14" t="str">
        <f t="shared" si="4"/>
        <v>**</v>
      </c>
      <c r="AI7" s="11">
        <f t="shared" si="5"/>
        <v>60</v>
      </c>
      <c r="AJ7" s="11">
        <f t="shared" si="6"/>
        <v>60</v>
      </c>
      <c r="AK7" s="11">
        <f t="shared" si="7"/>
        <v>4.2776940092636946E-2</v>
      </c>
      <c r="AL7" s="42">
        <f t="shared" si="8"/>
        <v>4.2776940092636946E-2</v>
      </c>
      <c r="AM7" s="14" t="str">
        <f t="shared" si="10"/>
        <v>**</v>
      </c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</row>
    <row r="8" spans="1:56" ht="27" customHeight="1" x14ac:dyDescent="0.2">
      <c r="A8" s="9" t="s">
        <v>356</v>
      </c>
      <c r="B8" s="11">
        <v>228</v>
      </c>
      <c r="C8" s="2">
        <v>303.230159354335</v>
      </c>
      <c r="D8" s="2">
        <v>4.9748750000001101</v>
      </c>
      <c r="E8" s="2">
        <v>-1</v>
      </c>
      <c r="F8" s="12" t="s">
        <v>141</v>
      </c>
      <c r="G8" s="12" t="s">
        <v>10</v>
      </c>
      <c r="H8" s="5"/>
      <c r="I8" s="11">
        <v>8490</v>
      </c>
      <c r="J8" s="11">
        <v>8698</v>
      </c>
      <c r="K8" s="11">
        <v>7419</v>
      </c>
      <c r="L8" s="11">
        <v>6295</v>
      </c>
      <c r="M8" s="11">
        <v>8047</v>
      </c>
      <c r="N8" s="11">
        <v>11642</v>
      </c>
      <c r="O8" s="11">
        <v>10660</v>
      </c>
      <c r="P8" s="11"/>
      <c r="Q8" s="11">
        <v>7594</v>
      </c>
      <c r="R8" s="11">
        <v>16710</v>
      </c>
      <c r="S8" s="11">
        <v>9367</v>
      </c>
      <c r="T8" s="11">
        <v>11211</v>
      </c>
      <c r="U8" s="11">
        <v>17356</v>
      </c>
      <c r="V8" s="11">
        <v>12035</v>
      </c>
      <c r="W8" s="11">
        <v>17447</v>
      </c>
      <c r="X8" s="11"/>
      <c r="Y8" s="11">
        <v>728</v>
      </c>
      <c r="Z8" s="11">
        <v>10645</v>
      </c>
      <c r="AA8" s="11">
        <v>11131</v>
      </c>
      <c r="AB8" s="11">
        <v>12115</v>
      </c>
      <c r="AC8" s="17">
        <f t="shared" si="0"/>
        <v>6.6294346532736859E-2</v>
      </c>
      <c r="AD8" s="11">
        <f t="shared" si="1"/>
        <v>8750.1428571428569</v>
      </c>
      <c r="AE8" s="11">
        <f t="shared" si="2"/>
        <v>13102.857142857143</v>
      </c>
      <c r="AF8" s="28">
        <f t="shared" si="9"/>
        <v>1.4974449396744545</v>
      </c>
      <c r="AG8" s="42">
        <f t="shared" si="3"/>
        <v>3.1353985199687878E-2</v>
      </c>
      <c r="AH8" s="14" t="str">
        <f t="shared" si="4"/>
        <v>*</v>
      </c>
      <c r="AI8" s="11">
        <f t="shared" si="5"/>
        <v>133</v>
      </c>
      <c r="AJ8" s="11">
        <f t="shared" si="6"/>
        <v>133</v>
      </c>
      <c r="AK8" s="11">
        <f t="shared" si="7"/>
        <v>9.1233024603603066E-2</v>
      </c>
      <c r="AL8" s="42">
        <f t="shared" si="8"/>
        <v>9.1233024603603066E-2</v>
      </c>
      <c r="AM8" s="14" t="str">
        <f t="shared" si="10"/>
        <v>*</v>
      </c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</row>
    <row r="9" spans="1:56" ht="27" customHeight="1" x14ac:dyDescent="0.2">
      <c r="A9" s="9" t="s">
        <v>356</v>
      </c>
      <c r="B9" s="11">
        <v>241</v>
      </c>
      <c r="C9" s="2">
        <v>301.21620494445102</v>
      </c>
      <c r="D9" s="2">
        <v>4.5628147058822899</v>
      </c>
      <c r="E9" s="2">
        <v>-1</v>
      </c>
      <c r="F9" s="12" t="s">
        <v>149</v>
      </c>
      <c r="G9" s="12" t="s">
        <v>10</v>
      </c>
      <c r="H9" s="5"/>
      <c r="I9" s="11">
        <v>3719</v>
      </c>
      <c r="J9" s="11">
        <v>2941</v>
      </c>
      <c r="K9" s="11">
        <v>4994</v>
      </c>
      <c r="L9" s="11">
        <v>3191</v>
      </c>
      <c r="M9" s="11">
        <v>2792</v>
      </c>
      <c r="N9" s="11">
        <v>4254</v>
      </c>
      <c r="O9" s="11">
        <v>6167</v>
      </c>
      <c r="P9" s="11"/>
      <c r="Q9" s="11">
        <v>6393</v>
      </c>
      <c r="R9" s="11">
        <v>11969</v>
      </c>
      <c r="S9" s="11">
        <v>6071</v>
      </c>
      <c r="T9" s="11">
        <v>8059</v>
      </c>
      <c r="U9" s="11">
        <v>16371</v>
      </c>
      <c r="V9" s="11">
        <v>4818</v>
      </c>
      <c r="W9" s="11">
        <v>13482</v>
      </c>
      <c r="X9" s="11"/>
      <c r="Y9" s="11">
        <v>4</v>
      </c>
      <c r="Z9" s="11">
        <v>7547</v>
      </c>
      <c r="AA9" s="11">
        <v>5530</v>
      </c>
      <c r="AB9" s="11">
        <v>8840</v>
      </c>
      <c r="AC9" s="17">
        <f t="shared" si="0"/>
        <v>0.228335709002149</v>
      </c>
      <c r="AD9" s="11">
        <f t="shared" si="1"/>
        <v>4008.2857142857142</v>
      </c>
      <c r="AE9" s="11">
        <f t="shared" si="2"/>
        <v>9594.7142857142862</v>
      </c>
      <c r="AF9" s="28">
        <f t="shared" si="9"/>
        <v>2.3937201511155464</v>
      </c>
      <c r="AG9" s="42">
        <f t="shared" si="3"/>
        <v>1.4082499131354301E-2</v>
      </c>
      <c r="AH9" s="14" t="str">
        <f t="shared" si="4"/>
        <v>*</v>
      </c>
      <c r="AI9" s="11">
        <f t="shared" si="5"/>
        <v>91</v>
      </c>
      <c r="AJ9" s="11">
        <f t="shared" si="6"/>
        <v>91</v>
      </c>
      <c r="AK9" s="11">
        <f t="shared" si="7"/>
        <v>5.988930949268257E-2</v>
      </c>
      <c r="AL9" s="42">
        <f t="shared" si="8"/>
        <v>5.988930949268257E-2</v>
      </c>
      <c r="AM9" s="14" t="str">
        <f t="shared" si="10"/>
        <v>*</v>
      </c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</row>
    <row r="10" spans="1:56" ht="27" customHeight="1" x14ac:dyDescent="0.2">
      <c r="A10" s="9" t="s">
        <v>356</v>
      </c>
      <c r="B10" s="11">
        <v>494</v>
      </c>
      <c r="C10" s="2">
        <v>253.217102218094</v>
      </c>
      <c r="D10" s="2">
        <v>4.7677179487180004</v>
      </c>
      <c r="E10" s="2">
        <v>-2</v>
      </c>
      <c r="F10" s="12" t="s">
        <v>181</v>
      </c>
      <c r="G10" s="12" t="s">
        <v>10</v>
      </c>
      <c r="H10" s="5"/>
      <c r="I10" s="11">
        <v>2778</v>
      </c>
      <c r="J10" s="11">
        <v>1996</v>
      </c>
      <c r="K10" s="11">
        <v>2420</v>
      </c>
      <c r="L10" s="11">
        <v>2114</v>
      </c>
      <c r="M10" s="11">
        <v>1655</v>
      </c>
      <c r="N10" s="11">
        <v>2643</v>
      </c>
      <c r="O10" s="11">
        <v>2203</v>
      </c>
      <c r="P10" s="11"/>
      <c r="Q10" s="11">
        <v>7192</v>
      </c>
      <c r="R10" s="11">
        <v>8832</v>
      </c>
      <c r="S10" s="11">
        <v>6043</v>
      </c>
      <c r="T10" s="11">
        <v>5212</v>
      </c>
      <c r="U10" s="11">
        <v>5960</v>
      </c>
      <c r="V10" s="11">
        <v>4757</v>
      </c>
      <c r="W10" s="11">
        <v>6868</v>
      </c>
      <c r="X10" s="11"/>
      <c r="Y10" s="11">
        <v>1125</v>
      </c>
      <c r="Z10" s="11">
        <v>3690</v>
      </c>
      <c r="AA10" s="11">
        <v>3536</v>
      </c>
      <c r="AB10" s="11">
        <v>5289</v>
      </c>
      <c r="AC10" s="17">
        <f t="shared" si="0"/>
        <v>0.23268826023117548</v>
      </c>
      <c r="AD10" s="11">
        <f t="shared" si="1"/>
        <v>2258.4285714285716</v>
      </c>
      <c r="AE10" s="11">
        <f t="shared" si="2"/>
        <v>6409.1428571428569</v>
      </c>
      <c r="AF10" s="28">
        <f t="shared" si="9"/>
        <v>2.8378771585805551</v>
      </c>
      <c r="AG10" s="42">
        <f t="shared" si="3"/>
        <v>1.1634331485385126E-4</v>
      </c>
      <c r="AH10" s="14" t="str">
        <f t="shared" si="4"/>
        <v>***</v>
      </c>
      <c r="AI10" s="11">
        <f t="shared" si="5"/>
        <v>7</v>
      </c>
      <c r="AJ10" s="11">
        <f t="shared" si="6"/>
        <v>7</v>
      </c>
      <c r="AK10" s="11">
        <f t="shared" si="7"/>
        <v>6.4321232640629205E-3</v>
      </c>
      <c r="AL10" s="42">
        <f t="shared" si="8"/>
        <v>6.4321232640629205E-3</v>
      </c>
      <c r="AM10" s="14" t="str">
        <f t="shared" si="10"/>
        <v>**</v>
      </c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</row>
    <row r="11" spans="1:56" ht="27" customHeight="1" x14ac:dyDescent="0.2">
      <c r="A11" s="9" t="s">
        <v>356</v>
      </c>
      <c r="B11" s="11">
        <v>510</v>
      </c>
      <c r="C11" s="2">
        <v>277.216994641317</v>
      </c>
      <c r="D11" s="2">
        <v>4.58495151515163</v>
      </c>
      <c r="E11" s="2">
        <v>-1</v>
      </c>
      <c r="F11" s="12" t="s">
        <v>202</v>
      </c>
      <c r="G11" s="12" t="s">
        <v>10</v>
      </c>
      <c r="H11" s="5"/>
      <c r="I11" s="11">
        <v>1510</v>
      </c>
      <c r="J11" s="11">
        <v>1281</v>
      </c>
      <c r="K11" s="11">
        <v>1386</v>
      </c>
      <c r="L11" s="11">
        <v>804</v>
      </c>
      <c r="M11" s="11">
        <v>2244</v>
      </c>
      <c r="N11" s="11">
        <v>2231</v>
      </c>
      <c r="O11" s="11">
        <v>2593</v>
      </c>
      <c r="P11" s="11"/>
      <c r="Q11" s="11">
        <v>1755</v>
      </c>
      <c r="R11" s="11">
        <v>5649</v>
      </c>
      <c r="S11" s="11">
        <v>3071</v>
      </c>
      <c r="T11" s="11">
        <v>3390</v>
      </c>
      <c r="U11" s="11">
        <v>6910</v>
      </c>
      <c r="V11" s="11">
        <v>2819</v>
      </c>
      <c r="W11" s="11">
        <v>4620</v>
      </c>
      <c r="X11" s="11"/>
      <c r="Y11" s="11">
        <v>645</v>
      </c>
      <c r="Z11" s="11">
        <v>3361</v>
      </c>
      <c r="AA11" s="11">
        <v>2626</v>
      </c>
      <c r="AB11" s="11">
        <v>3711</v>
      </c>
      <c r="AC11" s="17">
        <f t="shared" si="0"/>
        <v>0.17130358837727533</v>
      </c>
      <c r="AD11" s="11">
        <f t="shared" si="1"/>
        <v>1721.2857142857142</v>
      </c>
      <c r="AE11" s="11">
        <f t="shared" si="2"/>
        <v>4030.5714285714284</v>
      </c>
      <c r="AF11" s="28">
        <f t="shared" si="9"/>
        <v>2.3416051124574655</v>
      </c>
      <c r="AG11" s="42">
        <f t="shared" si="3"/>
        <v>1.3454027410774297E-2</v>
      </c>
      <c r="AH11" s="14" t="str">
        <f t="shared" si="4"/>
        <v>*</v>
      </c>
      <c r="AI11" s="11">
        <f t="shared" si="5"/>
        <v>87</v>
      </c>
      <c r="AJ11" s="11">
        <f t="shared" si="6"/>
        <v>87</v>
      </c>
      <c r="AK11" s="11">
        <f t="shared" si="7"/>
        <v>5.9847225378961533E-2</v>
      </c>
      <c r="AL11" s="42">
        <f t="shared" si="8"/>
        <v>5.9510361944517816E-2</v>
      </c>
      <c r="AM11" s="14" t="str">
        <f t="shared" si="10"/>
        <v>*</v>
      </c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</row>
    <row r="12" spans="1:56" ht="27" customHeight="1" x14ac:dyDescent="0.2">
      <c r="A12" s="9" t="s">
        <v>356</v>
      </c>
      <c r="B12" s="11">
        <v>522</v>
      </c>
      <c r="C12" s="2">
        <v>309.278945342356</v>
      </c>
      <c r="D12" s="2">
        <v>6.0793781250000603</v>
      </c>
      <c r="E12" s="2">
        <v>-1</v>
      </c>
      <c r="F12" s="12" t="s">
        <v>171</v>
      </c>
      <c r="G12" s="12" t="s">
        <v>10</v>
      </c>
      <c r="H12" s="5"/>
      <c r="I12" s="11">
        <v>5745</v>
      </c>
      <c r="J12" s="11">
        <v>5270</v>
      </c>
      <c r="K12" s="11">
        <v>4761</v>
      </c>
      <c r="L12" s="11">
        <v>2581</v>
      </c>
      <c r="M12" s="11">
        <v>6290</v>
      </c>
      <c r="N12" s="11">
        <v>6694</v>
      </c>
      <c r="O12" s="11">
        <v>5381</v>
      </c>
      <c r="P12" s="11"/>
      <c r="Q12" s="11">
        <v>2154</v>
      </c>
      <c r="R12" s="11">
        <v>5811</v>
      </c>
      <c r="S12" s="11">
        <v>3442</v>
      </c>
      <c r="T12" s="11">
        <v>2361</v>
      </c>
      <c r="U12" s="11">
        <v>4598</v>
      </c>
      <c r="V12" s="11">
        <v>1902</v>
      </c>
      <c r="W12" s="11">
        <v>3644</v>
      </c>
      <c r="X12" s="11"/>
      <c r="Y12" s="11">
        <v>184</v>
      </c>
      <c r="Z12" s="11">
        <v>4062</v>
      </c>
      <c r="AA12" s="11">
        <v>4080</v>
      </c>
      <c r="AB12" s="11">
        <v>4790</v>
      </c>
      <c r="AC12" s="17">
        <f t="shared" si="0"/>
        <v>9.6322083694927063E-2</v>
      </c>
      <c r="AD12" s="11">
        <f t="shared" si="1"/>
        <v>5246</v>
      </c>
      <c r="AE12" s="11">
        <f t="shared" si="2"/>
        <v>3416</v>
      </c>
      <c r="AF12" s="28">
        <f t="shared" si="9"/>
        <v>0.65116279069767447</v>
      </c>
      <c r="AG12" s="42">
        <f t="shared" si="3"/>
        <v>2.9330111296312075E-2</v>
      </c>
      <c r="AH12" s="14" t="str">
        <f t="shared" si="4"/>
        <v>*</v>
      </c>
      <c r="AI12" s="11">
        <f t="shared" si="5"/>
        <v>127</v>
      </c>
      <c r="AJ12" s="11">
        <f t="shared" si="6"/>
        <v>127</v>
      </c>
      <c r="AK12" s="11">
        <f t="shared" si="7"/>
        <v>8.9376008438368293E-2</v>
      </c>
      <c r="AL12" s="42">
        <f t="shared" si="8"/>
        <v>8.9376008438368293E-2</v>
      </c>
      <c r="AM12" s="14" t="str">
        <f t="shared" si="10"/>
        <v>*</v>
      </c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</row>
    <row r="13" spans="1:56" ht="27" customHeight="1" x14ac:dyDescent="0.2">
      <c r="A13" s="9" t="s">
        <v>356</v>
      </c>
      <c r="B13" s="11">
        <v>1004</v>
      </c>
      <c r="C13" s="2">
        <v>337.310024912573</v>
      </c>
      <c r="D13" s="2">
        <v>6.6161862745097597</v>
      </c>
      <c r="E13" s="2">
        <v>-1</v>
      </c>
      <c r="F13" s="12" t="s">
        <v>267</v>
      </c>
      <c r="G13" s="12" t="s">
        <v>10</v>
      </c>
      <c r="H13" s="5"/>
      <c r="I13" s="11">
        <v>2129</v>
      </c>
      <c r="J13" s="11">
        <v>2842</v>
      </c>
      <c r="K13" s="11">
        <v>3030</v>
      </c>
      <c r="L13" s="11">
        <v>1094</v>
      </c>
      <c r="M13" s="11">
        <v>2970</v>
      </c>
      <c r="N13" s="11">
        <v>3281</v>
      </c>
      <c r="O13" s="11">
        <v>3023</v>
      </c>
      <c r="P13" s="11"/>
      <c r="Q13" s="11">
        <v>1036</v>
      </c>
      <c r="R13" s="11">
        <v>3325</v>
      </c>
      <c r="S13" s="11">
        <v>2508</v>
      </c>
      <c r="T13" s="11">
        <v>2211</v>
      </c>
      <c r="U13" s="11">
        <v>2838</v>
      </c>
      <c r="V13" s="11">
        <v>1613</v>
      </c>
      <c r="W13" s="11">
        <v>2607</v>
      </c>
      <c r="X13" s="11"/>
      <c r="Y13" s="11">
        <v>553</v>
      </c>
      <c r="Z13" s="11">
        <v>2138</v>
      </c>
      <c r="AA13" s="11">
        <v>2577</v>
      </c>
      <c r="AB13" s="11">
        <v>2843</v>
      </c>
      <c r="AC13" s="17">
        <f t="shared" si="0"/>
        <v>0.14131521454762733</v>
      </c>
      <c r="AD13" s="11">
        <f t="shared" si="1"/>
        <v>2624.1428571428573</v>
      </c>
      <c r="AE13" s="11">
        <f t="shared" si="2"/>
        <v>2305.4285714285716</v>
      </c>
      <c r="AF13" s="28">
        <f t="shared" si="9"/>
        <v>0.87854537536066202</v>
      </c>
      <c r="AG13" s="42">
        <f t="shared" si="3"/>
        <v>0.45211783388960436</v>
      </c>
      <c r="AH13" s="14" t="str">
        <f t="shared" si="4"/>
        <v>-</v>
      </c>
      <c r="AI13" s="11">
        <f t="shared" si="5"/>
        <v>309</v>
      </c>
      <c r="AJ13" s="11">
        <f t="shared" si="6"/>
        <v>309</v>
      </c>
      <c r="AK13" s="11">
        <f t="shared" si="7"/>
        <v>0.56624466574523269</v>
      </c>
      <c r="AL13" s="42">
        <f t="shared" si="8"/>
        <v>0.56624466574523269</v>
      </c>
      <c r="AM13" s="14" t="str">
        <f t="shared" si="10"/>
        <v/>
      </c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</row>
    <row r="14" spans="1:56" ht="27" customHeight="1" x14ac:dyDescent="0.2">
      <c r="A14" s="9" t="s">
        <v>356</v>
      </c>
      <c r="B14" s="11">
        <v>1216</v>
      </c>
      <c r="C14" s="2">
        <v>275.20125471460898</v>
      </c>
      <c r="D14" s="2">
        <v>4.1953230769230698</v>
      </c>
      <c r="E14" s="2">
        <v>-1</v>
      </c>
      <c r="F14" s="12" t="s">
        <v>310</v>
      </c>
      <c r="G14" s="12" t="s">
        <v>10</v>
      </c>
      <c r="H14" s="5"/>
      <c r="I14" s="11">
        <v>386</v>
      </c>
      <c r="J14" s="11">
        <v>297</v>
      </c>
      <c r="K14" s="11">
        <v>358</v>
      </c>
      <c r="L14" s="11">
        <v>484</v>
      </c>
      <c r="M14" s="11">
        <v>373</v>
      </c>
      <c r="N14" s="11">
        <v>255</v>
      </c>
      <c r="O14" s="11">
        <v>184</v>
      </c>
      <c r="P14" s="11"/>
      <c r="Q14" s="11">
        <v>242</v>
      </c>
      <c r="R14" s="11">
        <v>1039</v>
      </c>
      <c r="S14" s="11">
        <v>519</v>
      </c>
      <c r="T14" s="11">
        <v>799</v>
      </c>
      <c r="U14" s="11">
        <v>2697</v>
      </c>
      <c r="V14" s="11">
        <v>631</v>
      </c>
      <c r="W14" s="11">
        <v>1265</v>
      </c>
      <c r="X14" s="11"/>
      <c r="Y14" s="11">
        <v>9</v>
      </c>
      <c r="Z14" s="11">
        <v>512</v>
      </c>
      <c r="AA14" s="11">
        <v>775</v>
      </c>
      <c r="AB14" s="11">
        <v>819</v>
      </c>
      <c r="AC14" s="17">
        <f t="shared" si="0"/>
        <v>0.23648010811773823</v>
      </c>
      <c r="AD14" s="11">
        <f t="shared" si="1"/>
        <v>333.85714285714283</v>
      </c>
      <c r="AE14" s="11">
        <f t="shared" si="2"/>
        <v>1027.4285714285713</v>
      </c>
      <c r="AF14" s="28">
        <f t="shared" si="9"/>
        <v>3.0774497218656398</v>
      </c>
      <c r="AG14" s="42">
        <f t="shared" si="3"/>
        <v>6.4077301423484959E-2</v>
      </c>
      <c r="AH14" s="14" t="str">
        <f t="shared" si="4"/>
        <v>-</v>
      </c>
      <c r="AI14" s="11">
        <f t="shared" si="5"/>
        <v>174</v>
      </c>
      <c r="AJ14" s="11">
        <f t="shared" si="6"/>
        <v>174</v>
      </c>
      <c r="AK14" s="11">
        <f t="shared" si="7"/>
        <v>0.14251675661430277</v>
      </c>
      <c r="AL14" s="42">
        <f t="shared" si="8"/>
        <v>0.14201734413187933</v>
      </c>
      <c r="AM14" s="14" t="str">
        <f t="shared" si="10"/>
        <v/>
      </c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</row>
    <row r="15" spans="1:56" ht="27" customHeight="1" x14ac:dyDescent="0.2">
      <c r="A15" s="9" t="s">
        <v>356</v>
      </c>
      <c r="B15" s="11">
        <v>1612</v>
      </c>
      <c r="C15" s="2">
        <v>307.26297305192497</v>
      </c>
      <c r="D15" s="2">
        <v>5.6610500000000599</v>
      </c>
      <c r="E15" s="2">
        <v>-1</v>
      </c>
      <c r="F15" s="12" t="s">
        <v>300</v>
      </c>
      <c r="G15" s="12" t="s">
        <v>10</v>
      </c>
      <c r="H15" s="5"/>
      <c r="I15" s="11">
        <v>781</v>
      </c>
      <c r="J15" s="11">
        <v>924</v>
      </c>
      <c r="K15" s="11">
        <v>683</v>
      </c>
      <c r="L15" s="11">
        <v>145</v>
      </c>
      <c r="M15" s="11">
        <v>764</v>
      </c>
      <c r="N15" s="11">
        <v>1296</v>
      </c>
      <c r="O15" s="11">
        <v>911</v>
      </c>
      <c r="P15" s="11"/>
      <c r="Q15" s="11">
        <v>1006</v>
      </c>
      <c r="R15" s="11">
        <v>1965</v>
      </c>
      <c r="S15" s="11">
        <v>1484</v>
      </c>
      <c r="T15" s="11">
        <v>936</v>
      </c>
      <c r="U15" s="11">
        <v>1261</v>
      </c>
      <c r="V15" s="11">
        <v>1056</v>
      </c>
      <c r="W15" s="11">
        <v>1877</v>
      </c>
      <c r="X15" s="11"/>
      <c r="Y15" s="11">
        <v>42</v>
      </c>
      <c r="Z15" s="11">
        <v>1155</v>
      </c>
      <c r="AA15" s="11">
        <v>1182</v>
      </c>
      <c r="AB15" s="11">
        <v>1361</v>
      </c>
      <c r="AC15" s="17">
        <f t="shared" si="0"/>
        <v>9.0824908264657778E-2</v>
      </c>
      <c r="AD15" s="11">
        <f t="shared" si="1"/>
        <v>786.28571428571433</v>
      </c>
      <c r="AE15" s="11">
        <f t="shared" si="2"/>
        <v>1369.2857142857142</v>
      </c>
      <c r="AF15" s="28">
        <f t="shared" si="9"/>
        <v>1.7414607558139532</v>
      </c>
      <c r="AG15" s="42">
        <f t="shared" si="3"/>
        <v>1.5419534722793053E-2</v>
      </c>
      <c r="AH15" s="14" t="str">
        <f t="shared" si="4"/>
        <v>*</v>
      </c>
      <c r="AI15" s="11">
        <f t="shared" si="5"/>
        <v>96</v>
      </c>
      <c r="AJ15" s="11">
        <f t="shared" si="6"/>
        <v>96</v>
      </c>
      <c r="AK15" s="11">
        <f t="shared" si="7"/>
        <v>6.2159999351259494E-2</v>
      </c>
      <c r="AL15" s="42">
        <f t="shared" si="8"/>
        <v>6.145585314357644E-2</v>
      </c>
      <c r="AM15" s="14" t="str">
        <f t="shared" si="10"/>
        <v>*</v>
      </c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</row>
    <row r="16" spans="1:56" ht="27" customHeight="1" x14ac:dyDescent="0.2">
      <c r="A16" s="9" t="s">
        <v>356</v>
      </c>
      <c r="B16" s="11">
        <v>3845</v>
      </c>
      <c r="C16" s="2">
        <v>365.34127669154702</v>
      </c>
      <c r="D16" s="2">
        <v>7.0757377777777899</v>
      </c>
      <c r="E16" s="2">
        <v>-1</v>
      </c>
      <c r="F16" s="12" t="s">
        <v>326</v>
      </c>
      <c r="G16" s="12" t="s">
        <v>10</v>
      </c>
      <c r="H16" s="5"/>
      <c r="I16" s="11">
        <v>640</v>
      </c>
      <c r="J16" s="11">
        <v>375</v>
      </c>
      <c r="K16" s="11">
        <v>422</v>
      </c>
      <c r="L16" s="11">
        <v>0</v>
      </c>
      <c r="M16" s="11">
        <v>172</v>
      </c>
      <c r="N16" s="11">
        <v>439</v>
      </c>
      <c r="O16" s="11">
        <v>294</v>
      </c>
      <c r="P16" s="11"/>
      <c r="Q16" s="11">
        <v>225</v>
      </c>
      <c r="R16" s="11">
        <v>721</v>
      </c>
      <c r="S16" s="11">
        <v>185</v>
      </c>
      <c r="T16" s="11">
        <v>370</v>
      </c>
      <c r="U16" s="11">
        <v>635</v>
      </c>
      <c r="V16" s="11">
        <v>204</v>
      </c>
      <c r="W16" s="11">
        <v>792</v>
      </c>
      <c r="X16" s="11"/>
      <c r="Y16" s="11">
        <v>4</v>
      </c>
      <c r="Z16" s="11">
        <v>334</v>
      </c>
      <c r="AA16" s="11">
        <v>325</v>
      </c>
      <c r="AB16" s="11">
        <v>339</v>
      </c>
      <c r="AC16" s="17">
        <f t="shared" si="0"/>
        <v>2.1326449552898558E-2</v>
      </c>
      <c r="AD16" s="11">
        <f t="shared" si="1"/>
        <v>334.57142857142856</v>
      </c>
      <c r="AE16" s="11">
        <f t="shared" si="2"/>
        <v>447.42857142857144</v>
      </c>
      <c r="AF16" s="28">
        <f t="shared" si="9"/>
        <v>1.3373185311699403</v>
      </c>
      <c r="AG16" s="42">
        <f t="shared" si="3"/>
        <v>0.38868307248313871</v>
      </c>
      <c r="AH16" s="14" t="str">
        <f t="shared" si="4"/>
        <v>-</v>
      </c>
      <c r="AI16" s="11">
        <f t="shared" si="5"/>
        <v>291</v>
      </c>
      <c r="AJ16" s="11">
        <f t="shared" si="6"/>
        <v>291</v>
      </c>
      <c r="AK16" s="11">
        <f t="shared" si="7"/>
        <v>0.51690841598273085</v>
      </c>
      <c r="AL16" s="42">
        <f t="shared" si="8"/>
        <v>0.51177444068705213</v>
      </c>
      <c r="AM16" s="14" t="str">
        <f t="shared" si="10"/>
        <v/>
      </c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</row>
    <row r="17" spans="1:56" ht="27" customHeight="1" x14ac:dyDescent="0.2">
      <c r="A17" s="9" t="s">
        <v>356</v>
      </c>
      <c r="B17" s="11">
        <v>4477</v>
      </c>
      <c r="C17" s="2">
        <v>357.27785820162399</v>
      </c>
      <c r="D17" s="2">
        <v>5.7553374999999898</v>
      </c>
      <c r="E17" s="2">
        <v>-1</v>
      </c>
      <c r="F17" s="12" t="s">
        <v>355</v>
      </c>
      <c r="G17" s="12" t="s">
        <v>10</v>
      </c>
      <c r="H17" s="5"/>
      <c r="I17" s="11">
        <v>9</v>
      </c>
      <c r="J17" s="11">
        <v>232</v>
      </c>
      <c r="K17" s="11">
        <v>9</v>
      </c>
      <c r="L17" s="11">
        <v>9</v>
      </c>
      <c r="M17" s="11">
        <v>33</v>
      </c>
      <c r="N17" s="11">
        <v>146</v>
      </c>
      <c r="O17" s="11">
        <v>251</v>
      </c>
      <c r="P17" s="11"/>
      <c r="Q17" s="11">
        <v>326</v>
      </c>
      <c r="R17" s="11">
        <v>709</v>
      </c>
      <c r="S17" s="11">
        <v>299</v>
      </c>
      <c r="T17" s="11">
        <v>448</v>
      </c>
      <c r="U17" s="11">
        <v>275</v>
      </c>
      <c r="V17" s="11">
        <v>145</v>
      </c>
      <c r="W17" s="11">
        <v>321</v>
      </c>
      <c r="X17" s="11"/>
      <c r="Y17" s="11">
        <v>4</v>
      </c>
      <c r="Z17" s="11">
        <v>373</v>
      </c>
      <c r="AA17" s="11">
        <v>303</v>
      </c>
      <c r="AB17" s="11">
        <v>235</v>
      </c>
      <c r="AC17" s="17">
        <f t="shared" si="0"/>
        <v>0.22723078622390838</v>
      </c>
      <c r="AD17" s="11">
        <f t="shared" si="1"/>
        <v>98.428571428571431</v>
      </c>
      <c r="AE17" s="11">
        <f t="shared" si="2"/>
        <v>360.42857142857144</v>
      </c>
      <c r="AF17" s="28">
        <f t="shared" si="9"/>
        <v>3.6618287373004357</v>
      </c>
      <c r="AG17" s="42">
        <f t="shared" si="3"/>
        <v>7.7342226370557942E-3</v>
      </c>
      <c r="AH17" s="14" t="str">
        <f t="shared" si="4"/>
        <v>**</v>
      </c>
      <c r="AI17" s="11">
        <f t="shared" si="5"/>
        <v>66</v>
      </c>
      <c r="AJ17" s="11">
        <f t="shared" si="6"/>
        <v>66</v>
      </c>
      <c r="AK17" s="11">
        <f t="shared" si="7"/>
        <v>4.5350669099099884E-2</v>
      </c>
      <c r="AL17" s="42">
        <f t="shared" si="8"/>
        <v>4.4964454355635758E-2</v>
      </c>
      <c r="AM17" s="14" t="str">
        <f t="shared" si="10"/>
        <v>**</v>
      </c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</row>
    <row r="18" spans="1:56" ht="27" customHeight="1" x14ac:dyDescent="0.2">
      <c r="A18" s="9" t="s">
        <v>356</v>
      </c>
      <c r="B18" s="11">
        <v>372</v>
      </c>
      <c r="C18" s="2">
        <v>299.258263098589</v>
      </c>
      <c r="D18" s="2">
        <v>3.9105488888889299</v>
      </c>
      <c r="E18" s="2">
        <v>-1</v>
      </c>
      <c r="F18" s="12" t="s">
        <v>547</v>
      </c>
      <c r="G18" s="12" t="s">
        <v>285</v>
      </c>
      <c r="H18" s="5"/>
      <c r="I18" s="11">
        <v>1174</v>
      </c>
      <c r="J18" s="11">
        <v>3993</v>
      </c>
      <c r="K18" s="11">
        <v>800</v>
      </c>
      <c r="L18" s="11">
        <v>1299</v>
      </c>
      <c r="M18" s="11">
        <v>2261</v>
      </c>
      <c r="N18" s="11">
        <v>8833</v>
      </c>
      <c r="O18" s="11">
        <v>4042</v>
      </c>
      <c r="P18" s="11"/>
      <c r="Q18" s="11">
        <v>2503</v>
      </c>
      <c r="R18" s="11">
        <v>9822</v>
      </c>
      <c r="S18" s="11">
        <v>9091</v>
      </c>
      <c r="T18" s="11">
        <v>2156</v>
      </c>
      <c r="U18" s="11">
        <v>9341</v>
      </c>
      <c r="V18" s="11">
        <v>8686</v>
      </c>
      <c r="W18" s="11">
        <v>1432</v>
      </c>
      <c r="X18" s="11"/>
      <c r="Y18" s="11">
        <v>805</v>
      </c>
      <c r="Z18" s="11">
        <v>5054</v>
      </c>
      <c r="AA18" s="11">
        <v>6377</v>
      </c>
      <c r="AB18" s="11">
        <v>5604</v>
      </c>
      <c r="AC18" s="17">
        <f t="shared" si="0"/>
        <v>0.11704578049297081</v>
      </c>
      <c r="AD18" s="11">
        <f t="shared" si="1"/>
        <v>3200.2857142857142</v>
      </c>
      <c r="AE18" s="11">
        <f t="shared" si="2"/>
        <v>6147.2857142857147</v>
      </c>
      <c r="AF18" s="28">
        <f t="shared" si="9"/>
        <v>1.920855280778502</v>
      </c>
      <c r="AG18" s="42">
        <f t="shared" si="3"/>
        <v>0.13202943737235143</v>
      </c>
      <c r="AH18" s="14" t="str">
        <f t="shared" si="4"/>
        <v>-</v>
      </c>
      <c r="AI18" s="11">
        <f t="shared" si="5"/>
        <v>218</v>
      </c>
      <c r="AJ18" s="11">
        <f t="shared" si="6"/>
        <v>218</v>
      </c>
      <c r="AK18" s="11">
        <f t="shared" si="7"/>
        <v>0.23438253331697248</v>
      </c>
      <c r="AL18" s="42">
        <f t="shared" si="8"/>
        <v>0.2334936434615778</v>
      </c>
      <c r="AM18" s="14" t="str">
        <f t="shared" si="10"/>
        <v/>
      </c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</row>
    <row r="19" spans="1:56" ht="27" customHeight="1" x14ac:dyDescent="0.2">
      <c r="A19" s="9" t="s">
        <v>356</v>
      </c>
      <c r="B19" s="11">
        <v>2855</v>
      </c>
      <c r="C19" s="2">
        <v>297.24255034664202</v>
      </c>
      <c r="D19" s="2">
        <v>4.4943555555554999</v>
      </c>
      <c r="E19" s="2">
        <v>-2</v>
      </c>
      <c r="F19" s="12" t="s">
        <v>284</v>
      </c>
      <c r="G19" s="12" t="s">
        <v>285</v>
      </c>
      <c r="H19" s="5"/>
      <c r="I19" s="11">
        <v>685</v>
      </c>
      <c r="J19" s="11">
        <v>496</v>
      </c>
      <c r="K19" s="11">
        <v>737</v>
      </c>
      <c r="L19" s="11">
        <v>720</v>
      </c>
      <c r="M19" s="11">
        <v>664</v>
      </c>
      <c r="N19" s="11">
        <v>591</v>
      </c>
      <c r="O19" s="11">
        <v>989</v>
      </c>
      <c r="P19" s="11"/>
      <c r="Q19" s="11">
        <v>739</v>
      </c>
      <c r="R19" s="11">
        <v>550</v>
      </c>
      <c r="S19" s="11">
        <v>762</v>
      </c>
      <c r="T19" s="11">
        <v>476</v>
      </c>
      <c r="U19" s="11">
        <v>1042</v>
      </c>
      <c r="V19" s="11">
        <v>433</v>
      </c>
      <c r="W19" s="11">
        <v>328</v>
      </c>
      <c r="X19" s="11"/>
      <c r="Y19" s="11">
        <v>248</v>
      </c>
      <c r="Z19" s="11">
        <v>743</v>
      </c>
      <c r="AA19" s="11">
        <v>821</v>
      </c>
      <c r="AB19" s="11">
        <v>743</v>
      </c>
      <c r="AC19" s="17">
        <f t="shared" si="0"/>
        <v>5.8560885561496495E-2</v>
      </c>
      <c r="AD19" s="11">
        <f t="shared" si="1"/>
        <v>697.42857142857144</v>
      </c>
      <c r="AE19" s="11">
        <f t="shared" si="2"/>
        <v>618.57142857142856</v>
      </c>
      <c r="AF19" s="28">
        <f t="shared" si="9"/>
        <v>0.88693158541581318</v>
      </c>
      <c r="AG19" s="42">
        <f t="shared" si="3"/>
        <v>0.48565360581237182</v>
      </c>
      <c r="AH19" s="14" t="str">
        <f t="shared" si="4"/>
        <v>-</v>
      </c>
      <c r="AI19" s="11">
        <f t="shared" si="5"/>
        <v>315</v>
      </c>
      <c r="AJ19" s="11">
        <f t="shared" si="6"/>
        <v>315</v>
      </c>
      <c r="AK19" s="11">
        <f t="shared" si="7"/>
        <v>0.59666014428377112</v>
      </c>
      <c r="AL19" s="42">
        <f t="shared" si="8"/>
        <v>0.59666014428377112</v>
      </c>
      <c r="AM19" s="14" t="str">
        <f t="shared" si="10"/>
        <v/>
      </c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</row>
    <row r="20" spans="1:56" ht="27" customHeight="1" x14ac:dyDescent="0.2">
      <c r="A20" s="9" t="s">
        <v>356</v>
      </c>
      <c r="B20" s="11">
        <v>169</v>
      </c>
      <c r="C20" s="2">
        <v>1004.33642799492</v>
      </c>
      <c r="D20" s="2">
        <v>4.0831088235294102</v>
      </c>
      <c r="E20" s="2">
        <v>-1</v>
      </c>
      <c r="F20" s="12" t="s">
        <v>251</v>
      </c>
      <c r="G20" s="12" t="s">
        <v>215</v>
      </c>
      <c r="H20" s="5"/>
      <c r="I20" s="11">
        <v>10645</v>
      </c>
      <c r="J20" s="11">
        <v>10734</v>
      </c>
      <c r="K20" s="11">
        <v>6557</v>
      </c>
      <c r="L20" s="11">
        <v>4907</v>
      </c>
      <c r="M20" s="11">
        <v>16598</v>
      </c>
      <c r="N20" s="11">
        <v>22596</v>
      </c>
      <c r="O20" s="11">
        <v>14218</v>
      </c>
      <c r="P20" s="11"/>
      <c r="Q20" s="11">
        <v>4999</v>
      </c>
      <c r="R20" s="11">
        <v>5152</v>
      </c>
      <c r="S20" s="11">
        <v>1784</v>
      </c>
      <c r="T20" s="11">
        <v>3812</v>
      </c>
      <c r="U20" s="11">
        <v>6055</v>
      </c>
      <c r="V20" s="11">
        <v>6664</v>
      </c>
      <c r="W20" s="11">
        <v>6607</v>
      </c>
      <c r="X20" s="11"/>
      <c r="Y20" s="11">
        <v>0</v>
      </c>
      <c r="Z20" s="11">
        <v>7160</v>
      </c>
      <c r="AA20" s="11">
        <v>8011</v>
      </c>
      <c r="AB20" s="11">
        <v>9635</v>
      </c>
      <c r="AC20" s="17">
        <f t="shared" si="0"/>
        <v>0.15207504861469007</v>
      </c>
      <c r="AD20" s="11">
        <f t="shared" si="1"/>
        <v>12322.142857142857</v>
      </c>
      <c r="AE20" s="11">
        <f t="shared" si="2"/>
        <v>5010.4285714285716</v>
      </c>
      <c r="AF20" s="28">
        <f t="shared" si="9"/>
        <v>0.40661990609240045</v>
      </c>
      <c r="AG20" s="42">
        <f t="shared" si="3"/>
        <v>1.8281792622661441E-2</v>
      </c>
      <c r="AH20" s="14" t="str">
        <f t="shared" si="4"/>
        <v>*</v>
      </c>
      <c r="AI20" s="11">
        <f t="shared" si="5"/>
        <v>111</v>
      </c>
      <c r="AJ20" s="11">
        <f t="shared" si="6"/>
        <v>111</v>
      </c>
      <c r="AK20" s="11">
        <f t="shared" si="7"/>
        <v>6.3739222927657463E-2</v>
      </c>
      <c r="AL20" s="42">
        <f t="shared" si="8"/>
        <v>6.3739222927657463E-2</v>
      </c>
      <c r="AM20" s="14" t="str">
        <f t="shared" si="10"/>
        <v>*</v>
      </c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</row>
    <row r="21" spans="1:56" ht="27" customHeight="1" x14ac:dyDescent="0.2">
      <c r="A21" s="9" t="s">
        <v>356</v>
      </c>
      <c r="B21" s="11">
        <v>188</v>
      </c>
      <c r="C21" s="2">
        <v>1028.33694330967</v>
      </c>
      <c r="D21" s="2">
        <v>3.7863294117647599</v>
      </c>
      <c r="E21" s="2">
        <v>-1</v>
      </c>
      <c r="F21" s="12" t="s">
        <v>220</v>
      </c>
      <c r="G21" s="12" t="s">
        <v>215</v>
      </c>
      <c r="H21" s="5"/>
      <c r="I21" s="11">
        <v>10951</v>
      </c>
      <c r="J21" s="11">
        <v>10149</v>
      </c>
      <c r="K21" s="11">
        <v>5315</v>
      </c>
      <c r="L21" s="11">
        <v>3408</v>
      </c>
      <c r="M21" s="11">
        <v>17265</v>
      </c>
      <c r="N21" s="11">
        <v>20811</v>
      </c>
      <c r="O21" s="11">
        <v>11416</v>
      </c>
      <c r="P21" s="11"/>
      <c r="Q21" s="11">
        <v>2400</v>
      </c>
      <c r="R21" s="11">
        <v>4369</v>
      </c>
      <c r="S21" s="11">
        <v>1182</v>
      </c>
      <c r="T21" s="11">
        <v>2772</v>
      </c>
      <c r="U21" s="11">
        <v>8235</v>
      </c>
      <c r="V21" s="11">
        <v>3691</v>
      </c>
      <c r="W21" s="11">
        <v>4610</v>
      </c>
      <c r="X21" s="11"/>
      <c r="Y21" s="11">
        <v>0</v>
      </c>
      <c r="Z21" s="11">
        <v>7142</v>
      </c>
      <c r="AA21" s="11">
        <v>6700</v>
      </c>
      <c r="AB21" s="11">
        <v>7729</v>
      </c>
      <c r="AC21" s="17">
        <f t="shared" si="0"/>
        <v>7.1790815912224193E-2</v>
      </c>
      <c r="AD21" s="11">
        <f t="shared" si="1"/>
        <v>11330.714285714286</v>
      </c>
      <c r="AE21" s="11">
        <f t="shared" si="2"/>
        <v>3894.1428571428573</v>
      </c>
      <c r="AF21" s="28">
        <f t="shared" si="9"/>
        <v>0.34368026224547688</v>
      </c>
      <c r="AG21" s="42">
        <f t="shared" si="3"/>
        <v>1.7820201370930808E-2</v>
      </c>
      <c r="AH21" s="14" t="str">
        <f t="shared" si="4"/>
        <v>*</v>
      </c>
      <c r="AI21" s="11">
        <f t="shared" si="5"/>
        <v>109</v>
      </c>
      <c r="AJ21" s="11">
        <f t="shared" si="6"/>
        <v>109</v>
      </c>
      <c r="AK21" s="11">
        <f t="shared" si="7"/>
        <v>6.3269889271102955E-2</v>
      </c>
      <c r="AL21" s="42">
        <f t="shared" si="8"/>
        <v>6.3269889271102955E-2</v>
      </c>
      <c r="AM21" s="14" t="str">
        <f t="shared" si="10"/>
        <v>*</v>
      </c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</row>
    <row r="22" spans="1:56" ht="27" customHeight="1" x14ac:dyDescent="0.2">
      <c r="A22" s="9" t="s">
        <v>356</v>
      </c>
      <c r="B22" s="11">
        <v>222</v>
      </c>
      <c r="C22" s="2">
        <v>1030.35173993284</v>
      </c>
      <c r="D22" s="2">
        <v>4.1923666666665804</v>
      </c>
      <c r="E22" s="2">
        <v>-1</v>
      </c>
      <c r="F22" s="12" t="s">
        <v>214</v>
      </c>
      <c r="G22" s="12" t="s">
        <v>215</v>
      </c>
      <c r="H22" s="5"/>
      <c r="I22" s="11">
        <v>8893</v>
      </c>
      <c r="J22" s="11">
        <v>8838</v>
      </c>
      <c r="K22" s="11">
        <v>6408</v>
      </c>
      <c r="L22" s="11">
        <v>5095</v>
      </c>
      <c r="M22" s="11">
        <v>17725</v>
      </c>
      <c r="N22" s="11">
        <v>15204</v>
      </c>
      <c r="O22" s="11">
        <v>13441</v>
      </c>
      <c r="P22" s="11"/>
      <c r="Q22" s="11">
        <v>3495</v>
      </c>
      <c r="R22" s="11">
        <v>5987</v>
      </c>
      <c r="S22" s="11">
        <v>1552</v>
      </c>
      <c r="T22" s="11">
        <v>3881</v>
      </c>
      <c r="U22" s="11">
        <v>6075</v>
      </c>
      <c r="V22" s="11">
        <v>4379</v>
      </c>
      <c r="W22" s="11">
        <v>4794</v>
      </c>
      <c r="X22" s="11"/>
      <c r="Y22" s="11">
        <v>0</v>
      </c>
      <c r="Z22" s="11">
        <v>7812</v>
      </c>
      <c r="AA22" s="11">
        <v>9300</v>
      </c>
      <c r="AB22" s="11">
        <v>6854</v>
      </c>
      <c r="AC22" s="17">
        <f t="shared" si="0"/>
        <v>0.15428518235102934</v>
      </c>
      <c r="AD22" s="11">
        <f t="shared" si="1"/>
        <v>10800.571428571429</v>
      </c>
      <c r="AE22" s="11">
        <f t="shared" si="2"/>
        <v>4309</v>
      </c>
      <c r="AF22" s="28">
        <f t="shared" si="9"/>
        <v>0.39896037246706523</v>
      </c>
      <c r="AG22" s="42">
        <f t="shared" si="3"/>
        <v>9.9507189080693201E-3</v>
      </c>
      <c r="AH22" s="14" t="str">
        <f t="shared" si="4"/>
        <v>**</v>
      </c>
      <c r="AI22" s="11">
        <f t="shared" si="5"/>
        <v>73</v>
      </c>
      <c r="AJ22" s="11">
        <f t="shared" si="6"/>
        <v>73</v>
      </c>
      <c r="AK22" s="11">
        <f t="shared" si="7"/>
        <v>5.2752441334559273E-2</v>
      </c>
      <c r="AL22" s="42">
        <f t="shared" si="8"/>
        <v>5.2752441334559273E-2</v>
      </c>
      <c r="AM22" s="14" t="str">
        <f t="shared" si="10"/>
        <v>*</v>
      </c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</row>
    <row r="23" spans="1:56" ht="27" customHeight="1" x14ac:dyDescent="0.2">
      <c r="A23" s="9" t="s">
        <v>356</v>
      </c>
      <c r="B23" s="11">
        <v>348</v>
      </c>
      <c r="C23" s="2">
        <v>1032.3679441041099</v>
      </c>
      <c r="D23" s="2">
        <v>4.6774470588235797</v>
      </c>
      <c r="E23" s="2">
        <v>-1</v>
      </c>
      <c r="F23" s="12" t="s">
        <v>331</v>
      </c>
      <c r="G23" s="12" t="s">
        <v>215</v>
      </c>
      <c r="H23" s="5"/>
      <c r="I23" s="11">
        <v>4566</v>
      </c>
      <c r="J23" s="11">
        <v>6191</v>
      </c>
      <c r="K23" s="11">
        <v>2636</v>
      </c>
      <c r="L23" s="11">
        <v>1912</v>
      </c>
      <c r="M23" s="11">
        <v>7877</v>
      </c>
      <c r="N23" s="11">
        <v>10503</v>
      </c>
      <c r="O23" s="11">
        <v>8671</v>
      </c>
      <c r="P23" s="11"/>
      <c r="Q23" s="11">
        <v>1966</v>
      </c>
      <c r="R23" s="11">
        <v>3460</v>
      </c>
      <c r="S23" s="11">
        <v>925</v>
      </c>
      <c r="T23" s="11">
        <v>1923</v>
      </c>
      <c r="U23" s="11">
        <v>3086</v>
      </c>
      <c r="V23" s="11">
        <v>2151</v>
      </c>
      <c r="W23" s="11">
        <v>4987</v>
      </c>
      <c r="X23" s="11"/>
      <c r="Y23" s="11">
        <v>0</v>
      </c>
      <c r="Z23" s="11">
        <v>3382</v>
      </c>
      <c r="AA23" s="11">
        <v>3717</v>
      </c>
      <c r="AB23" s="11">
        <v>4726</v>
      </c>
      <c r="AC23" s="17">
        <f t="shared" si="0"/>
        <v>0.17748840352142936</v>
      </c>
      <c r="AD23" s="11">
        <f t="shared" si="1"/>
        <v>6050.8571428571431</v>
      </c>
      <c r="AE23" s="11">
        <f t="shared" si="2"/>
        <v>2642.5714285714284</v>
      </c>
      <c r="AF23" s="28">
        <f t="shared" si="9"/>
        <v>0.43672679195391439</v>
      </c>
      <c r="AG23" s="42">
        <f t="shared" si="3"/>
        <v>3.1048830920991789E-2</v>
      </c>
      <c r="AH23" s="14" t="str">
        <f t="shared" si="4"/>
        <v>*</v>
      </c>
      <c r="AI23" s="11">
        <f t="shared" si="5"/>
        <v>131</v>
      </c>
      <c r="AJ23" s="11">
        <f t="shared" si="6"/>
        <v>131</v>
      </c>
      <c r="AK23" s="11">
        <f t="shared" si="7"/>
        <v>9.1724408903998647E-2</v>
      </c>
      <c r="AL23" s="42">
        <f t="shared" si="8"/>
        <v>9.1233024603603066E-2</v>
      </c>
      <c r="AM23" s="14" t="str">
        <f t="shared" si="10"/>
        <v>*</v>
      </c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</row>
    <row r="24" spans="1:56" ht="27" customHeight="1" x14ac:dyDescent="0.2">
      <c r="A24" s="9" t="s">
        <v>356</v>
      </c>
      <c r="B24" s="11">
        <v>416</v>
      </c>
      <c r="C24" s="2">
        <v>976.30401563214104</v>
      </c>
      <c r="D24" s="2">
        <v>3.41878541666668</v>
      </c>
      <c r="E24" s="2">
        <v>-1</v>
      </c>
      <c r="F24" s="12" t="s">
        <v>293</v>
      </c>
      <c r="G24" s="12" t="s">
        <v>215</v>
      </c>
      <c r="H24" s="5"/>
      <c r="I24" s="11">
        <v>3018</v>
      </c>
      <c r="J24" s="11">
        <v>3472</v>
      </c>
      <c r="K24" s="11">
        <v>2431</v>
      </c>
      <c r="L24" s="11">
        <v>2643</v>
      </c>
      <c r="M24" s="11">
        <v>8756</v>
      </c>
      <c r="N24" s="11">
        <v>5960</v>
      </c>
      <c r="O24" s="11">
        <v>7328</v>
      </c>
      <c r="P24" s="11"/>
      <c r="Q24" s="11">
        <v>1333</v>
      </c>
      <c r="R24" s="11">
        <v>2465</v>
      </c>
      <c r="S24" s="11">
        <v>554</v>
      </c>
      <c r="T24" s="11">
        <v>909</v>
      </c>
      <c r="U24" s="11">
        <v>1803</v>
      </c>
      <c r="V24" s="11">
        <v>1317</v>
      </c>
      <c r="W24" s="11">
        <v>2077</v>
      </c>
      <c r="X24" s="11"/>
      <c r="Y24" s="11">
        <v>0</v>
      </c>
      <c r="Z24" s="11">
        <v>2863</v>
      </c>
      <c r="AA24" s="11">
        <v>2812</v>
      </c>
      <c r="AB24" s="11">
        <v>3479</v>
      </c>
      <c r="AC24" s="17">
        <f t="shared" si="0"/>
        <v>0.12166713930845258</v>
      </c>
      <c r="AD24" s="11">
        <f t="shared" si="1"/>
        <v>4801.1428571428569</v>
      </c>
      <c r="AE24" s="11">
        <f t="shared" si="2"/>
        <v>1494</v>
      </c>
      <c r="AF24" s="28">
        <f t="shared" si="9"/>
        <v>0.3111759104975006</v>
      </c>
      <c r="AG24" s="42">
        <f t="shared" si="3"/>
        <v>1.2946850585616723E-2</v>
      </c>
      <c r="AH24" s="14" t="str">
        <f t="shared" si="4"/>
        <v>*</v>
      </c>
      <c r="AI24" s="11">
        <f t="shared" si="5"/>
        <v>85</v>
      </c>
      <c r="AJ24" s="11">
        <f t="shared" si="6"/>
        <v>85</v>
      </c>
      <c r="AK24" s="11">
        <f t="shared" si="7"/>
        <v>5.8946249136866725E-2</v>
      </c>
      <c r="AL24" s="42">
        <f t="shared" si="8"/>
        <v>5.8469712398672366E-2</v>
      </c>
      <c r="AM24" s="14" t="str">
        <f t="shared" si="10"/>
        <v>*</v>
      </c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</row>
    <row r="25" spans="1:56" ht="27" customHeight="1" x14ac:dyDescent="0.2">
      <c r="A25" s="9" t="s">
        <v>356</v>
      </c>
      <c r="B25" s="11">
        <v>454</v>
      </c>
      <c r="C25" s="2">
        <v>1000.30549505543</v>
      </c>
      <c r="D25" s="2">
        <v>3.1517333333332598</v>
      </c>
      <c r="E25" s="2">
        <v>-1</v>
      </c>
      <c r="F25" s="12" t="s">
        <v>264</v>
      </c>
      <c r="G25" s="12" t="s">
        <v>215</v>
      </c>
      <c r="H25" s="5"/>
      <c r="I25" s="11">
        <v>3365</v>
      </c>
      <c r="J25" s="11">
        <v>4891</v>
      </c>
      <c r="K25" s="11">
        <v>2268</v>
      </c>
      <c r="L25" s="11">
        <v>1011</v>
      </c>
      <c r="M25" s="11">
        <v>6030</v>
      </c>
      <c r="N25" s="11">
        <v>7870</v>
      </c>
      <c r="O25" s="11">
        <v>4876</v>
      </c>
      <c r="P25" s="11"/>
      <c r="Q25" s="11">
        <v>698</v>
      </c>
      <c r="R25" s="11">
        <v>1217</v>
      </c>
      <c r="S25" s="11">
        <v>557</v>
      </c>
      <c r="T25" s="11">
        <v>1219</v>
      </c>
      <c r="U25" s="11">
        <v>3088</v>
      </c>
      <c r="V25" s="11">
        <v>1963</v>
      </c>
      <c r="W25" s="11">
        <v>1663</v>
      </c>
      <c r="X25" s="11"/>
      <c r="Y25" s="11">
        <v>0</v>
      </c>
      <c r="Z25" s="11">
        <v>2898</v>
      </c>
      <c r="AA25" s="11">
        <v>3021</v>
      </c>
      <c r="AB25" s="11">
        <v>3634</v>
      </c>
      <c r="AC25" s="17">
        <f t="shared" si="0"/>
        <v>0.12380898416642251</v>
      </c>
      <c r="AD25" s="11">
        <f t="shared" si="1"/>
        <v>4330.1428571428569</v>
      </c>
      <c r="AE25" s="11">
        <f t="shared" si="2"/>
        <v>1486.4285714285713</v>
      </c>
      <c r="AF25" s="28">
        <f t="shared" si="9"/>
        <v>0.34327471874896903</v>
      </c>
      <c r="AG25" s="42">
        <f t="shared" si="3"/>
        <v>1.6930324615710136E-2</v>
      </c>
      <c r="AH25" s="14" t="str">
        <f t="shared" si="4"/>
        <v>*</v>
      </c>
      <c r="AI25" s="11">
        <f t="shared" si="5"/>
        <v>105</v>
      </c>
      <c r="AJ25" s="11">
        <f t="shared" si="6"/>
        <v>105</v>
      </c>
      <c r="AK25" s="11">
        <f t="shared" si="7"/>
        <v>6.2400339297903076E-2</v>
      </c>
      <c r="AL25" s="42">
        <f t="shared" si="8"/>
        <v>6.1851950472227211E-2</v>
      </c>
      <c r="AM25" s="14" t="str">
        <f t="shared" si="10"/>
        <v>*</v>
      </c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</row>
    <row r="26" spans="1:56" ht="27" customHeight="1" x14ac:dyDescent="0.2">
      <c r="A26" s="9" t="s">
        <v>356</v>
      </c>
      <c r="B26" s="11">
        <v>470</v>
      </c>
      <c r="C26" s="2">
        <v>1002.32222437065</v>
      </c>
      <c r="D26" s="2">
        <v>3.5838617647058202</v>
      </c>
      <c r="E26" s="2">
        <v>-1</v>
      </c>
      <c r="F26" s="12" t="s">
        <v>281</v>
      </c>
      <c r="G26" s="12" t="s">
        <v>215</v>
      </c>
      <c r="H26" s="5"/>
      <c r="I26" s="11">
        <v>2976</v>
      </c>
      <c r="J26" s="11">
        <v>3695</v>
      </c>
      <c r="K26" s="11">
        <v>2696</v>
      </c>
      <c r="L26" s="11">
        <v>2216</v>
      </c>
      <c r="M26" s="11">
        <v>6321</v>
      </c>
      <c r="N26" s="11">
        <v>7541</v>
      </c>
      <c r="O26" s="11">
        <v>4748</v>
      </c>
      <c r="P26" s="11"/>
      <c r="Q26" s="11">
        <v>1955</v>
      </c>
      <c r="R26" s="11">
        <v>2131</v>
      </c>
      <c r="S26" s="11">
        <v>480</v>
      </c>
      <c r="T26" s="11">
        <v>1514</v>
      </c>
      <c r="U26" s="11">
        <v>2090</v>
      </c>
      <c r="V26" s="11">
        <v>1761</v>
      </c>
      <c r="W26" s="11">
        <v>1640</v>
      </c>
      <c r="X26" s="11"/>
      <c r="Y26" s="11">
        <v>0</v>
      </c>
      <c r="Z26" s="11">
        <v>2682</v>
      </c>
      <c r="AA26" s="11">
        <v>2880</v>
      </c>
      <c r="AB26" s="11">
        <v>3172</v>
      </c>
      <c r="AC26" s="17">
        <f t="shared" si="0"/>
        <v>8.4668470561673412E-2</v>
      </c>
      <c r="AD26" s="11">
        <f t="shared" si="1"/>
        <v>4313.2857142857147</v>
      </c>
      <c r="AE26" s="11">
        <f t="shared" si="2"/>
        <v>1653</v>
      </c>
      <c r="AF26" s="28">
        <f t="shared" si="9"/>
        <v>0.38323452455867252</v>
      </c>
      <c r="AG26" s="42">
        <f t="shared" si="3"/>
        <v>1.1572067659477934E-2</v>
      </c>
      <c r="AH26" s="14" t="str">
        <f t="shared" si="4"/>
        <v>*</v>
      </c>
      <c r="AI26" s="11">
        <f t="shared" si="5"/>
        <v>80</v>
      </c>
      <c r="AJ26" s="11">
        <f t="shared" si="6"/>
        <v>80</v>
      </c>
      <c r="AK26" s="11">
        <f t="shared" si="7"/>
        <v>5.5979877302724503E-2</v>
      </c>
      <c r="AL26" s="42">
        <f t="shared" si="8"/>
        <v>5.5721017285889844E-2</v>
      </c>
      <c r="AM26" s="14" t="str">
        <f t="shared" si="10"/>
        <v>*</v>
      </c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</row>
    <row r="27" spans="1:56" ht="27" customHeight="1" x14ac:dyDescent="0.2">
      <c r="A27" s="9" t="s">
        <v>356</v>
      </c>
      <c r="B27" s="11">
        <v>674</v>
      </c>
      <c r="C27" s="2">
        <v>1058.3839171631</v>
      </c>
      <c r="D27" s="2">
        <v>4.7424127450981102</v>
      </c>
      <c r="E27" s="2">
        <v>-1</v>
      </c>
      <c r="F27" s="12" t="s">
        <v>559</v>
      </c>
      <c r="G27" s="12" t="s">
        <v>215</v>
      </c>
      <c r="H27" s="5"/>
      <c r="I27" s="11">
        <v>2893</v>
      </c>
      <c r="J27" s="11">
        <v>2989</v>
      </c>
      <c r="K27" s="11">
        <v>1615</v>
      </c>
      <c r="L27" s="11">
        <v>930</v>
      </c>
      <c r="M27" s="11">
        <v>4162</v>
      </c>
      <c r="N27" s="11">
        <v>3647</v>
      </c>
      <c r="O27" s="11">
        <v>5256</v>
      </c>
      <c r="P27" s="11"/>
      <c r="Q27" s="11">
        <v>470</v>
      </c>
      <c r="R27" s="11">
        <v>1320</v>
      </c>
      <c r="S27" s="11">
        <v>182</v>
      </c>
      <c r="T27" s="11">
        <v>728</v>
      </c>
      <c r="U27" s="11">
        <v>1691</v>
      </c>
      <c r="V27" s="11">
        <v>917</v>
      </c>
      <c r="W27" s="11">
        <v>1225</v>
      </c>
      <c r="X27" s="11"/>
      <c r="Y27" s="11">
        <v>0</v>
      </c>
      <c r="Z27" s="11">
        <v>2031</v>
      </c>
      <c r="AA27" s="11">
        <v>1892</v>
      </c>
      <c r="AB27" s="11">
        <v>1789</v>
      </c>
      <c r="AC27" s="17">
        <f t="shared" si="0"/>
        <v>6.3784380782711286E-2</v>
      </c>
      <c r="AD27" s="11">
        <f t="shared" si="1"/>
        <v>3070.2857142857142</v>
      </c>
      <c r="AE27" s="11">
        <f t="shared" si="2"/>
        <v>933.28571428571433</v>
      </c>
      <c r="AF27" s="28">
        <f t="shared" si="9"/>
        <v>0.30397357156151128</v>
      </c>
      <c r="AG27" s="42">
        <f t="shared" si="3"/>
        <v>7.6464182275858602E-3</v>
      </c>
      <c r="AH27" s="14" t="str">
        <f t="shared" si="4"/>
        <v>**</v>
      </c>
      <c r="AI27" s="11">
        <f t="shared" si="5"/>
        <v>63</v>
      </c>
      <c r="AJ27" s="11">
        <f t="shared" si="6"/>
        <v>63</v>
      </c>
      <c r="AK27" s="11">
        <f t="shared" si="7"/>
        <v>4.6970854826598851E-2</v>
      </c>
      <c r="AL27" s="42">
        <f t="shared" si="8"/>
        <v>4.4964454355635758E-2</v>
      </c>
      <c r="AM27" s="14" t="str">
        <f t="shared" si="10"/>
        <v>**</v>
      </c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</row>
    <row r="28" spans="1:56" ht="27" customHeight="1" x14ac:dyDescent="0.2">
      <c r="A28" s="9" t="s">
        <v>356</v>
      </c>
      <c r="B28" s="11">
        <v>786</v>
      </c>
      <c r="C28" s="2">
        <v>948.27277162549399</v>
      </c>
      <c r="D28" s="2">
        <v>2.6415566666665899</v>
      </c>
      <c r="E28" s="2">
        <v>-1</v>
      </c>
      <c r="F28" s="12" t="s">
        <v>307</v>
      </c>
      <c r="G28" s="12" t="s">
        <v>215</v>
      </c>
      <c r="H28" s="5"/>
      <c r="I28" s="11">
        <v>1295</v>
      </c>
      <c r="J28" s="11">
        <v>2018</v>
      </c>
      <c r="K28" s="11">
        <v>805</v>
      </c>
      <c r="L28" s="11">
        <v>1341</v>
      </c>
      <c r="M28" s="11">
        <v>4380</v>
      </c>
      <c r="N28" s="11">
        <v>2815</v>
      </c>
      <c r="O28" s="11">
        <v>2336</v>
      </c>
      <c r="P28" s="11"/>
      <c r="Q28" s="11">
        <v>987</v>
      </c>
      <c r="R28" s="11">
        <v>1275</v>
      </c>
      <c r="S28" s="11">
        <v>198</v>
      </c>
      <c r="T28" s="11">
        <v>804</v>
      </c>
      <c r="U28" s="11">
        <v>756</v>
      </c>
      <c r="V28" s="11">
        <v>1014</v>
      </c>
      <c r="W28" s="11">
        <v>796</v>
      </c>
      <c r="X28" s="11"/>
      <c r="Y28" s="11">
        <v>0</v>
      </c>
      <c r="Z28" s="11">
        <v>1587</v>
      </c>
      <c r="AA28" s="11">
        <v>2000</v>
      </c>
      <c r="AB28" s="11">
        <v>1640</v>
      </c>
      <c r="AC28" s="17">
        <f t="shared" si="0"/>
        <v>0.12897296279018117</v>
      </c>
      <c r="AD28" s="11">
        <f t="shared" si="1"/>
        <v>2141.4285714285716</v>
      </c>
      <c r="AE28" s="11">
        <f t="shared" si="2"/>
        <v>832.85714285714289</v>
      </c>
      <c r="AF28" s="28">
        <f t="shared" si="9"/>
        <v>0.38892595063375585</v>
      </c>
      <c r="AG28" s="42">
        <f t="shared" si="3"/>
        <v>2.7752871825236895E-2</v>
      </c>
      <c r="AH28" s="14" t="str">
        <f t="shared" si="4"/>
        <v>*</v>
      </c>
      <c r="AI28" s="11">
        <f t="shared" si="5"/>
        <v>124</v>
      </c>
      <c r="AJ28" s="11">
        <f t="shared" si="6"/>
        <v>124</v>
      </c>
      <c r="AK28" s="11">
        <f t="shared" si="7"/>
        <v>8.6615817712634505E-2</v>
      </c>
      <c r="AL28" s="42">
        <f t="shared" si="8"/>
        <v>8.6457175535011574E-2</v>
      </c>
      <c r="AM28" s="14" t="str">
        <f t="shared" si="10"/>
        <v>*</v>
      </c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</row>
    <row r="29" spans="1:56" ht="27" customHeight="1" x14ac:dyDescent="0.2">
      <c r="A29" s="9" t="s">
        <v>356</v>
      </c>
      <c r="B29" s="11">
        <v>895</v>
      </c>
      <c r="C29" s="2">
        <v>1056.36631834579</v>
      </c>
      <c r="D29" s="2">
        <v>4.3646718750000604</v>
      </c>
      <c r="E29" s="2">
        <v>-1</v>
      </c>
      <c r="F29" s="12" t="s">
        <v>339</v>
      </c>
      <c r="G29" s="12" t="s">
        <v>215</v>
      </c>
      <c r="H29" s="5"/>
      <c r="I29" s="11">
        <v>3788</v>
      </c>
      <c r="J29" s="11">
        <v>3398</v>
      </c>
      <c r="K29" s="11">
        <v>1681</v>
      </c>
      <c r="L29" s="11">
        <v>873</v>
      </c>
      <c r="M29" s="11">
        <v>3248</v>
      </c>
      <c r="N29" s="11">
        <v>3284</v>
      </c>
      <c r="O29" s="11">
        <v>3810</v>
      </c>
      <c r="P29" s="11"/>
      <c r="Q29" s="11">
        <v>405</v>
      </c>
      <c r="R29" s="11">
        <v>1313</v>
      </c>
      <c r="S29" s="11">
        <v>147</v>
      </c>
      <c r="T29" s="11">
        <v>743</v>
      </c>
      <c r="U29" s="11">
        <v>2451</v>
      </c>
      <c r="V29" s="11">
        <v>1143</v>
      </c>
      <c r="W29" s="11">
        <v>1463</v>
      </c>
      <c r="X29" s="11"/>
      <c r="Y29" s="11">
        <v>0</v>
      </c>
      <c r="Z29" s="11">
        <v>1530</v>
      </c>
      <c r="AA29" s="11">
        <v>2381</v>
      </c>
      <c r="AB29" s="11">
        <v>1985</v>
      </c>
      <c r="AC29" s="17">
        <f t="shared" si="0"/>
        <v>0.21667608737401733</v>
      </c>
      <c r="AD29" s="11">
        <f t="shared" si="1"/>
        <v>2868.8571428571427</v>
      </c>
      <c r="AE29" s="11">
        <f t="shared" si="2"/>
        <v>1095</v>
      </c>
      <c r="AF29" s="28">
        <f t="shared" si="9"/>
        <v>0.38168509112638188</v>
      </c>
      <c r="AG29" s="42">
        <f t="shared" si="3"/>
        <v>5.9958872521138993E-3</v>
      </c>
      <c r="AH29" s="14" t="str">
        <f t="shared" si="4"/>
        <v>**</v>
      </c>
      <c r="AI29" s="11">
        <f t="shared" si="5"/>
        <v>57</v>
      </c>
      <c r="AJ29" s="11">
        <f t="shared" si="6"/>
        <v>57</v>
      </c>
      <c r="AK29" s="11">
        <f t="shared" si="7"/>
        <v>4.0708918711720686E-2</v>
      </c>
      <c r="AL29" s="42">
        <f t="shared" si="8"/>
        <v>4.0708918711720686E-2</v>
      </c>
      <c r="AM29" s="14" t="str">
        <f t="shared" si="10"/>
        <v>**</v>
      </c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</row>
    <row r="30" spans="1:56" ht="27" customHeight="1" x14ac:dyDescent="0.2">
      <c r="A30" s="9" t="s">
        <v>356</v>
      </c>
      <c r="B30" s="11">
        <v>1173</v>
      </c>
      <c r="C30" s="2">
        <v>1002.32088038234</v>
      </c>
      <c r="D30" s="2">
        <v>3.90981888888893</v>
      </c>
      <c r="E30" s="2">
        <v>-1</v>
      </c>
      <c r="F30" s="12" t="s">
        <v>281</v>
      </c>
      <c r="G30" s="12" t="s">
        <v>215</v>
      </c>
      <c r="H30" s="5"/>
      <c r="I30" s="11">
        <v>1937</v>
      </c>
      <c r="J30" s="11">
        <v>1612</v>
      </c>
      <c r="K30" s="11">
        <v>1135</v>
      </c>
      <c r="L30" s="11">
        <v>774</v>
      </c>
      <c r="M30" s="11">
        <v>2073</v>
      </c>
      <c r="N30" s="11">
        <v>2787</v>
      </c>
      <c r="O30" s="11">
        <v>2616</v>
      </c>
      <c r="P30" s="11"/>
      <c r="Q30" s="11">
        <v>517</v>
      </c>
      <c r="R30" s="11">
        <v>1953</v>
      </c>
      <c r="S30" s="11">
        <v>238</v>
      </c>
      <c r="T30" s="11">
        <v>370</v>
      </c>
      <c r="U30" s="11">
        <v>864</v>
      </c>
      <c r="V30" s="11">
        <v>586</v>
      </c>
      <c r="W30" s="11">
        <v>678</v>
      </c>
      <c r="X30" s="11"/>
      <c r="Y30" s="11">
        <v>4</v>
      </c>
      <c r="Z30" s="11">
        <v>1345</v>
      </c>
      <c r="AA30" s="11">
        <v>1255</v>
      </c>
      <c r="AB30" s="11">
        <v>1306</v>
      </c>
      <c r="AC30" s="17">
        <f t="shared" si="0"/>
        <v>3.4664467270036123E-2</v>
      </c>
      <c r="AD30" s="11">
        <f t="shared" si="1"/>
        <v>1847.7142857142858</v>
      </c>
      <c r="AE30" s="11">
        <f t="shared" si="2"/>
        <v>743.71428571428567</v>
      </c>
      <c r="AF30" s="28">
        <f t="shared" si="9"/>
        <v>0.40250502551414874</v>
      </c>
      <c r="AG30" s="42">
        <f t="shared" si="3"/>
        <v>9.1680590506969042E-3</v>
      </c>
      <c r="AH30" s="14" t="str">
        <f t="shared" si="4"/>
        <v>**</v>
      </c>
      <c r="AI30" s="11">
        <f t="shared" si="5"/>
        <v>72</v>
      </c>
      <c r="AJ30" s="11">
        <f t="shared" si="6"/>
        <v>72</v>
      </c>
      <c r="AK30" s="11">
        <f t="shared" si="7"/>
        <v>4.9278317397495858E-2</v>
      </c>
      <c r="AL30" s="42">
        <f t="shared" si="8"/>
        <v>4.9278317397495858E-2</v>
      </c>
      <c r="AM30" s="14" t="str">
        <f t="shared" si="10"/>
        <v>**</v>
      </c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</row>
    <row r="31" spans="1:56" ht="27" customHeight="1" x14ac:dyDescent="0.2">
      <c r="A31" s="9" t="s">
        <v>356</v>
      </c>
      <c r="B31" s="11">
        <v>1306</v>
      </c>
      <c r="C31" s="2">
        <v>974.28986603222597</v>
      </c>
      <c r="D31" s="2">
        <v>2.8726866666666</v>
      </c>
      <c r="E31" s="2">
        <v>-1</v>
      </c>
      <c r="F31" s="12" t="s">
        <v>318</v>
      </c>
      <c r="G31" s="12" t="s">
        <v>215</v>
      </c>
      <c r="H31" s="5"/>
      <c r="I31" s="11">
        <v>745</v>
      </c>
      <c r="J31" s="11">
        <v>1299</v>
      </c>
      <c r="K31" s="11">
        <v>1059</v>
      </c>
      <c r="L31" s="11">
        <v>844</v>
      </c>
      <c r="M31" s="11">
        <v>2928</v>
      </c>
      <c r="N31" s="11">
        <v>3211</v>
      </c>
      <c r="O31" s="11">
        <v>2478</v>
      </c>
      <c r="P31" s="11"/>
      <c r="Q31" s="11">
        <v>377</v>
      </c>
      <c r="R31" s="11">
        <v>685</v>
      </c>
      <c r="S31" s="11">
        <v>355</v>
      </c>
      <c r="T31" s="11">
        <v>752</v>
      </c>
      <c r="U31" s="11">
        <v>460</v>
      </c>
      <c r="V31" s="11">
        <v>686</v>
      </c>
      <c r="W31" s="11">
        <v>887</v>
      </c>
      <c r="X31" s="11"/>
      <c r="Y31" s="11">
        <v>0</v>
      </c>
      <c r="Z31" s="11">
        <v>1170</v>
      </c>
      <c r="AA31" s="11">
        <v>1019</v>
      </c>
      <c r="AB31" s="11">
        <v>1313</v>
      </c>
      <c r="AC31" s="17">
        <f t="shared" si="0"/>
        <v>0.12594358035726777</v>
      </c>
      <c r="AD31" s="11">
        <f t="shared" si="1"/>
        <v>1794.8571428571429</v>
      </c>
      <c r="AE31" s="11">
        <f t="shared" si="2"/>
        <v>600.28571428571433</v>
      </c>
      <c r="AF31" s="28">
        <f t="shared" si="9"/>
        <v>0.33444762814390322</v>
      </c>
      <c r="AG31" s="42">
        <f t="shared" si="3"/>
        <v>2.2904794519974077E-2</v>
      </c>
      <c r="AH31" s="14" t="str">
        <f t="shared" si="4"/>
        <v>*</v>
      </c>
      <c r="AI31" s="11">
        <f t="shared" si="5"/>
        <v>117</v>
      </c>
      <c r="AJ31" s="11">
        <f t="shared" si="6"/>
        <v>117</v>
      </c>
      <c r="AK31" s="11">
        <f t="shared" si="7"/>
        <v>7.5762012642991178E-2</v>
      </c>
      <c r="AL31" s="42">
        <f t="shared" si="8"/>
        <v>7.5762012642991178E-2</v>
      </c>
      <c r="AM31" s="14" t="str">
        <f t="shared" si="10"/>
        <v>*</v>
      </c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</row>
    <row r="32" spans="1:56" ht="27" customHeight="1" x14ac:dyDescent="0.2">
      <c r="A32" s="9" t="s">
        <v>356</v>
      </c>
      <c r="B32" s="11">
        <v>1379</v>
      </c>
      <c r="C32" s="2">
        <v>1028.33737605274</v>
      </c>
      <c r="D32" s="2">
        <v>4.0182102564102298</v>
      </c>
      <c r="E32" s="2">
        <v>-1</v>
      </c>
      <c r="F32" s="12" t="s">
        <v>220</v>
      </c>
      <c r="G32" s="12" t="s">
        <v>215</v>
      </c>
      <c r="H32" s="5"/>
      <c r="I32" s="11">
        <v>1171</v>
      </c>
      <c r="J32" s="11">
        <v>1403</v>
      </c>
      <c r="K32" s="11">
        <v>1265</v>
      </c>
      <c r="L32" s="11">
        <v>478</v>
      </c>
      <c r="M32" s="11">
        <v>1776</v>
      </c>
      <c r="N32" s="11">
        <v>2355</v>
      </c>
      <c r="O32" s="11">
        <v>1433</v>
      </c>
      <c r="P32" s="11"/>
      <c r="Q32" s="11">
        <v>442</v>
      </c>
      <c r="R32" s="11">
        <v>1243</v>
      </c>
      <c r="S32" s="11">
        <v>211</v>
      </c>
      <c r="T32" s="11">
        <v>349</v>
      </c>
      <c r="U32" s="11">
        <v>825</v>
      </c>
      <c r="V32" s="11">
        <v>409</v>
      </c>
      <c r="W32" s="11">
        <v>463</v>
      </c>
      <c r="X32" s="11"/>
      <c r="Y32" s="11">
        <v>0</v>
      </c>
      <c r="Z32" s="11">
        <v>765</v>
      </c>
      <c r="AA32" s="11">
        <v>1258</v>
      </c>
      <c r="AB32" s="11">
        <v>1000</v>
      </c>
      <c r="AC32" s="17">
        <f t="shared" si="0"/>
        <v>0.24471326726448064</v>
      </c>
      <c r="AD32" s="11">
        <f t="shared" si="1"/>
        <v>1411.5714285714287</v>
      </c>
      <c r="AE32" s="11">
        <f t="shared" si="2"/>
        <v>563.14285714285711</v>
      </c>
      <c r="AF32" s="28">
        <f t="shared" si="9"/>
        <v>0.39894747495192789</v>
      </c>
      <c r="AG32" s="42">
        <f t="shared" si="3"/>
        <v>7.6148136480095226E-3</v>
      </c>
      <c r="AH32" s="14" t="str">
        <f t="shared" si="4"/>
        <v>**</v>
      </c>
      <c r="AI32" s="11">
        <f t="shared" si="5"/>
        <v>62</v>
      </c>
      <c r="AJ32" s="11">
        <f t="shared" si="6"/>
        <v>62</v>
      </c>
      <c r="AK32" s="11">
        <f t="shared" si="7"/>
        <v>4.7531175512575567E-2</v>
      </c>
      <c r="AL32" s="42">
        <f t="shared" si="8"/>
        <v>4.4964454355635758E-2</v>
      </c>
      <c r="AM32" s="14" t="str">
        <f t="shared" si="10"/>
        <v>**</v>
      </c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</row>
    <row r="33" spans="1:56" ht="27" customHeight="1" x14ac:dyDescent="0.2">
      <c r="A33" s="9" t="s">
        <v>356</v>
      </c>
      <c r="B33" s="11">
        <v>1390</v>
      </c>
      <c r="C33" s="2">
        <v>920.24231795099502</v>
      </c>
      <c r="D33" s="2">
        <v>1.60555000000006</v>
      </c>
      <c r="E33" s="2">
        <v>-1</v>
      </c>
      <c r="F33" s="12" t="s">
        <v>330</v>
      </c>
      <c r="G33" s="12" t="s">
        <v>215</v>
      </c>
      <c r="H33" s="5"/>
      <c r="I33" s="11">
        <v>945</v>
      </c>
      <c r="J33" s="11">
        <v>1096</v>
      </c>
      <c r="K33" s="11">
        <v>1566</v>
      </c>
      <c r="L33" s="11">
        <v>823</v>
      </c>
      <c r="M33" s="11">
        <v>2316</v>
      </c>
      <c r="N33" s="11">
        <v>1615</v>
      </c>
      <c r="O33" s="11">
        <v>1753</v>
      </c>
      <c r="P33" s="11"/>
      <c r="Q33" s="11">
        <v>630</v>
      </c>
      <c r="R33" s="11">
        <v>524</v>
      </c>
      <c r="S33" s="11">
        <v>120</v>
      </c>
      <c r="T33" s="11">
        <v>518</v>
      </c>
      <c r="U33" s="11">
        <v>314</v>
      </c>
      <c r="V33" s="11">
        <v>549</v>
      </c>
      <c r="W33" s="11">
        <v>267</v>
      </c>
      <c r="X33" s="11"/>
      <c r="Y33" s="11">
        <v>0</v>
      </c>
      <c r="Z33" s="11">
        <v>796</v>
      </c>
      <c r="AA33" s="11">
        <v>860</v>
      </c>
      <c r="AB33" s="11">
        <v>784</v>
      </c>
      <c r="AC33" s="17">
        <f t="shared" si="0"/>
        <v>5.0234601462441186E-2</v>
      </c>
      <c r="AD33" s="11">
        <f t="shared" si="1"/>
        <v>1444.8571428571429</v>
      </c>
      <c r="AE33" s="11">
        <f t="shared" si="2"/>
        <v>417.42857142857144</v>
      </c>
      <c r="AF33" s="28">
        <f t="shared" si="9"/>
        <v>0.28890646628435834</v>
      </c>
      <c r="AG33" s="42">
        <f t="shared" si="3"/>
        <v>1.4906807024873455E-3</v>
      </c>
      <c r="AH33" s="14" t="str">
        <f t="shared" si="4"/>
        <v>**</v>
      </c>
      <c r="AI33" s="11">
        <f t="shared" si="5"/>
        <v>25</v>
      </c>
      <c r="AJ33" s="11">
        <f t="shared" si="6"/>
        <v>25</v>
      </c>
      <c r="AK33" s="11">
        <f t="shared" si="7"/>
        <v>2.3075737274504106E-2</v>
      </c>
      <c r="AL33" s="42">
        <f t="shared" si="8"/>
        <v>2.2287012499099531E-2</v>
      </c>
      <c r="AM33" s="14" t="str">
        <f t="shared" si="10"/>
        <v>**</v>
      </c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</row>
    <row r="34" spans="1:56" ht="27" customHeight="1" x14ac:dyDescent="0.2">
      <c r="A34" s="9" t="s">
        <v>356</v>
      </c>
      <c r="B34" s="11">
        <v>1416</v>
      </c>
      <c r="C34" s="2">
        <v>1052.3352404715299</v>
      </c>
      <c r="D34" s="2">
        <v>3.71775666666659</v>
      </c>
      <c r="E34" s="2">
        <v>-1</v>
      </c>
      <c r="F34" s="12" t="s">
        <v>578</v>
      </c>
      <c r="G34" s="12" t="s">
        <v>215</v>
      </c>
      <c r="H34" s="5"/>
      <c r="I34" s="11">
        <v>717</v>
      </c>
      <c r="J34" s="11">
        <v>888</v>
      </c>
      <c r="K34" s="11">
        <v>509</v>
      </c>
      <c r="L34" s="11">
        <v>345</v>
      </c>
      <c r="M34" s="11">
        <v>1611</v>
      </c>
      <c r="N34" s="11">
        <v>2259</v>
      </c>
      <c r="O34" s="11">
        <v>1359</v>
      </c>
      <c r="P34" s="11"/>
      <c r="Q34" s="11">
        <v>641</v>
      </c>
      <c r="R34" s="11">
        <v>1129</v>
      </c>
      <c r="S34" s="11">
        <v>491</v>
      </c>
      <c r="T34" s="11">
        <v>415</v>
      </c>
      <c r="U34" s="11">
        <v>342</v>
      </c>
      <c r="V34" s="11">
        <v>726</v>
      </c>
      <c r="W34" s="11">
        <v>1228</v>
      </c>
      <c r="X34" s="11"/>
      <c r="Y34" s="11">
        <v>0</v>
      </c>
      <c r="Z34" s="11">
        <v>883</v>
      </c>
      <c r="AA34" s="11">
        <v>776</v>
      </c>
      <c r="AB34" s="11">
        <v>1003</v>
      </c>
      <c r="AC34" s="17">
        <f t="shared" si="0"/>
        <v>0.12798124436763322</v>
      </c>
      <c r="AD34" s="11">
        <f t="shared" si="1"/>
        <v>1098.2857142857142</v>
      </c>
      <c r="AE34" s="11">
        <f t="shared" si="2"/>
        <v>710.28571428571433</v>
      </c>
      <c r="AF34" s="28">
        <f t="shared" si="9"/>
        <v>0.64672216441207087</v>
      </c>
      <c r="AG34" s="42">
        <f t="shared" si="3"/>
        <v>0.21225478290072605</v>
      </c>
      <c r="AH34" s="14" t="str">
        <f t="shared" si="4"/>
        <v>-</v>
      </c>
      <c r="AI34" s="11">
        <f t="shared" si="5"/>
        <v>247</v>
      </c>
      <c r="AJ34" s="11">
        <f t="shared" si="6"/>
        <v>247</v>
      </c>
      <c r="AK34" s="11">
        <f t="shared" si="7"/>
        <v>0.33256113758129952</v>
      </c>
      <c r="AL34" s="42">
        <f t="shared" si="8"/>
        <v>0.33256113758129952</v>
      </c>
      <c r="AM34" s="14" t="str">
        <f t="shared" si="10"/>
        <v/>
      </c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</row>
    <row r="35" spans="1:56" ht="27" customHeight="1" x14ac:dyDescent="0.2">
      <c r="A35" s="9" t="s">
        <v>356</v>
      </c>
      <c r="B35" s="11">
        <v>1561</v>
      </c>
      <c r="C35" s="2">
        <v>1078.3518157047299</v>
      </c>
      <c r="D35" s="2">
        <v>3.9006428571429201</v>
      </c>
      <c r="E35" s="2">
        <v>-1</v>
      </c>
      <c r="F35" s="12" t="s">
        <v>581</v>
      </c>
      <c r="G35" s="12" t="s">
        <v>215</v>
      </c>
      <c r="H35" s="5"/>
      <c r="I35" s="11">
        <v>1062</v>
      </c>
      <c r="J35" s="11">
        <v>540</v>
      </c>
      <c r="K35" s="11">
        <v>315</v>
      </c>
      <c r="L35" s="11">
        <v>93</v>
      </c>
      <c r="M35" s="11">
        <v>1091</v>
      </c>
      <c r="N35" s="11">
        <v>2048</v>
      </c>
      <c r="O35" s="11">
        <v>1166</v>
      </c>
      <c r="P35" s="11"/>
      <c r="Q35" s="11">
        <v>372</v>
      </c>
      <c r="R35" s="11">
        <v>709</v>
      </c>
      <c r="S35" s="11">
        <v>89</v>
      </c>
      <c r="T35" s="11">
        <v>308</v>
      </c>
      <c r="U35" s="11">
        <v>38</v>
      </c>
      <c r="V35" s="11">
        <v>454</v>
      </c>
      <c r="W35" s="11">
        <v>462</v>
      </c>
      <c r="X35" s="11"/>
      <c r="Y35" s="11">
        <v>0</v>
      </c>
      <c r="Z35" s="11">
        <v>475</v>
      </c>
      <c r="AA35" s="11">
        <v>581</v>
      </c>
      <c r="AB35" s="11">
        <v>757</v>
      </c>
      <c r="AC35" s="17">
        <f t="shared" si="0"/>
        <v>0.23569878252761767</v>
      </c>
      <c r="AD35" s="11">
        <f t="shared" si="1"/>
        <v>902.14285714285711</v>
      </c>
      <c r="AE35" s="11">
        <f t="shared" si="2"/>
        <v>347.42857142857144</v>
      </c>
      <c r="AF35" s="28">
        <f t="shared" si="9"/>
        <v>0.38511480601741888</v>
      </c>
      <c r="AG35" s="42">
        <f t="shared" si="3"/>
        <v>6.9989445346450949E-2</v>
      </c>
      <c r="AH35" s="14" t="str">
        <f t="shared" si="4"/>
        <v>-</v>
      </c>
      <c r="AI35" s="11">
        <f t="shared" si="5"/>
        <v>181</v>
      </c>
      <c r="AJ35" s="11">
        <f t="shared" si="6"/>
        <v>181</v>
      </c>
      <c r="AK35" s="11">
        <f t="shared" si="7"/>
        <v>0.14964594115511889</v>
      </c>
      <c r="AL35" s="42">
        <f t="shared" si="8"/>
        <v>0.14964594115511889</v>
      </c>
      <c r="AM35" s="14" t="str">
        <f t="shared" si="10"/>
        <v/>
      </c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</row>
    <row r="36" spans="1:56" ht="27" customHeight="1" x14ac:dyDescent="0.2">
      <c r="A36" s="9" t="s">
        <v>356</v>
      </c>
      <c r="B36" s="11">
        <v>1964</v>
      </c>
      <c r="C36" s="2">
        <v>972.27488700149195</v>
      </c>
      <c r="D36" s="2">
        <v>2.4783027777778299</v>
      </c>
      <c r="E36" s="2">
        <v>-1</v>
      </c>
      <c r="F36" s="12" t="s">
        <v>587</v>
      </c>
      <c r="G36" s="12" t="s">
        <v>215</v>
      </c>
      <c r="H36" s="5"/>
      <c r="I36" s="11">
        <v>511</v>
      </c>
      <c r="J36" s="11">
        <v>1200</v>
      </c>
      <c r="K36" s="11">
        <v>732</v>
      </c>
      <c r="L36" s="11">
        <v>282</v>
      </c>
      <c r="M36" s="11">
        <v>1569</v>
      </c>
      <c r="N36" s="11">
        <v>1562</v>
      </c>
      <c r="O36" s="11">
        <v>1103</v>
      </c>
      <c r="P36" s="11"/>
      <c r="Q36" s="11">
        <v>309</v>
      </c>
      <c r="R36" s="11">
        <v>390</v>
      </c>
      <c r="S36" s="11">
        <v>95</v>
      </c>
      <c r="T36" s="11">
        <v>544</v>
      </c>
      <c r="U36" s="11">
        <v>552</v>
      </c>
      <c r="V36" s="11">
        <v>859</v>
      </c>
      <c r="W36" s="11">
        <v>483</v>
      </c>
      <c r="X36" s="11"/>
      <c r="Y36" s="11">
        <v>0</v>
      </c>
      <c r="Z36" s="11">
        <v>735</v>
      </c>
      <c r="AA36" s="11">
        <v>640</v>
      </c>
      <c r="AB36" s="11">
        <v>663</v>
      </c>
      <c r="AC36" s="17">
        <f t="shared" si="0"/>
        <v>7.2955951499981367E-2</v>
      </c>
      <c r="AD36" s="11">
        <f t="shared" si="1"/>
        <v>994.14285714285711</v>
      </c>
      <c r="AE36" s="11">
        <f t="shared" si="2"/>
        <v>461.71428571428572</v>
      </c>
      <c r="AF36" s="28">
        <f t="shared" si="9"/>
        <v>0.46443454519327493</v>
      </c>
      <c r="AG36" s="42">
        <f t="shared" si="3"/>
        <v>3.3268546338095624E-2</v>
      </c>
      <c r="AH36" s="14" t="str">
        <f t="shared" si="4"/>
        <v>*</v>
      </c>
      <c r="AI36" s="11">
        <f t="shared" si="5"/>
        <v>138</v>
      </c>
      <c r="AJ36" s="11">
        <f t="shared" si="6"/>
        <v>138</v>
      </c>
      <c r="AK36" s="11">
        <f t="shared" si="7"/>
        <v>9.329657560031164E-2</v>
      </c>
      <c r="AL36" s="42">
        <f t="shared" si="8"/>
        <v>9.2289142428524734E-2</v>
      </c>
      <c r="AM36" s="14" t="str">
        <f t="shared" si="10"/>
        <v>*</v>
      </c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</row>
    <row r="37" spans="1:56" ht="27" customHeight="1" x14ac:dyDescent="0.2">
      <c r="A37" s="9" t="s">
        <v>356</v>
      </c>
      <c r="B37" s="11">
        <v>2261</v>
      </c>
      <c r="C37" s="2">
        <v>946.25795227504295</v>
      </c>
      <c r="D37" s="2">
        <v>2.4282857142858498</v>
      </c>
      <c r="E37" s="2">
        <v>-1</v>
      </c>
      <c r="F37" s="12" t="s">
        <v>346</v>
      </c>
      <c r="G37" s="12" t="s">
        <v>215</v>
      </c>
      <c r="H37" s="5"/>
      <c r="I37" s="11">
        <v>502</v>
      </c>
      <c r="J37" s="11">
        <v>607</v>
      </c>
      <c r="K37" s="11">
        <v>306</v>
      </c>
      <c r="L37" s="11">
        <v>337</v>
      </c>
      <c r="M37" s="11">
        <v>908</v>
      </c>
      <c r="N37" s="11">
        <v>1343</v>
      </c>
      <c r="O37" s="11">
        <v>700</v>
      </c>
      <c r="P37" s="11"/>
      <c r="Q37" s="11">
        <v>354</v>
      </c>
      <c r="R37" s="11">
        <v>562</v>
      </c>
      <c r="S37" s="11">
        <v>80</v>
      </c>
      <c r="T37" s="11">
        <v>148</v>
      </c>
      <c r="U37" s="11">
        <v>365</v>
      </c>
      <c r="V37" s="11">
        <v>351</v>
      </c>
      <c r="W37" s="11">
        <v>455</v>
      </c>
      <c r="X37" s="11"/>
      <c r="Y37" s="11">
        <v>0</v>
      </c>
      <c r="Z37" s="11">
        <v>599</v>
      </c>
      <c r="AA37" s="11">
        <v>768</v>
      </c>
      <c r="AB37" s="11">
        <v>766</v>
      </c>
      <c r="AC37" s="17">
        <f t="shared" si="0"/>
        <v>0.13642756680731363</v>
      </c>
      <c r="AD37" s="11">
        <f t="shared" si="1"/>
        <v>671.85714285714289</v>
      </c>
      <c r="AE37" s="11">
        <f t="shared" si="2"/>
        <v>330.71428571428572</v>
      </c>
      <c r="AF37" s="28">
        <f t="shared" si="9"/>
        <v>0.49223899638528595</v>
      </c>
      <c r="AG37" s="42">
        <f t="shared" si="3"/>
        <v>5.168415787452102E-2</v>
      </c>
      <c r="AH37" s="14" t="str">
        <f t="shared" si="4"/>
        <v>-</v>
      </c>
      <c r="AI37" s="11">
        <f t="shared" si="5"/>
        <v>163</v>
      </c>
      <c r="AJ37" s="11">
        <f t="shared" si="6"/>
        <v>163</v>
      </c>
      <c r="AK37" s="11">
        <f t="shared" si="7"/>
        <v>0.12271023986159285</v>
      </c>
      <c r="AL37" s="42">
        <f t="shared" si="8"/>
        <v>0.12271023986159285</v>
      </c>
      <c r="AM37" s="14" t="str">
        <f t="shared" si="10"/>
        <v/>
      </c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</row>
    <row r="38" spans="1:56" ht="27" customHeight="1" x14ac:dyDescent="0.2">
      <c r="A38" s="9" t="s">
        <v>356</v>
      </c>
      <c r="B38" s="11">
        <v>2452</v>
      </c>
      <c r="C38" s="2">
        <v>1000.30661893534</v>
      </c>
      <c r="D38" s="2">
        <v>3.39180625000012</v>
      </c>
      <c r="E38" s="2">
        <v>-1</v>
      </c>
      <c r="F38" s="12" t="s">
        <v>264</v>
      </c>
      <c r="G38" s="12" t="s">
        <v>215</v>
      </c>
      <c r="H38" s="5"/>
      <c r="I38" s="11">
        <v>659</v>
      </c>
      <c r="J38" s="11">
        <v>687</v>
      </c>
      <c r="K38" s="11">
        <v>612</v>
      </c>
      <c r="L38" s="11">
        <v>378</v>
      </c>
      <c r="M38" s="11">
        <v>1082</v>
      </c>
      <c r="N38" s="11">
        <v>1347</v>
      </c>
      <c r="O38" s="11">
        <v>1233</v>
      </c>
      <c r="P38" s="11"/>
      <c r="Q38" s="11">
        <v>288</v>
      </c>
      <c r="R38" s="11">
        <v>1220</v>
      </c>
      <c r="S38" s="11">
        <v>157</v>
      </c>
      <c r="T38" s="11">
        <v>249</v>
      </c>
      <c r="U38" s="11">
        <v>681</v>
      </c>
      <c r="V38" s="11">
        <v>413</v>
      </c>
      <c r="W38" s="11">
        <v>661</v>
      </c>
      <c r="X38" s="11"/>
      <c r="Y38" s="11">
        <v>0</v>
      </c>
      <c r="Z38" s="11">
        <v>504</v>
      </c>
      <c r="AA38" s="11">
        <v>544</v>
      </c>
      <c r="AB38" s="11">
        <v>726</v>
      </c>
      <c r="AC38" s="17">
        <f t="shared" si="0"/>
        <v>0.20010241807702184</v>
      </c>
      <c r="AD38" s="11">
        <f t="shared" si="1"/>
        <v>856.85714285714289</v>
      </c>
      <c r="AE38" s="11">
        <f t="shared" si="2"/>
        <v>524.14285714285711</v>
      </c>
      <c r="AF38" s="28">
        <f t="shared" si="9"/>
        <v>0.61170390130043339</v>
      </c>
      <c r="AG38" s="42">
        <f t="shared" si="3"/>
        <v>0.11356768824096418</v>
      </c>
      <c r="AH38" s="14" t="str">
        <f t="shared" si="4"/>
        <v>-</v>
      </c>
      <c r="AI38" s="11">
        <f t="shared" si="5"/>
        <v>205</v>
      </c>
      <c r="AJ38" s="11">
        <f t="shared" si="6"/>
        <v>205</v>
      </c>
      <c r="AK38" s="11">
        <f t="shared" si="7"/>
        <v>0.21439363585001531</v>
      </c>
      <c r="AL38" s="42">
        <f t="shared" si="8"/>
        <v>0.21439363585001531</v>
      </c>
      <c r="AM38" s="14" t="str">
        <f t="shared" si="10"/>
        <v/>
      </c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</row>
    <row r="39" spans="1:56" ht="27" customHeight="1" x14ac:dyDescent="0.2">
      <c r="A39" s="9" t="s">
        <v>356</v>
      </c>
      <c r="B39" s="11">
        <v>3677</v>
      </c>
      <c r="C39" s="2">
        <v>946.257636858571</v>
      </c>
      <c r="D39" s="2">
        <v>2.0938854166667502</v>
      </c>
      <c r="E39" s="2">
        <v>-1</v>
      </c>
      <c r="F39" s="12" t="s">
        <v>346</v>
      </c>
      <c r="G39" s="12" t="s">
        <v>215</v>
      </c>
      <c r="H39" s="5"/>
      <c r="I39" s="11">
        <v>491</v>
      </c>
      <c r="J39" s="11">
        <v>307</v>
      </c>
      <c r="K39" s="11">
        <v>308</v>
      </c>
      <c r="L39" s="11">
        <v>119</v>
      </c>
      <c r="M39" s="11">
        <v>720</v>
      </c>
      <c r="N39" s="11">
        <v>824</v>
      </c>
      <c r="O39" s="11">
        <v>491</v>
      </c>
      <c r="P39" s="11"/>
      <c r="Q39" s="11">
        <v>442</v>
      </c>
      <c r="R39" s="11">
        <v>409</v>
      </c>
      <c r="S39" s="11">
        <v>38</v>
      </c>
      <c r="T39" s="11">
        <v>247</v>
      </c>
      <c r="U39" s="11">
        <v>329</v>
      </c>
      <c r="V39" s="11">
        <v>427</v>
      </c>
      <c r="W39" s="11">
        <v>436</v>
      </c>
      <c r="X39" s="11"/>
      <c r="Y39" s="11">
        <v>0</v>
      </c>
      <c r="Z39" s="11">
        <v>298</v>
      </c>
      <c r="AA39" s="11">
        <v>326</v>
      </c>
      <c r="AB39" s="11">
        <v>404</v>
      </c>
      <c r="AC39" s="17">
        <f t="shared" si="0"/>
        <v>0.1603023117129537</v>
      </c>
      <c r="AD39" s="11">
        <f t="shared" si="1"/>
        <v>465.71428571428572</v>
      </c>
      <c r="AE39" s="11">
        <f t="shared" si="2"/>
        <v>332.57142857142856</v>
      </c>
      <c r="AF39" s="28">
        <f t="shared" si="9"/>
        <v>0.71411042944785275</v>
      </c>
      <c r="AG39" s="42">
        <f t="shared" si="3"/>
        <v>0.24910289822288789</v>
      </c>
      <c r="AH39" s="14" t="str">
        <f t="shared" si="4"/>
        <v>-</v>
      </c>
      <c r="AI39" s="11">
        <f t="shared" si="5"/>
        <v>255</v>
      </c>
      <c r="AJ39" s="11">
        <f t="shared" si="6"/>
        <v>255</v>
      </c>
      <c r="AK39" s="11">
        <f t="shared" si="7"/>
        <v>0.37805028083238279</v>
      </c>
      <c r="AL39" s="42">
        <f t="shared" si="8"/>
        <v>0.37805028083238279</v>
      </c>
      <c r="AM39" s="14" t="str">
        <f t="shared" si="10"/>
        <v/>
      </c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</row>
    <row r="40" spans="1:56" ht="27" customHeight="1" x14ac:dyDescent="0.2">
      <c r="A40" s="9" t="s">
        <v>356</v>
      </c>
      <c r="B40" s="11">
        <v>4116</v>
      </c>
      <c r="C40" s="2">
        <v>892.21163637899701</v>
      </c>
      <c r="D40" s="2">
        <v>0.82451222222226594</v>
      </c>
      <c r="E40" s="2">
        <v>-1</v>
      </c>
      <c r="F40" s="12" t="s">
        <v>353</v>
      </c>
      <c r="G40" s="12" t="s">
        <v>215</v>
      </c>
      <c r="H40" s="5"/>
      <c r="I40" s="11">
        <v>372</v>
      </c>
      <c r="J40" s="11">
        <v>683</v>
      </c>
      <c r="K40" s="11">
        <v>373</v>
      </c>
      <c r="L40" s="11">
        <v>207</v>
      </c>
      <c r="M40" s="11">
        <v>539</v>
      </c>
      <c r="N40" s="11">
        <v>680</v>
      </c>
      <c r="O40" s="11">
        <v>754</v>
      </c>
      <c r="P40" s="11"/>
      <c r="Q40" s="11">
        <v>182</v>
      </c>
      <c r="R40" s="11">
        <v>339</v>
      </c>
      <c r="S40" s="11">
        <v>67</v>
      </c>
      <c r="T40" s="11">
        <v>175</v>
      </c>
      <c r="U40" s="11">
        <v>145</v>
      </c>
      <c r="V40" s="11">
        <v>238</v>
      </c>
      <c r="W40" s="11">
        <v>207</v>
      </c>
      <c r="X40" s="11"/>
      <c r="Y40" s="11">
        <v>141</v>
      </c>
      <c r="Z40" s="11">
        <v>326</v>
      </c>
      <c r="AA40" s="11">
        <v>310</v>
      </c>
      <c r="AB40" s="11">
        <v>219</v>
      </c>
      <c r="AC40" s="17">
        <f t="shared" si="0"/>
        <v>0.202508126743973</v>
      </c>
      <c r="AD40" s="11">
        <f t="shared" si="1"/>
        <v>515.42857142857144</v>
      </c>
      <c r="AE40" s="11">
        <f t="shared" si="2"/>
        <v>193.28571428571428</v>
      </c>
      <c r="AF40" s="28">
        <f t="shared" si="9"/>
        <v>0.375</v>
      </c>
      <c r="AG40" s="42">
        <f t="shared" si="3"/>
        <v>4.7556991112269048E-3</v>
      </c>
      <c r="AH40" s="14" t="str">
        <f t="shared" si="4"/>
        <v>**</v>
      </c>
      <c r="AI40" s="11">
        <f t="shared" si="5"/>
        <v>51</v>
      </c>
      <c r="AJ40" s="11">
        <f t="shared" si="6"/>
        <v>51</v>
      </c>
      <c r="AK40" s="11">
        <f t="shared" si="7"/>
        <v>3.6087363844015924E-2</v>
      </c>
      <c r="AL40" s="42">
        <f t="shared" si="8"/>
        <v>3.5130671062942702E-2</v>
      </c>
      <c r="AM40" s="14" t="str">
        <f t="shared" si="10"/>
        <v>**</v>
      </c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</row>
    <row r="41" spans="1:56" ht="27" customHeight="1" x14ac:dyDescent="0.2">
      <c r="A41" s="9" t="s">
        <v>356</v>
      </c>
      <c r="B41" s="11">
        <v>793</v>
      </c>
      <c r="C41" s="2">
        <v>390.26661311889399</v>
      </c>
      <c r="D41" s="2">
        <v>5.2320117647059403</v>
      </c>
      <c r="E41" s="2">
        <v>-1</v>
      </c>
      <c r="F41" s="12" t="s">
        <v>273</v>
      </c>
      <c r="G41" s="12" t="s">
        <v>274</v>
      </c>
      <c r="H41" s="5"/>
      <c r="I41" s="11">
        <v>3689</v>
      </c>
      <c r="J41" s="11">
        <v>3089</v>
      </c>
      <c r="K41" s="11">
        <v>3230</v>
      </c>
      <c r="L41" s="11">
        <v>3295</v>
      </c>
      <c r="M41" s="11">
        <v>3808</v>
      </c>
      <c r="N41" s="11">
        <v>4234</v>
      </c>
      <c r="O41" s="11">
        <v>3261</v>
      </c>
      <c r="P41" s="11"/>
      <c r="Q41" s="11">
        <v>2283</v>
      </c>
      <c r="R41" s="11">
        <v>3271</v>
      </c>
      <c r="S41" s="11">
        <v>1942</v>
      </c>
      <c r="T41" s="11">
        <v>2866</v>
      </c>
      <c r="U41" s="11">
        <v>3506</v>
      </c>
      <c r="V41" s="11">
        <v>3275</v>
      </c>
      <c r="W41" s="11">
        <v>3484</v>
      </c>
      <c r="X41" s="11"/>
      <c r="Y41" s="11">
        <v>9</v>
      </c>
      <c r="Z41" s="11">
        <v>3102</v>
      </c>
      <c r="AA41" s="11">
        <v>4363</v>
      </c>
      <c r="AB41" s="11">
        <v>3872</v>
      </c>
      <c r="AC41" s="17">
        <f t="shared" si="0"/>
        <v>0.1681988134754247</v>
      </c>
      <c r="AD41" s="11">
        <f t="shared" si="1"/>
        <v>3515.1428571428573</v>
      </c>
      <c r="AE41" s="11">
        <f t="shared" si="2"/>
        <v>2946.7142857142858</v>
      </c>
      <c r="AF41" s="28">
        <f t="shared" si="9"/>
        <v>0.83829147362431922</v>
      </c>
      <c r="AG41" s="42">
        <f t="shared" si="3"/>
        <v>6.810470186044798E-2</v>
      </c>
      <c r="AH41" s="14" t="str">
        <f t="shared" si="4"/>
        <v>-</v>
      </c>
      <c r="AI41" s="11">
        <f t="shared" si="5"/>
        <v>180</v>
      </c>
      <c r="AJ41" s="11">
        <f t="shared" si="6"/>
        <v>180</v>
      </c>
      <c r="AK41" s="11">
        <f t="shared" si="7"/>
        <v>0.14642510899996314</v>
      </c>
      <c r="AL41" s="42">
        <f t="shared" si="8"/>
        <v>0.14642510899996314</v>
      </c>
      <c r="AM41" s="14" t="str">
        <f t="shared" si="10"/>
        <v/>
      </c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</row>
    <row r="42" spans="1:56" ht="27" customHeight="1" x14ac:dyDescent="0.2">
      <c r="A42" s="9" t="s">
        <v>356</v>
      </c>
      <c r="B42" s="11">
        <v>805</v>
      </c>
      <c r="C42" s="2">
        <v>362.23544021328701</v>
      </c>
      <c r="D42" s="2">
        <v>4.61540384615384</v>
      </c>
      <c r="E42" s="2">
        <v>-1</v>
      </c>
      <c r="F42" s="12" t="s">
        <v>292</v>
      </c>
      <c r="G42" s="12" t="s">
        <v>274</v>
      </c>
      <c r="H42" s="5"/>
      <c r="I42" s="11">
        <v>3138</v>
      </c>
      <c r="J42" s="11">
        <v>2878</v>
      </c>
      <c r="K42" s="11">
        <v>3256</v>
      </c>
      <c r="L42" s="11">
        <v>2184</v>
      </c>
      <c r="M42" s="11">
        <v>3523</v>
      </c>
      <c r="N42" s="11">
        <v>4285</v>
      </c>
      <c r="O42" s="11">
        <v>1781</v>
      </c>
      <c r="P42" s="11"/>
      <c r="Q42" s="11">
        <v>1870</v>
      </c>
      <c r="R42" s="11">
        <v>1912</v>
      </c>
      <c r="S42" s="11">
        <v>1371</v>
      </c>
      <c r="T42" s="11">
        <v>2139</v>
      </c>
      <c r="U42" s="11">
        <v>3428</v>
      </c>
      <c r="V42" s="11">
        <v>1992</v>
      </c>
      <c r="W42" s="11">
        <v>2074</v>
      </c>
      <c r="X42" s="11"/>
      <c r="Y42" s="11">
        <v>0</v>
      </c>
      <c r="Z42" s="11">
        <v>2093</v>
      </c>
      <c r="AA42" s="11">
        <v>3057</v>
      </c>
      <c r="AB42" s="11">
        <v>3203</v>
      </c>
      <c r="AC42" s="17">
        <f t="shared" si="0"/>
        <v>0.21662140392261259</v>
      </c>
      <c r="AD42" s="11">
        <f t="shared" si="1"/>
        <v>3006.4285714285716</v>
      </c>
      <c r="AE42" s="11">
        <f t="shared" si="2"/>
        <v>2112.2857142857142</v>
      </c>
      <c r="AF42" s="28">
        <f t="shared" si="9"/>
        <v>0.7025896887621762</v>
      </c>
      <c r="AG42" s="42">
        <f t="shared" si="3"/>
        <v>4.4694274494364694E-2</v>
      </c>
      <c r="AH42" s="14" t="str">
        <f t="shared" si="4"/>
        <v>*</v>
      </c>
      <c r="AI42" s="11">
        <f t="shared" si="5"/>
        <v>155</v>
      </c>
      <c r="AJ42" s="11">
        <f t="shared" si="6"/>
        <v>155</v>
      </c>
      <c r="AK42" s="11">
        <f t="shared" si="7"/>
        <v>0.11159151115689765</v>
      </c>
      <c r="AL42" s="42">
        <f t="shared" si="8"/>
        <v>0.11113122540397316</v>
      </c>
      <c r="AM42" s="14" t="str">
        <f t="shared" si="10"/>
        <v/>
      </c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</row>
    <row r="43" spans="1:56" ht="27" customHeight="1" x14ac:dyDescent="0.2">
      <c r="A43" s="9" t="s">
        <v>356</v>
      </c>
      <c r="B43" s="11">
        <v>1477</v>
      </c>
      <c r="C43" s="2">
        <v>388.2506575557</v>
      </c>
      <c r="D43" s="2">
        <v>4.7708421568627601</v>
      </c>
      <c r="E43" s="2">
        <v>-2</v>
      </c>
      <c r="F43" s="12" t="s">
        <v>319</v>
      </c>
      <c r="G43" s="12" t="s">
        <v>274</v>
      </c>
      <c r="H43" s="5"/>
      <c r="I43" s="11">
        <v>2118</v>
      </c>
      <c r="J43" s="11">
        <v>1061</v>
      </c>
      <c r="K43" s="11">
        <v>1976</v>
      </c>
      <c r="L43" s="11">
        <v>1246</v>
      </c>
      <c r="M43" s="11">
        <v>2055</v>
      </c>
      <c r="N43" s="11">
        <v>1877</v>
      </c>
      <c r="O43" s="11">
        <v>1675</v>
      </c>
      <c r="P43" s="11"/>
      <c r="Q43" s="11">
        <v>1029</v>
      </c>
      <c r="R43" s="11">
        <v>1235</v>
      </c>
      <c r="S43" s="11">
        <v>369</v>
      </c>
      <c r="T43" s="11">
        <v>1154</v>
      </c>
      <c r="U43" s="11">
        <v>2184</v>
      </c>
      <c r="V43" s="11">
        <v>958</v>
      </c>
      <c r="W43" s="11">
        <v>589</v>
      </c>
      <c r="X43" s="11"/>
      <c r="Y43" s="11">
        <v>0</v>
      </c>
      <c r="Z43" s="11">
        <v>1224</v>
      </c>
      <c r="AA43" s="11">
        <v>1083</v>
      </c>
      <c r="AB43" s="11">
        <v>1476</v>
      </c>
      <c r="AC43" s="17">
        <f t="shared" si="0"/>
        <v>0.15788695836127437</v>
      </c>
      <c r="AD43" s="11">
        <f t="shared" si="1"/>
        <v>1715.4285714285713</v>
      </c>
      <c r="AE43" s="11">
        <f t="shared" si="2"/>
        <v>1074</v>
      </c>
      <c r="AF43" s="28">
        <f t="shared" si="9"/>
        <v>0.62608261159227185</v>
      </c>
      <c r="AG43" s="42">
        <f t="shared" si="3"/>
        <v>3.6378321622787042E-2</v>
      </c>
      <c r="AH43" s="14" t="str">
        <f t="shared" si="4"/>
        <v>*</v>
      </c>
      <c r="AI43" s="11">
        <f t="shared" si="5"/>
        <v>144</v>
      </c>
      <c r="AJ43" s="11">
        <f t="shared" si="6"/>
        <v>144</v>
      </c>
      <c r="AK43" s="11">
        <f t="shared" si="7"/>
        <v>9.7766739361240182E-2</v>
      </c>
      <c r="AL43" s="42">
        <f t="shared" si="8"/>
        <v>9.7326771460434253E-2</v>
      </c>
      <c r="AM43" s="14" t="str">
        <f t="shared" si="10"/>
        <v>*</v>
      </c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</row>
    <row r="44" spans="1:56" ht="27" customHeight="1" x14ac:dyDescent="0.2">
      <c r="A44" s="9" t="s">
        <v>356</v>
      </c>
      <c r="B44" s="11">
        <v>1755</v>
      </c>
      <c r="C44" s="2">
        <v>434.23528975534498</v>
      </c>
      <c r="D44" s="2">
        <v>4.3441233333333997</v>
      </c>
      <c r="E44" s="2">
        <v>-2</v>
      </c>
      <c r="F44" s="12" t="s">
        <v>585</v>
      </c>
      <c r="G44" s="12" t="s">
        <v>274</v>
      </c>
      <c r="H44" s="5"/>
      <c r="I44" s="11">
        <v>1043</v>
      </c>
      <c r="J44" s="11">
        <v>640</v>
      </c>
      <c r="K44" s="11">
        <v>856</v>
      </c>
      <c r="L44" s="11">
        <v>1016</v>
      </c>
      <c r="M44" s="11">
        <v>658</v>
      </c>
      <c r="N44" s="11">
        <v>1774</v>
      </c>
      <c r="O44" s="11">
        <v>885</v>
      </c>
      <c r="P44" s="11"/>
      <c r="Q44" s="11">
        <v>1233</v>
      </c>
      <c r="R44" s="11">
        <v>1176</v>
      </c>
      <c r="S44" s="11">
        <v>740</v>
      </c>
      <c r="T44" s="11">
        <v>1176</v>
      </c>
      <c r="U44" s="11">
        <v>1005</v>
      </c>
      <c r="V44" s="11">
        <v>1411</v>
      </c>
      <c r="W44" s="11">
        <v>1099</v>
      </c>
      <c r="X44" s="11"/>
      <c r="Y44" s="11">
        <v>0</v>
      </c>
      <c r="Z44" s="11">
        <v>1088</v>
      </c>
      <c r="AA44" s="11">
        <v>1130</v>
      </c>
      <c r="AB44" s="11">
        <v>907</v>
      </c>
      <c r="AC44" s="17">
        <f t="shared" si="0"/>
        <v>0.1137603375522418</v>
      </c>
      <c r="AD44" s="11">
        <f t="shared" si="1"/>
        <v>981.71428571428567</v>
      </c>
      <c r="AE44" s="11">
        <f t="shared" si="2"/>
        <v>1120</v>
      </c>
      <c r="AF44" s="28">
        <f t="shared" si="9"/>
        <v>1.1408614668218859</v>
      </c>
      <c r="AG44" s="42">
        <f t="shared" si="3"/>
        <v>0.42258428237062995</v>
      </c>
      <c r="AH44" s="14" t="str">
        <f t="shared" si="4"/>
        <v>-</v>
      </c>
      <c r="AI44" s="11">
        <f t="shared" si="5"/>
        <v>302</v>
      </c>
      <c r="AJ44" s="11">
        <f t="shared" si="6"/>
        <v>302</v>
      </c>
      <c r="AK44" s="11">
        <f t="shared" si="7"/>
        <v>0.54152356714382044</v>
      </c>
      <c r="AL44" s="42">
        <f t="shared" si="8"/>
        <v>0.5388885558976364</v>
      </c>
      <c r="AM44" s="14" t="str">
        <f t="shared" si="10"/>
        <v/>
      </c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</row>
    <row r="45" spans="1:56" ht="27" customHeight="1" x14ac:dyDescent="0.2">
      <c r="A45" s="9" t="s">
        <v>356</v>
      </c>
      <c r="B45" s="11">
        <v>16540</v>
      </c>
      <c r="C45" s="2">
        <v>474.35996938088698</v>
      </c>
      <c r="D45" s="2">
        <v>6.6526357142855703</v>
      </c>
      <c r="E45" s="2">
        <v>-1</v>
      </c>
      <c r="F45" s="12" t="s">
        <v>601</v>
      </c>
      <c r="G45" s="12" t="s">
        <v>274</v>
      </c>
      <c r="H45" s="5"/>
      <c r="I45" s="11">
        <v>303</v>
      </c>
      <c r="J45" s="11">
        <v>252</v>
      </c>
      <c r="K45" s="11">
        <v>256</v>
      </c>
      <c r="L45" s="11">
        <v>9</v>
      </c>
      <c r="M45" s="11">
        <v>119</v>
      </c>
      <c r="N45" s="11">
        <v>256</v>
      </c>
      <c r="O45" s="11">
        <v>187</v>
      </c>
      <c r="P45" s="11"/>
      <c r="Q45" s="11">
        <v>128</v>
      </c>
      <c r="R45" s="11">
        <v>201</v>
      </c>
      <c r="S45" s="11">
        <v>99</v>
      </c>
      <c r="T45" s="11">
        <v>261</v>
      </c>
      <c r="U45" s="11">
        <v>153</v>
      </c>
      <c r="V45" s="11">
        <v>257</v>
      </c>
      <c r="W45" s="11">
        <v>246</v>
      </c>
      <c r="X45" s="11"/>
      <c r="Y45" s="11">
        <v>52</v>
      </c>
      <c r="Z45" s="11">
        <v>274</v>
      </c>
      <c r="AA45" s="11">
        <v>270</v>
      </c>
      <c r="AB45" s="11">
        <v>277</v>
      </c>
      <c r="AC45" s="17">
        <f t="shared" si="0"/>
        <v>1.2832708590563627E-2</v>
      </c>
      <c r="AD45" s="11">
        <f t="shared" si="1"/>
        <v>197.42857142857142</v>
      </c>
      <c r="AE45" s="11">
        <f t="shared" si="2"/>
        <v>192.14285714285714</v>
      </c>
      <c r="AF45" s="28">
        <f t="shared" si="9"/>
        <v>0.97322720694645448</v>
      </c>
      <c r="AG45" s="42">
        <f t="shared" si="3"/>
        <v>0.91079733085658299</v>
      </c>
      <c r="AH45" s="14" t="str">
        <f t="shared" si="4"/>
        <v>-</v>
      </c>
      <c r="AI45" s="11">
        <f t="shared" si="5"/>
        <v>375</v>
      </c>
      <c r="AJ45" s="11">
        <f t="shared" si="6"/>
        <v>375</v>
      </c>
      <c r="AK45" s="11">
        <f t="shared" si="7"/>
        <v>0.93994284544399365</v>
      </c>
      <c r="AL45" s="42">
        <f t="shared" si="8"/>
        <v>0.93627044646554791</v>
      </c>
      <c r="AM45" s="14" t="str">
        <f t="shared" si="10"/>
        <v/>
      </c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</row>
    <row r="46" spans="1:56" ht="27" customHeight="1" x14ac:dyDescent="0.2">
      <c r="A46" s="9" t="s">
        <v>356</v>
      </c>
      <c r="B46" s="11">
        <v>851</v>
      </c>
      <c r="C46" s="2">
        <v>415.30503779948498</v>
      </c>
      <c r="D46" s="2">
        <v>5.9417166666665997</v>
      </c>
      <c r="E46" s="2">
        <v>-1</v>
      </c>
      <c r="F46" s="12" t="s">
        <v>564</v>
      </c>
      <c r="G46" s="12" t="s">
        <v>505</v>
      </c>
      <c r="H46" s="5"/>
      <c r="I46" s="11">
        <v>1685</v>
      </c>
      <c r="J46" s="11">
        <v>1454</v>
      </c>
      <c r="K46" s="11">
        <v>1482</v>
      </c>
      <c r="L46" s="11">
        <v>1101</v>
      </c>
      <c r="M46" s="11">
        <v>1499</v>
      </c>
      <c r="N46" s="11">
        <v>1981</v>
      </c>
      <c r="O46" s="11">
        <v>1709</v>
      </c>
      <c r="P46" s="11"/>
      <c r="Q46" s="11">
        <v>1879</v>
      </c>
      <c r="R46" s="11">
        <v>3218</v>
      </c>
      <c r="S46" s="11">
        <v>2396</v>
      </c>
      <c r="T46" s="11">
        <v>2295</v>
      </c>
      <c r="U46" s="11">
        <v>4041</v>
      </c>
      <c r="V46" s="11">
        <v>2311</v>
      </c>
      <c r="W46" s="11">
        <v>3122</v>
      </c>
      <c r="X46" s="11"/>
      <c r="Y46" s="11">
        <v>676</v>
      </c>
      <c r="Z46" s="11">
        <v>1963</v>
      </c>
      <c r="AA46" s="11">
        <v>2287</v>
      </c>
      <c r="AB46" s="11">
        <v>2215</v>
      </c>
      <c r="AC46" s="17">
        <f t="shared" si="0"/>
        <v>7.8946339928117823E-2</v>
      </c>
      <c r="AD46" s="11">
        <f t="shared" si="1"/>
        <v>1558.7142857142858</v>
      </c>
      <c r="AE46" s="11">
        <f t="shared" si="2"/>
        <v>2751.7142857142858</v>
      </c>
      <c r="AF46" s="28">
        <f t="shared" si="9"/>
        <v>1.7653743928145909</v>
      </c>
      <c r="AG46" s="42">
        <f t="shared" si="3"/>
        <v>4.4543156128634296E-3</v>
      </c>
      <c r="AH46" s="14" t="str">
        <f t="shared" si="4"/>
        <v>**</v>
      </c>
      <c r="AI46" s="11">
        <f t="shared" si="5"/>
        <v>49</v>
      </c>
      <c r="AJ46" s="11">
        <f t="shared" si="6"/>
        <v>49</v>
      </c>
      <c r="AK46" s="11">
        <f t="shared" si="7"/>
        <v>3.5180002901594842E-2</v>
      </c>
      <c r="AL46" s="42">
        <f t="shared" si="8"/>
        <v>3.5130671062942702E-2</v>
      </c>
      <c r="AM46" s="14" t="str">
        <f t="shared" si="10"/>
        <v>**</v>
      </c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</row>
    <row r="47" spans="1:56" ht="27" customHeight="1" x14ac:dyDescent="0.2">
      <c r="A47" s="9" t="s">
        <v>356</v>
      </c>
      <c r="B47" s="11">
        <v>632</v>
      </c>
      <c r="C47" s="2">
        <v>409.234349818358</v>
      </c>
      <c r="D47" s="2">
        <v>4.7383539215686996</v>
      </c>
      <c r="E47" s="2">
        <v>-1</v>
      </c>
      <c r="F47" s="12" t="s">
        <v>184</v>
      </c>
      <c r="G47" s="12" t="s">
        <v>185</v>
      </c>
      <c r="H47" s="5"/>
      <c r="I47" s="11">
        <v>3458</v>
      </c>
      <c r="J47" s="11">
        <v>4315</v>
      </c>
      <c r="K47" s="11">
        <v>3673</v>
      </c>
      <c r="L47" s="11">
        <v>4534</v>
      </c>
      <c r="M47" s="11">
        <v>4503</v>
      </c>
      <c r="N47" s="11">
        <v>4239</v>
      </c>
      <c r="O47" s="11">
        <v>4516</v>
      </c>
      <c r="P47" s="11"/>
      <c r="Q47" s="11">
        <v>3811</v>
      </c>
      <c r="R47" s="11">
        <v>4080</v>
      </c>
      <c r="S47" s="11">
        <v>4778</v>
      </c>
      <c r="T47" s="11">
        <v>3256</v>
      </c>
      <c r="U47" s="11">
        <v>5698</v>
      </c>
      <c r="V47" s="11">
        <v>5534</v>
      </c>
      <c r="W47" s="11">
        <v>4902</v>
      </c>
      <c r="X47" s="11"/>
      <c r="Y47" s="11">
        <v>85</v>
      </c>
      <c r="Z47" s="11">
        <v>4396</v>
      </c>
      <c r="AA47" s="11">
        <v>5023</v>
      </c>
      <c r="AB47" s="11">
        <v>3777</v>
      </c>
      <c r="AC47" s="17">
        <f t="shared" si="0"/>
        <v>0.14163480153435717</v>
      </c>
      <c r="AD47" s="11">
        <f t="shared" si="1"/>
        <v>4176.8571428571431</v>
      </c>
      <c r="AE47" s="11">
        <f t="shared" si="2"/>
        <v>4579.8571428571431</v>
      </c>
      <c r="AF47" s="28">
        <f t="shared" si="9"/>
        <v>1.0964840276352692</v>
      </c>
      <c r="AG47" s="42">
        <f t="shared" si="3"/>
        <v>0.31665923368558901</v>
      </c>
      <c r="AH47" s="14" t="str">
        <f t="shared" si="4"/>
        <v>-</v>
      </c>
      <c r="AI47" s="11">
        <f t="shared" si="5"/>
        <v>276</v>
      </c>
      <c r="AJ47" s="11">
        <f t="shared" si="6"/>
        <v>276</v>
      </c>
      <c r="AK47" s="11">
        <f t="shared" si="7"/>
        <v>0.44401131679827155</v>
      </c>
      <c r="AL47" s="42">
        <f t="shared" si="8"/>
        <v>0.44401131679827155</v>
      </c>
      <c r="AM47" s="14" t="str">
        <f t="shared" si="10"/>
        <v/>
      </c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</row>
    <row r="48" spans="1:56" ht="27" customHeight="1" x14ac:dyDescent="0.2">
      <c r="A48" s="9" t="s">
        <v>356</v>
      </c>
      <c r="B48" s="11">
        <v>1386</v>
      </c>
      <c r="C48" s="2">
        <v>435.24861919434699</v>
      </c>
      <c r="D48" s="2">
        <v>4.8714588888887898</v>
      </c>
      <c r="E48" s="2">
        <v>-1</v>
      </c>
      <c r="F48" s="12" t="s">
        <v>296</v>
      </c>
      <c r="G48" s="12" t="s">
        <v>185</v>
      </c>
      <c r="H48" s="5"/>
      <c r="I48" s="11">
        <v>691</v>
      </c>
      <c r="J48" s="11">
        <v>785</v>
      </c>
      <c r="K48" s="11">
        <v>727</v>
      </c>
      <c r="L48" s="11">
        <v>686</v>
      </c>
      <c r="M48" s="11">
        <v>1002</v>
      </c>
      <c r="N48" s="11">
        <v>1048</v>
      </c>
      <c r="O48" s="11">
        <v>961</v>
      </c>
      <c r="P48" s="11"/>
      <c r="Q48" s="11">
        <v>595</v>
      </c>
      <c r="R48" s="11">
        <v>750</v>
      </c>
      <c r="S48" s="11">
        <v>870</v>
      </c>
      <c r="T48" s="11">
        <v>661</v>
      </c>
      <c r="U48" s="11">
        <v>2325</v>
      </c>
      <c r="V48" s="11">
        <v>877</v>
      </c>
      <c r="W48" s="11">
        <v>1410</v>
      </c>
      <c r="X48" s="11"/>
      <c r="Y48" s="11">
        <v>9</v>
      </c>
      <c r="Z48" s="11">
        <v>823</v>
      </c>
      <c r="AA48" s="11">
        <v>683</v>
      </c>
      <c r="AB48" s="11">
        <v>1071</v>
      </c>
      <c r="AC48" s="17">
        <f t="shared" si="0"/>
        <v>0.22874177584754621</v>
      </c>
      <c r="AD48" s="11">
        <f t="shared" si="1"/>
        <v>842.85714285714289</v>
      </c>
      <c r="AE48" s="11">
        <f t="shared" si="2"/>
        <v>1069.7142857142858</v>
      </c>
      <c r="AF48" s="28">
        <f t="shared" si="9"/>
        <v>1.2691525423728813</v>
      </c>
      <c r="AG48" s="42">
        <f t="shared" si="3"/>
        <v>0.37609092928830617</v>
      </c>
      <c r="AH48" s="14" t="str">
        <f t="shared" si="4"/>
        <v>-</v>
      </c>
      <c r="AI48" s="11">
        <f t="shared" si="5"/>
        <v>285</v>
      </c>
      <c r="AJ48" s="11">
        <f t="shared" si="6"/>
        <v>285</v>
      </c>
      <c r="AK48" s="11">
        <f t="shared" si="7"/>
        <v>0.51069189345464738</v>
      </c>
      <c r="AL48" s="42">
        <f t="shared" si="8"/>
        <v>0.50815077864741287</v>
      </c>
      <c r="AM48" s="14" t="str">
        <f t="shared" si="10"/>
        <v/>
      </c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</row>
    <row r="49" spans="1:56" ht="27" customHeight="1" x14ac:dyDescent="0.2">
      <c r="A49" s="9" t="s">
        <v>356</v>
      </c>
      <c r="B49" s="11">
        <v>19</v>
      </c>
      <c r="C49" s="2">
        <v>554.34602485148696</v>
      </c>
      <c r="D49" s="2">
        <v>5.0539071428572804</v>
      </c>
      <c r="E49" s="2">
        <v>-1</v>
      </c>
      <c r="F49" s="12" t="s">
        <v>36</v>
      </c>
      <c r="G49" s="12" t="s">
        <v>37</v>
      </c>
      <c r="H49" s="5"/>
      <c r="I49" s="11">
        <v>258123</v>
      </c>
      <c r="J49" s="11">
        <v>243747</v>
      </c>
      <c r="K49" s="11">
        <v>311948</v>
      </c>
      <c r="L49" s="11">
        <v>219853</v>
      </c>
      <c r="M49" s="11">
        <v>198131</v>
      </c>
      <c r="N49" s="11">
        <v>322366</v>
      </c>
      <c r="O49" s="11">
        <v>264456</v>
      </c>
      <c r="P49" s="11"/>
      <c r="Q49" s="11">
        <v>243067</v>
      </c>
      <c r="R49" s="11">
        <v>309151</v>
      </c>
      <c r="S49" s="11">
        <v>277502</v>
      </c>
      <c r="T49" s="11">
        <v>286956</v>
      </c>
      <c r="U49" s="11">
        <v>291223</v>
      </c>
      <c r="V49" s="11">
        <v>362202</v>
      </c>
      <c r="W49" s="11">
        <v>333561</v>
      </c>
      <c r="X49" s="11"/>
      <c r="Y49" s="11">
        <v>9</v>
      </c>
      <c r="Z49" s="11">
        <v>245147</v>
      </c>
      <c r="AA49" s="11">
        <v>336050</v>
      </c>
      <c r="AB49" s="11">
        <v>312379</v>
      </c>
      <c r="AC49" s="17">
        <f t="shared" si="0"/>
        <v>0.15832668363867389</v>
      </c>
      <c r="AD49" s="11">
        <f t="shared" si="1"/>
        <v>259803.42857142858</v>
      </c>
      <c r="AE49" s="11">
        <f t="shared" si="2"/>
        <v>300523.14285714284</v>
      </c>
      <c r="AF49" s="28">
        <f t="shared" si="9"/>
        <v>1.1567327825872746</v>
      </c>
      <c r="AG49" s="42">
        <f t="shared" si="3"/>
        <v>9.6869688911324497E-2</v>
      </c>
      <c r="AH49" s="14" t="str">
        <f t="shared" si="4"/>
        <v>-</v>
      </c>
      <c r="AI49" s="11">
        <f t="shared" si="5"/>
        <v>190</v>
      </c>
      <c r="AJ49" s="11">
        <f t="shared" si="6"/>
        <v>190</v>
      </c>
      <c r="AK49" s="11">
        <f t="shared" si="7"/>
        <v>0.19730826109832938</v>
      </c>
      <c r="AL49" s="42">
        <f t="shared" si="8"/>
        <v>0.19642422013057473</v>
      </c>
      <c r="AM49" s="14" t="str">
        <f t="shared" si="10"/>
        <v/>
      </c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</row>
    <row r="50" spans="1:56" ht="27" customHeight="1" x14ac:dyDescent="0.2">
      <c r="A50" s="9" t="s">
        <v>356</v>
      </c>
      <c r="B50" s="11">
        <v>31</v>
      </c>
      <c r="C50" s="2">
        <v>582.37659789123802</v>
      </c>
      <c r="D50" s="2">
        <v>5.6715738095238502</v>
      </c>
      <c r="E50" s="2">
        <v>-1</v>
      </c>
      <c r="F50" s="12" t="s">
        <v>51</v>
      </c>
      <c r="G50" s="12" t="s">
        <v>37</v>
      </c>
      <c r="H50" s="5"/>
      <c r="I50" s="11">
        <v>98620</v>
      </c>
      <c r="J50" s="11">
        <v>92945</v>
      </c>
      <c r="K50" s="11">
        <v>126714</v>
      </c>
      <c r="L50" s="11">
        <v>88543</v>
      </c>
      <c r="M50" s="11">
        <v>83827</v>
      </c>
      <c r="N50" s="11">
        <v>119857</v>
      </c>
      <c r="O50" s="11">
        <v>104831</v>
      </c>
      <c r="P50" s="11"/>
      <c r="Q50" s="11">
        <v>130174</v>
      </c>
      <c r="R50" s="11">
        <v>178903</v>
      </c>
      <c r="S50" s="11">
        <v>141365</v>
      </c>
      <c r="T50" s="11">
        <v>146145</v>
      </c>
      <c r="U50" s="11">
        <v>153969</v>
      </c>
      <c r="V50" s="11">
        <v>205005</v>
      </c>
      <c r="W50" s="11">
        <v>179025</v>
      </c>
      <c r="X50" s="11"/>
      <c r="Y50" s="11">
        <v>0</v>
      </c>
      <c r="Z50" s="11">
        <v>104961</v>
      </c>
      <c r="AA50" s="11">
        <v>162819</v>
      </c>
      <c r="AB50" s="11">
        <v>154527</v>
      </c>
      <c r="AC50" s="17">
        <f t="shared" si="0"/>
        <v>0.22225463017767394</v>
      </c>
      <c r="AD50" s="11">
        <f t="shared" si="1"/>
        <v>102191</v>
      </c>
      <c r="AE50" s="11">
        <f t="shared" si="2"/>
        <v>162083.71428571429</v>
      </c>
      <c r="AF50" s="28">
        <f t="shared" si="9"/>
        <v>1.5860859986272204</v>
      </c>
      <c r="AG50" s="42">
        <f t="shared" si="3"/>
        <v>4.5801770549634224E-4</v>
      </c>
      <c r="AH50" s="14" t="str">
        <f t="shared" si="4"/>
        <v>***</v>
      </c>
      <c r="AI50" s="11">
        <f t="shared" si="5"/>
        <v>12</v>
      </c>
      <c r="AJ50" s="11">
        <f t="shared" si="6"/>
        <v>12</v>
      </c>
      <c r="AK50" s="11">
        <f t="shared" si="7"/>
        <v>1.4771071002257037E-2</v>
      </c>
      <c r="AL50" s="42">
        <f t="shared" si="8"/>
        <v>1.4435556595972071E-2</v>
      </c>
      <c r="AM50" s="14" t="str">
        <f t="shared" si="10"/>
        <v>**</v>
      </c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</row>
    <row r="51" spans="1:56" ht="27" customHeight="1" x14ac:dyDescent="0.2">
      <c r="A51" s="9" t="s">
        <v>356</v>
      </c>
      <c r="B51" s="11">
        <v>82</v>
      </c>
      <c r="C51" s="2">
        <v>578.34514159658295</v>
      </c>
      <c r="D51" s="2">
        <v>4.6374166666667804</v>
      </c>
      <c r="E51" s="2">
        <v>-1</v>
      </c>
      <c r="F51" s="12" t="s">
        <v>97</v>
      </c>
      <c r="G51" s="12" t="s">
        <v>37</v>
      </c>
      <c r="H51" s="5"/>
      <c r="I51" s="11">
        <v>38417</v>
      </c>
      <c r="J51" s="11">
        <v>49306</v>
      </c>
      <c r="K51" s="11">
        <v>57450</v>
      </c>
      <c r="L51" s="11">
        <v>35915</v>
      </c>
      <c r="M51" s="11">
        <v>38081</v>
      </c>
      <c r="N51" s="11">
        <v>52986</v>
      </c>
      <c r="O51" s="11">
        <v>45751</v>
      </c>
      <c r="P51" s="11"/>
      <c r="Q51" s="11">
        <v>29303</v>
      </c>
      <c r="R51" s="11">
        <v>40060</v>
      </c>
      <c r="S51" s="11">
        <v>34327</v>
      </c>
      <c r="T51" s="11">
        <v>44899</v>
      </c>
      <c r="U51" s="11">
        <v>40165</v>
      </c>
      <c r="V51" s="11">
        <v>46148</v>
      </c>
      <c r="W51" s="11">
        <v>43171</v>
      </c>
      <c r="X51" s="11"/>
      <c r="Y51" s="11">
        <v>0</v>
      </c>
      <c r="Z51" s="11">
        <v>34603</v>
      </c>
      <c r="AA51" s="11">
        <v>49148</v>
      </c>
      <c r="AB51" s="11">
        <v>44636</v>
      </c>
      <c r="AC51" s="17">
        <f t="shared" si="0"/>
        <v>0.17396833216450691</v>
      </c>
      <c r="AD51" s="11">
        <f t="shared" si="1"/>
        <v>45415.142857142855</v>
      </c>
      <c r="AE51" s="11">
        <f t="shared" si="2"/>
        <v>39724.714285714283</v>
      </c>
      <c r="AF51" s="28">
        <f t="shared" si="9"/>
        <v>0.87470195592407818</v>
      </c>
      <c r="AG51" s="42">
        <f t="shared" si="3"/>
        <v>0.16934396791631662</v>
      </c>
      <c r="AH51" s="14" t="str">
        <f t="shared" si="4"/>
        <v>-</v>
      </c>
      <c r="AI51" s="11">
        <f t="shared" si="5"/>
        <v>231</v>
      </c>
      <c r="AJ51" s="11">
        <f t="shared" si="6"/>
        <v>231</v>
      </c>
      <c r="AK51" s="11">
        <f t="shared" si="7"/>
        <v>0.28370612806759538</v>
      </c>
      <c r="AL51" s="42">
        <f t="shared" si="8"/>
        <v>0.28370612806759538</v>
      </c>
      <c r="AM51" s="14" t="str">
        <f t="shared" si="10"/>
        <v/>
      </c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</row>
    <row r="52" spans="1:56" ht="27" customHeight="1" x14ac:dyDescent="0.2">
      <c r="A52" s="9" t="s">
        <v>356</v>
      </c>
      <c r="B52" s="11">
        <v>94</v>
      </c>
      <c r="C52" s="2">
        <v>578.34484316798398</v>
      </c>
      <c r="D52" s="2">
        <v>4.7708421568627601</v>
      </c>
      <c r="E52" s="2">
        <v>-1</v>
      </c>
      <c r="F52" s="12" t="s">
        <v>97</v>
      </c>
      <c r="G52" s="12" t="s">
        <v>37</v>
      </c>
      <c r="H52" s="5"/>
      <c r="I52" s="11">
        <v>24821</v>
      </c>
      <c r="J52" s="11">
        <v>27055</v>
      </c>
      <c r="K52" s="11">
        <v>41434</v>
      </c>
      <c r="L52" s="11">
        <v>34583</v>
      </c>
      <c r="M52" s="11">
        <v>31552</v>
      </c>
      <c r="N52" s="11">
        <v>37442</v>
      </c>
      <c r="O52" s="11">
        <v>47570</v>
      </c>
      <c r="P52" s="11"/>
      <c r="Q52" s="11">
        <v>31081</v>
      </c>
      <c r="R52" s="11">
        <v>39217</v>
      </c>
      <c r="S52" s="11">
        <v>31726</v>
      </c>
      <c r="T52" s="11">
        <v>37025</v>
      </c>
      <c r="U52" s="11">
        <v>26764</v>
      </c>
      <c r="V52" s="11">
        <v>35952</v>
      </c>
      <c r="W52" s="11">
        <v>43716</v>
      </c>
      <c r="X52" s="11"/>
      <c r="Y52" s="11">
        <v>0</v>
      </c>
      <c r="Z52" s="11">
        <v>32624</v>
      </c>
      <c r="AA52" s="11">
        <v>30836</v>
      </c>
      <c r="AB52" s="11">
        <v>40351</v>
      </c>
      <c r="AC52" s="17">
        <f t="shared" si="0"/>
        <v>0.14614020333639821</v>
      </c>
      <c r="AD52" s="11">
        <f t="shared" si="1"/>
        <v>34922.428571428572</v>
      </c>
      <c r="AE52" s="11">
        <f t="shared" si="2"/>
        <v>35068.714285714283</v>
      </c>
      <c r="AF52" s="28">
        <f t="shared" si="9"/>
        <v>1.0041888757531998</v>
      </c>
      <c r="AG52" s="42">
        <f t="shared" si="3"/>
        <v>0.96923076078422421</v>
      </c>
      <c r="AH52" s="14" t="str">
        <f t="shared" si="4"/>
        <v>-</v>
      </c>
      <c r="AI52" s="11">
        <f t="shared" si="5"/>
        <v>382</v>
      </c>
      <c r="AJ52" s="11">
        <f t="shared" si="6"/>
        <v>382</v>
      </c>
      <c r="AK52" s="11">
        <f t="shared" si="7"/>
        <v>0.98191702728663555</v>
      </c>
      <c r="AL52" s="42">
        <f t="shared" si="8"/>
        <v>0.98191702728663555</v>
      </c>
      <c r="AM52" s="14" t="str">
        <f t="shared" si="10"/>
        <v/>
      </c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</row>
    <row r="53" spans="1:56" ht="27" customHeight="1" x14ac:dyDescent="0.2">
      <c r="A53" s="9" t="s">
        <v>356</v>
      </c>
      <c r="B53" s="11">
        <v>127</v>
      </c>
      <c r="C53" s="2">
        <v>626.34542868756103</v>
      </c>
      <c r="D53" s="2">
        <v>4.6005882352941097</v>
      </c>
      <c r="E53" s="2">
        <v>-1</v>
      </c>
      <c r="F53" s="12" t="s">
        <v>87</v>
      </c>
      <c r="G53" s="12" t="s">
        <v>37</v>
      </c>
      <c r="H53" s="5"/>
      <c r="I53" s="11">
        <v>20486</v>
      </c>
      <c r="J53" s="11">
        <v>20087</v>
      </c>
      <c r="K53" s="11">
        <v>20846</v>
      </c>
      <c r="L53" s="11">
        <v>19099</v>
      </c>
      <c r="M53" s="11">
        <v>23998</v>
      </c>
      <c r="N53" s="11">
        <v>27064</v>
      </c>
      <c r="O53" s="11">
        <v>32721</v>
      </c>
      <c r="P53" s="11"/>
      <c r="Q53" s="11">
        <v>33414</v>
      </c>
      <c r="R53" s="11">
        <v>33211</v>
      </c>
      <c r="S53" s="11">
        <v>25584</v>
      </c>
      <c r="T53" s="11">
        <v>16443</v>
      </c>
      <c r="U53" s="11">
        <v>27915</v>
      </c>
      <c r="V53" s="11">
        <v>31686</v>
      </c>
      <c r="W53" s="11">
        <v>19697</v>
      </c>
      <c r="X53" s="11"/>
      <c r="Y53" s="11">
        <v>0</v>
      </c>
      <c r="Z53" s="11">
        <v>27973</v>
      </c>
      <c r="AA53" s="11">
        <v>28403</v>
      </c>
      <c r="AB53" s="11">
        <v>25781</v>
      </c>
      <c r="AC53" s="17">
        <f t="shared" si="0"/>
        <v>5.1348585686765515E-2</v>
      </c>
      <c r="AD53" s="11">
        <f t="shared" si="1"/>
        <v>23471.571428571428</v>
      </c>
      <c r="AE53" s="11">
        <f t="shared" si="2"/>
        <v>26850</v>
      </c>
      <c r="AF53" s="28">
        <f t="shared" si="9"/>
        <v>1.1439370423795352</v>
      </c>
      <c r="AG53" s="42">
        <f t="shared" si="3"/>
        <v>0.30505055544753057</v>
      </c>
      <c r="AH53" s="14" t="str">
        <f t="shared" si="4"/>
        <v>-</v>
      </c>
      <c r="AI53" s="11">
        <f t="shared" si="5"/>
        <v>273</v>
      </c>
      <c r="AJ53" s="11">
        <f t="shared" si="6"/>
        <v>273</v>
      </c>
      <c r="AK53" s="11">
        <f t="shared" si="7"/>
        <v>0.43243430387616971</v>
      </c>
      <c r="AL53" s="42">
        <f t="shared" si="8"/>
        <v>0.43243430387616971</v>
      </c>
      <c r="AM53" s="14" t="str">
        <f t="shared" si="10"/>
        <v/>
      </c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</row>
    <row r="54" spans="1:56" ht="27" customHeight="1" x14ac:dyDescent="0.2">
      <c r="A54" s="9" t="s">
        <v>356</v>
      </c>
      <c r="B54" s="11">
        <v>145</v>
      </c>
      <c r="C54" s="2">
        <v>554.34455357548802</v>
      </c>
      <c r="D54" s="2">
        <v>4.9123166666666602</v>
      </c>
      <c r="E54" s="2">
        <v>-2</v>
      </c>
      <c r="F54" s="12" t="s">
        <v>36</v>
      </c>
      <c r="G54" s="12" t="s">
        <v>37</v>
      </c>
      <c r="H54" s="5"/>
      <c r="I54" s="11">
        <v>18657</v>
      </c>
      <c r="J54" s="11">
        <v>18165</v>
      </c>
      <c r="K54" s="11">
        <v>23708</v>
      </c>
      <c r="L54" s="11">
        <v>16848</v>
      </c>
      <c r="M54" s="11">
        <v>16644</v>
      </c>
      <c r="N54" s="11">
        <v>23298</v>
      </c>
      <c r="O54" s="11">
        <v>21097</v>
      </c>
      <c r="P54" s="11"/>
      <c r="Q54" s="11">
        <v>19949</v>
      </c>
      <c r="R54" s="11">
        <v>24416</v>
      </c>
      <c r="S54" s="11">
        <v>22164</v>
      </c>
      <c r="T54" s="11">
        <v>21659</v>
      </c>
      <c r="U54" s="11">
        <v>22629</v>
      </c>
      <c r="V54" s="11">
        <v>25301</v>
      </c>
      <c r="W54" s="11">
        <v>27590</v>
      </c>
      <c r="X54" s="11"/>
      <c r="Y54" s="11">
        <v>9</v>
      </c>
      <c r="Z54" s="11">
        <v>19346</v>
      </c>
      <c r="AA54" s="11">
        <v>23992</v>
      </c>
      <c r="AB54" s="11">
        <v>24808</v>
      </c>
      <c r="AC54" s="17">
        <f t="shared" si="0"/>
        <v>0.12970597837052125</v>
      </c>
      <c r="AD54" s="11">
        <f t="shared" si="1"/>
        <v>19773.857142857141</v>
      </c>
      <c r="AE54" s="11">
        <f t="shared" si="2"/>
        <v>23386.857142857141</v>
      </c>
      <c r="AF54" s="28">
        <f t="shared" si="9"/>
        <v>1.1827159958675597</v>
      </c>
      <c r="AG54" s="42">
        <f t="shared" si="3"/>
        <v>3.0761022674373823E-2</v>
      </c>
      <c r="AH54" s="14" t="str">
        <f t="shared" si="4"/>
        <v>*</v>
      </c>
      <c r="AI54" s="11">
        <f t="shared" si="5"/>
        <v>130</v>
      </c>
      <c r="AJ54" s="11">
        <f t="shared" si="6"/>
        <v>130</v>
      </c>
      <c r="AK54" s="11">
        <f t="shared" si="7"/>
        <v>9.1573198269097461E-2</v>
      </c>
      <c r="AL54" s="42">
        <f t="shared" si="8"/>
        <v>9.1233024603603066E-2</v>
      </c>
      <c r="AM54" s="14" t="str">
        <f t="shared" si="10"/>
        <v>*</v>
      </c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</row>
    <row r="55" spans="1:56" ht="27" customHeight="1" x14ac:dyDescent="0.2">
      <c r="A55" s="9" t="s">
        <v>356</v>
      </c>
      <c r="B55" s="11">
        <v>182</v>
      </c>
      <c r="C55" s="2">
        <v>580.36127762244803</v>
      </c>
      <c r="D55" s="2">
        <v>5.1927666666666603</v>
      </c>
      <c r="E55" s="2">
        <v>-1</v>
      </c>
      <c r="F55" s="12" t="s">
        <v>135</v>
      </c>
      <c r="G55" s="12" t="s">
        <v>37</v>
      </c>
      <c r="H55" s="5"/>
      <c r="I55" s="11">
        <v>15743</v>
      </c>
      <c r="J55" s="11">
        <v>14545</v>
      </c>
      <c r="K55" s="11">
        <v>20950</v>
      </c>
      <c r="L55" s="11">
        <v>15403</v>
      </c>
      <c r="M55" s="11">
        <v>17294</v>
      </c>
      <c r="N55" s="11">
        <v>19592</v>
      </c>
      <c r="O55" s="11">
        <v>17273</v>
      </c>
      <c r="P55" s="11"/>
      <c r="Q55" s="11">
        <v>16139</v>
      </c>
      <c r="R55" s="11">
        <v>16052</v>
      </c>
      <c r="S55" s="11">
        <v>17903</v>
      </c>
      <c r="T55" s="11">
        <v>15080</v>
      </c>
      <c r="U55" s="11">
        <v>10784</v>
      </c>
      <c r="V55" s="11">
        <v>17962</v>
      </c>
      <c r="W55" s="11">
        <v>18934</v>
      </c>
      <c r="X55" s="11"/>
      <c r="Y55" s="11">
        <v>0</v>
      </c>
      <c r="Z55" s="11">
        <v>14146</v>
      </c>
      <c r="AA55" s="11">
        <v>21063</v>
      </c>
      <c r="AB55" s="11">
        <v>19777</v>
      </c>
      <c r="AC55" s="17">
        <f t="shared" si="0"/>
        <v>0.20071961874909888</v>
      </c>
      <c r="AD55" s="11">
        <f t="shared" si="1"/>
        <v>17257.142857142859</v>
      </c>
      <c r="AE55" s="11">
        <f t="shared" si="2"/>
        <v>16122</v>
      </c>
      <c r="AF55" s="28">
        <f t="shared" si="9"/>
        <v>0.93422185430463567</v>
      </c>
      <c r="AG55" s="42">
        <f t="shared" si="3"/>
        <v>0.41632216037214897</v>
      </c>
      <c r="AH55" s="14" t="str">
        <f t="shared" si="4"/>
        <v>-</v>
      </c>
      <c r="AI55" s="11">
        <f t="shared" si="5"/>
        <v>299</v>
      </c>
      <c r="AJ55" s="11">
        <f t="shared" si="6"/>
        <v>299</v>
      </c>
      <c r="AK55" s="11">
        <f t="shared" si="7"/>
        <v>0.53885175941144359</v>
      </c>
      <c r="AL55" s="42">
        <f t="shared" si="8"/>
        <v>0.53860697496030663</v>
      </c>
      <c r="AM55" s="14" t="str">
        <f t="shared" si="10"/>
        <v/>
      </c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</row>
    <row r="56" spans="1:56" ht="27" customHeight="1" x14ac:dyDescent="0.2">
      <c r="A56" s="9" t="s">
        <v>356</v>
      </c>
      <c r="B56" s="11">
        <v>256</v>
      </c>
      <c r="C56" s="2">
        <v>580.35917641772096</v>
      </c>
      <c r="D56" s="2">
        <v>5.0660717948719203</v>
      </c>
      <c r="E56" s="2">
        <v>-1</v>
      </c>
      <c r="F56" s="12" t="s">
        <v>135</v>
      </c>
      <c r="G56" s="12" t="s">
        <v>37</v>
      </c>
      <c r="H56" s="5"/>
      <c r="I56" s="11">
        <v>9818</v>
      </c>
      <c r="J56" s="11">
        <v>8703</v>
      </c>
      <c r="K56" s="11">
        <v>14490</v>
      </c>
      <c r="L56" s="11">
        <v>11391</v>
      </c>
      <c r="M56" s="11">
        <v>14440</v>
      </c>
      <c r="N56" s="11">
        <v>14319</v>
      </c>
      <c r="O56" s="11">
        <v>13604</v>
      </c>
      <c r="P56" s="11"/>
      <c r="Q56" s="11">
        <v>10306</v>
      </c>
      <c r="R56" s="11">
        <v>10566</v>
      </c>
      <c r="S56" s="11">
        <v>7580</v>
      </c>
      <c r="T56" s="11">
        <v>9682</v>
      </c>
      <c r="U56" s="11">
        <v>8149</v>
      </c>
      <c r="V56" s="11">
        <v>9802</v>
      </c>
      <c r="W56" s="11">
        <v>10883</v>
      </c>
      <c r="X56" s="11"/>
      <c r="Y56" s="11">
        <v>0</v>
      </c>
      <c r="Z56" s="11">
        <v>10592</v>
      </c>
      <c r="AA56" s="11">
        <v>9703</v>
      </c>
      <c r="AB56" s="11">
        <v>15053</v>
      </c>
      <c r="AC56" s="17">
        <f t="shared" si="0"/>
        <v>0.24331170452248055</v>
      </c>
      <c r="AD56" s="11">
        <f t="shared" si="1"/>
        <v>12395</v>
      </c>
      <c r="AE56" s="11">
        <f t="shared" si="2"/>
        <v>9566.8571428571431</v>
      </c>
      <c r="AF56" s="28">
        <f t="shared" si="9"/>
        <v>0.77183195989166142</v>
      </c>
      <c r="AG56" s="42">
        <f t="shared" si="3"/>
        <v>2.2408742522551567E-2</v>
      </c>
      <c r="AH56" s="14" t="str">
        <f t="shared" si="4"/>
        <v>*</v>
      </c>
      <c r="AI56" s="11">
        <f t="shared" si="5"/>
        <v>116</v>
      </c>
      <c r="AJ56" s="11">
        <f t="shared" si="6"/>
        <v>116</v>
      </c>
      <c r="AK56" s="11">
        <f t="shared" si="7"/>
        <v>7.4760201346788416E-2</v>
      </c>
      <c r="AL56" s="42">
        <f t="shared" si="8"/>
        <v>7.4760201346788416E-2</v>
      </c>
      <c r="AM56" s="14" t="str">
        <f t="shared" si="10"/>
        <v>*</v>
      </c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</row>
    <row r="57" spans="1:56" ht="27" customHeight="1" x14ac:dyDescent="0.2">
      <c r="A57" s="9" t="s">
        <v>356</v>
      </c>
      <c r="B57" s="11">
        <v>390</v>
      </c>
      <c r="C57" s="2">
        <v>582.37638404210202</v>
      </c>
      <c r="D57" s="2">
        <v>5.5473606060605398</v>
      </c>
      <c r="E57" s="2">
        <v>-2</v>
      </c>
      <c r="F57" s="12" t="s">
        <v>51</v>
      </c>
      <c r="G57" s="12" t="s">
        <v>37</v>
      </c>
      <c r="H57" s="5"/>
      <c r="I57" s="11">
        <v>3535</v>
      </c>
      <c r="J57" s="11">
        <v>5312</v>
      </c>
      <c r="K57" s="11">
        <v>4978</v>
      </c>
      <c r="L57" s="11">
        <v>4572</v>
      </c>
      <c r="M57" s="11">
        <v>5700</v>
      </c>
      <c r="N57" s="11">
        <v>6313</v>
      </c>
      <c r="O57" s="11">
        <v>6476</v>
      </c>
      <c r="P57" s="11"/>
      <c r="Q57" s="11">
        <v>6779</v>
      </c>
      <c r="R57" s="11">
        <v>9726</v>
      </c>
      <c r="S57" s="11">
        <v>6550</v>
      </c>
      <c r="T57" s="11">
        <v>7739</v>
      </c>
      <c r="U57" s="11">
        <v>8079</v>
      </c>
      <c r="V57" s="11">
        <v>9548</v>
      </c>
      <c r="W57" s="11">
        <v>9476</v>
      </c>
      <c r="X57" s="11"/>
      <c r="Y57" s="11">
        <v>0</v>
      </c>
      <c r="Z57" s="11">
        <v>7205</v>
      </c>
      <c r="AA57" s="11">
        <v>6207</v>
      </c>
      <c r="AB57" s="11">
        <v>9184</v>
      </c>
      <c r="AC57" s="17">
        <f t="shared" si="0"/>
        <v>0.20116825900443336</v>
      </c>
      <c r="AD57" s="11">
        <f t="shared" si="1"/>
        <v>5269.4285714285716</v>
      </c>
      <c r="AE57" s="11">
        <f t="shared" si="2"/>
        <v>8271</v>
      </c>
      <c r="AF57" s="28">
        <f t="shared" si="9"/>
        <v>1.5696199099929513</v>
      </c>
      <c r="AG57" s="42">
        <f t="shared" si="3"/>
        <v>5.9681887735285046E-4</v>
      </c>
      <c r="AH57" s="14" t="str">
        <f t="shared" si="4"/>
        <v>***</v>
      </c>
      <c r="AI57" s="11">
        <f t="shared" si="5"/>
        <v>16</v>
      </c>
      <c r="AJ57" s="11">
        <f t="shared" si="6"/>
        <v>16</v>
      </c>
      <c r="AK57" s="11">
        <f t="shared" si="7"/>
        <v>1.4435556595972071E-2</v>
      </c>
      <c r="AL57" s="42">
        <f t="shared" si="8"/>
        <v>1.4435556595972071E-2</v>
      </c>
      <c r="AM57" s="14" t="str">
        <f t="shared" si="10"/>
        <v>**</v>
      </c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</row>
    <row r="58" spans="1:56" ht="27" customHeight="1" x14ac:dyDescent="0.2">
      <c r="A58" s="9" t="s">
        <v>356</v>
      </c>
      <c r="B58" s="11">
        <v>422</v>
      </c>
      <c r="C58" s="2">
        <v>602.34509067574697</v>
      </c>
      <c r="D58" s="2">
        <v>4.6279153846153802</v>
      </c>
      <c r="E58" s="2">
        <v>-2</v>
      </c>
      <c r="F58" s="12" t="s">
        <v>218</v>
      </c>
      <c r="G58" s="12" t="s">
        <v>37</v>
      </c>
      <c r="H58" s="5"/>
      <c r="I58" s="11">
        <v>4190</v>
      </c>
      <c r="J58" s="11">
        <v>5017</v>
      </c>
      <c r="K58" s="11">
        <v>6526</v>
      </c>
      <c r="L58" s="11">
        <v>5373</v>
      </c>
      <c r="M58" s="11">
        <v>5965</v>
      </c>
      <c r="N58" s="11">
        <v>6792</v>
      </c>
      <c r="O58" s="11">
        <v>8051</v>
      </c>
      <c r="P58" s="11"/>
      <c r="Q58" s="11">
        <v>6789</v>
      </c>
      <c r="R58" s="11">
        <v>8641</v>
      </c>
      <c r="S58" s="11">
        <v>4113</v>
      </c>
      <c r="T58" s="11">
        <v>5582</v>
      </c>
      <c r="U58" s="11">
        <v>6458</v>
      </c>
      <c r="V58" s="11">
        <v>5734</v>
      </c>
      <c r="W58" s="11">
        <v>6850</v>
      </c>
      <c r="X58" s="11"/>
      <c r="Y58" s="11">
        <v>0</v>
      </c>
      <c r="Z58" s="11">
        <v>6237</v>
      </c>
      <c r="AA58" s="11">
        <v>5794</v>
      </c>
      <c r="AB58" s="11">
        <v>7440</v>
      </c>
      <c r="AC58" s="17">
        <f t="shared" si="0"/>
        <v>0.1312322068474652</v>
      </c>
      <c r="AD58" s="11">
        <f t="shared" si="1"/>
        <v>5987.7142857142853</v>
      </c>
      <c r="AE58" s="11">
        <f t="shared" si="2"/>
        <v>6309.5714285714284</v>
      </c>
      <c r="AF58" s="28">
        <f t="shared" si="9"/>
        <v>1.0537529226511428</v>
      </c>
      <c r="AG58" s="42">
        <f t="shared" si="3"/>
        <v>0.66024747924850646</v>
      </c>
      <c r="AH58" s="14" t="str">
        <f t="shared" si="4"/>
        <v>-</v>
      </c>
      <c r="AI58" s="11">
        <f t="shared" si="5"/>
        <v>342</v>
      </c>
      <c r="AJ58" s="11">
        <f t="shared" si="6"/>
        <v>342</v>
      </c>
      <c r="AK58" s="11">
        <f t="shared" si="7"/>
        <v>0.74712214757067841</v>
      </c>
      <c r="AL58" s="42">
        <f t="shared" si="8"/>
        <v>0.74712214757067841</v>
      </c>
      <c r="AM58" s="14" t="str">
        <f t="shared" si="10"/>
        <v/>
      </c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</row>
    <row r="59" spans="1:56" ht="27" customHeight="1" x14ac:dyDescent="0.2">
      <c r="A59" s="9" t="s">
        <v>356</v>
      </c>
      <c r="B59" s="11">
        <v>532</v>
      </c>
      <c r="C59" s="2">
        <v>568.36013414557897</v>
      </c>
      <c r="D59" s="2">
        <v>5.3752749999999203</v>
      </c>
      <c r="E59" s="2">
        <v>-1</v>
      </c>
      <c r="F59" s="12" t="s">
        <v>224</v>
      </c>
      <c r="G59" s="12" t="s">
        <v>37</v>
      </c>
      <c r="H59" s="5"/>
      <c r="I59" s="11">
        <v>3118</v>
      </c>
      <c r="J59" s="11">
        <v>3533</v>
      </c>
      <c r="K59" s="11">
        <v>4565</v>
      </c>
      <c r="L59" s="11">
        <v>3640</v>
      </c>
      <c r="M59" s="11">
        <v>2683</v>
      </c>
      <c r="N59" s="11">
        <v>4340</v>
      </c>
      <c r="O59" s="11">
        <v>4070</v>
      </c>
      <c r="P59" s="11"/>
      <c r="Q59" s="11">
        <v>3582</v>
      </c>
      <c r="R59" s="11">
        <v>6588</v>
      </c>
      <c r="S59" s="11">
        <v>4102</v>
      </c>
      <c r="T59" s="11">
        <v>4412</v>
      </c>
      <c r="U59" s="11">
        <v>5165</v>
      </c>
      <c r="V59" s="11">
        <v>5329</v>
      </c>
      <c r="W59" s="11">
        <v>4357</v>
      </c>
      <c r="X59" s="11"/>
      <c r="Y59" s="11">
        <v>787</v>
      </c>
      <c r="Z59" s="11">
        <v>3876</v>
      </c>
      <c r="AA59" s="11">
        <v>4828</v>
      </c>
      <c r="AB59" s="11">
        <v>4554</v>
      </c>
      <c r="AC59" s="17">
        <f t="shared" si="0"/>
        <v>0.11089430650434415</v>
      </c>
      <c r="AD59" s="11">
        <f t="shared" si="1"/>
        <v>3707</v>
      </c>
      <c r="AE59" s="11">
        <f t="shared" si="2"/>
        <v>4790.7142857142853</v>
      </c>
      <c r="AF59" s="28">
        <f t="shared" si="9"/>
        <v>1.2923426721646305</v>
      </c>
      <c r="AG59" s="42">
        <f t="shared" si="3"/>
        <v>3.6717593367502327E-2</v>
      </c>
      <c r="AH59" s="14" t="str">
        <f t="shared" si="4"/>
        <v>*</v>
      </c>
      <c r="AI59" s="11">
        <f t="shared" si="5"/>
        <v>146</v>
      </c>
      <c r="AJ59" s="11">
        <f t="shared" si="6"/>
        <v>146</v>
      </c>
      <c r="AK59" s="11">
        <f t="shared" si="7"/>
        <v>9.7326771460434253E-2</v>
      </c>
      <c r="AL59" s="42">
        <f t="shared" si="8"/>
        <v>9.7326771460434253E-2</v>
      </c>
      <c r="AM59" s="14" t="str">
        <f t="shared" si="10"/>
        <v>*</v>
      </c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</row>
    <row r="60" spans="1:56" ht="27" customHeight="1" x14ac:dyDescent="0.2">
      <c r="A60" s="9" t="s">
        <v>356</v>
      </c>
      <c r="B60" s="11">
        <v>877</v>
      </c>
      <c r="C60" s="2">
        <v>610.40790281930003</v>
      </c>
      <c r="D60" s="2">
        <v>6.2144852941176403</v>
      </c>
      <c r="E60" s="2">
        <v>-1</v>
      </c>
      <c r="F60" s="12" t="s">
        <v>258</v>
      </c>
      <c r="G60" s="12" t="s">
        <v>37</v>
      </c>
      <c r="H60" s="5"/>
      <c r="I60" s="11">
        <v>2522</v>
      </c>
      <c r="J60" s="11">
        <v>2326</v>
      </c>
      <c r="K60" s="11">
        <v>2715</v>
      </c>
      <c r="L60" s="11">
        <v>2939</v>
      </c>
      <c r="M60" s="11">
        <v>2910</v>
      </c>
      <c r="N60" s="11">
        <v>3083</v>
      </c>
      <c r="O60" s="11">
        <v>3700</v>
      </c>
      <c r="P60" s="11"/>
      <c r="Q60" s="11">
        <v>1928</v>
      </c>
      <c r="R60" s="11">
        <v>1669</v>
      </c>
      <c r="S60" s="11">
        <v>1989</v>
      </c>
      <c r="T60" s="11">
        <v>2339</v>
      </c>
      <c r="U60" s="11">
        <v>1924</v>
      </c>
      <c r="V60" s="11">
        <v>3913</v>
      </c>
      <c r="W60" s="11">
        <v>3889</v>
      </c>
      <c r="X60" s="11"/>
      <c r="Y60" s="11">
        <v>0</v>
      </c>
      <c r="Z60" s="11">
        <v>2732</v>
      </c>
      <c r="AA60" s="11">
        <v>2693</v>
      </c>
      <c r="AB60" s="11">
        <v>3294</v>
      </c>
      <c r="AC60" s="17">
        <f t="shared" si="0"/>
        <v>0.11571109394856036</v>
      </c>
      <c r="AD60" s="11">
        <f t="shared" si="1"/>
        <v>2885</v>
      </c>
      <c r="AE60" s="11">
        <f t="shared" si="2"/>
        <v>2521.5714285714284</v>
      </c>
      <c r="AF60" s="28">
        <f t="shared" si="9"/>
        <v>0.87402822480812081</v>
      </c>
      <c r="AG60" s="42">
        <f t="shared" si="3"/>
        <v>0.38944072409096397</v>
      </c>
      <c r="AH60" s="14" t="str">
        <f t="shared" si="4"/>
        <v>-</v>
      </c>
      <c r="AI60" s="11">
        <f t="shared" si="5"/>
        <v>293</v>
      </c>
      <c r="AJ60" s="11">
        <f t="shared" si="6"/>
        <v>293</v>
      </c>
      <c r="AK60" s="11">
        <f t="shared" si="7"/>
        <v>0.5143807516150275</v>
      </c>
      <c r="AL60" s="42">
        <f t="shared" si="8"/>
        <v>0.51177444068705213</v>
      </c>
      <c r="AM60" s="14" t="str">
        <f t="shared" si="10"/>
        <v/>
      </c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</row>
    <row r="61" spans="1:56" ht="27" customHeight="1" x14ac:dyDescent="0.2">
      <c r="A61" s="9" t="s">
        <v>356</v>
      </c>
      <c r="B61" s="11">
        <v>906</v>
      </c>
      <c r="C61" s="2">
        <v>604.36042778843603</v>
      </c>
      <c r="D61" s="2">
        <v>4.8902270833333104</v>
      </c>
      <c r="E61" s="2">
        <v>-1</v>
      </c>
      <c r="F61" s="12" t="s">
        <v>286</v>
      </c>
      <c r="G61" s="12" t="s">
        <v>37</v>
      </c>
      <c r="H61" s="5"/>
      <c r="I61" s="11">
        <v>1847</v>
      </c>
      <c r="J61" s="11">
        <v>2343</v>
      </c>
      <c r="K61" s="11">
        <v>3220</v>
      </c>
      <c r="L61" s="11">
        <v>1866</v>
      </c>
      <c r="M61" s="11">
        <v>2088</v>
      </c>
      <c r="N61" s="11">
        <v>3745</v>
      </c>
      <c r="O61" s="11">
        <v>2802</v>
      </c>
      <c r="P61" s="11"/>
      <c r="Q61" s="11">
        <v>1879</v>
      </c>
      <c r="R61" s="11">
        <v>2103</v>
      </c>
      <c r="S61" s="11">
        <v>1948</v>
      </c>
      <c r="T61" s="11">
        <v>2165</v>
      </c>
      <c r="U61" s="11">
        <v>1189</v>
      </c>
      <c r="V61" s="11">
        <v>2200</v>
      </c>
      <c r="W61" s="11">
        <v>1965</v>
      </c>
      <c r="X61" s="11"/>
      <c r="Y61" s="11">
        <v>36</v>
      </c>
      <c r="Z61" s="11">
        <v>1780</v>
      </c>
      <c r="AA61" s="11">
        <v>1963</v>
      </c>
      <c r="AB61" s="11">
        <v>2701</v>
      </c>
      <c r="AC61" s="17">
        <f t="shared" si="0"/>
        <v>0.2269900417482674</v>
      </c>
      <c r="AD61" s="11">
        <f t="shared" si="1"/>
        <v>2558.7142857142858</v>
      </c>
      <c r="AE61" s="11">
        <f t="shared" si="2"/>
        <v>1921.2857142857142</v>
      </c>
      <c r="AF61" s="28">
        <f t="shared" si="9"/>
        <v>0.75087934788677346</v>
      </c>
      <c r="AG61" s="42">
        <f t="shared" si="3"/>
        <v>6.6628700714516292E-2</v>
      </c>
      <c r="AH61" s="14" t="str">
        <f t="shared" si="4"/>
        <v>-</v>
      </c>
      <c r="AI61" s="11">
        <f t="shared" si="5"/>
        <v>177</v>
      </c>
      <c r="AJ61" s="11">
        <f t="shared" si="6"/>
        <v>177</v>
      </c>
      <c r="AK61" s="11">
        <f t="shared" si="7"/>
        <v>0.14567970156224749</v>
      </c>
      <c r="AL61" s="42">
        <f t="shared" si="8"/>
        <v>0.14486585167607827</v>
      </c>
      <c r="AM61" s="14" t="str">
        <f t="shared" si="10"/>
        <v/>
      </c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</row>
    <row r="62" spans="1:56" ht="27" customHeight="1" x14ac:dyDescent="0.2">
      <c r="A62" s="9" t="s">
        <v>356</v>
      </c>
      <c r="B62" s="11">
        <v>1078</v>
      </c>
      <c r="C62" s="2">
        <v>552.32612914286995</v>
      </c>
      <c r="D62" s="2">
        <v>4.5367178571429196</v>
      </c>
      <c r="E62" s="2">
        <v>-1</v>
      </c>
      <c r="F62" s="12" t="s">
        <v>287</v>
      </c>
      <c r="G62" s="12" t="s">
        <v>37</v>
      </c>
      <c r="H62" s="5"/>
      <c r="I62" s="11">
        <v>1307</v>
      </c>
      <c r="J62" s="11">
        <v>188</v>
      </c>
      <c r="K62" s="11">
        <v>3219</v>
      </c>
      <c r="L62" s="11">
        <v>1923</v>
      </c>
      <c r="M62" s="11">
        <v>1585</v>
      </c>
      <c r="N62" s="11">
        <v>1727</v>
      </c>
      <c r="O62" s="11">
        <v>2370</v>
      </c>
      <c r="P62" s="11"/>
      <c r="Q62" s="11">
        <v>3087</v>
      </c>
      <c r="R62" s="11">
        <v>2778</v>
      </c>
      <c r="S62" s="11">
        <v>2359</v>
      </c>
      <c r="T62" s="11">
        <v>2514</v>
      </c>
      <c r="U62" s="11">
        <v>1619</v>
      </c>
      <c r="V62" s="11">
        <v>2028</v>
      </c>
      <c r="W62" s="11">
        <v>2583</v>
      </c>
      <c r="X62" s="11"/>
      <c r="Y62" s="11">
        <v>0</v>
      </c>
      <c r="Z62" s="11">
        <v>2110</v>
      </c>
      <c r="AA62" s="11">
        <v>2268</v>
      </c>
      <c r="AB62" s="11">
        <v>2437</v>
      </c>
      <c r="AC62" s="17">
        <f t="shared" si="0"/>
        <v>7.1987160517020629E-2</v>
      </c>
      <c r="AD62" s="11">
        <f t="shared" si="1"/>
        <v>1759.8571428571429</v>
      </c>
      <c r="AE62" s="11">
        <f t="shared" si="2"/>
        <v>2424</v>
      </c>
      <c r="AF62" s="28">
        <f t="shared" si="9"/>
        <v>1.3773845279649322</v>
      </c>
      <c r="AG62" s="42">
        <f t="shared" si="3"/>
        <v>0.12923153699527248</v>
      </c>
      <c r="AH62" s="14" t="str">
        <f t="shared" si="4"/>
        <v>-</v>
      </c>
      <c r="AI62" s="11">
        <f t="shared" si="5"/>
        <v>214</v>
      </c>
      <c r="AJ62" s="11">
        <f t="shared" si="6"/>
        <v>214</v>
      </c>
      <c r="AK62" s="11">
        <f t="shared" si="7"/>
        <v>0.23370376082789929</v>
      </c>
      <c r="AL62" s="42">
        <f t="shared" si="8"/>
        <v>0.23298590016281245</v>
      </c>
      <c r="AM62" s="14" t="str">
        <f t="shared" si="10"/>
        <v/>
      </c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</row>
    <row r="63" spans="1:56" ht="27" customHeight="1" x14ac:dyDescent="0.2">
      <c r="A63" s="9" t="s">
        <v>356</v>
      </c>
      <c r="B63" s="11">
        <v>1100</v>
      </c>
      <c r="C63" s="2">
        <v>600.33023515206503</v>
      </c>
      <c r="D63" s="2">
        <v>4.2459388888888601</v>
      </c>
      <c r="E63" s="2">
        <v>-2</v>
      </c>
      <c r="F63" s="12" t="s">
        <v>308</v>
      </c>
      <c r="G63" s="12" t="s">
        <v>37</v>
      </c>
      <c r="H63" s="5"/>
      <c r="I63" s="11">
        <v>1856</v>
      </c>
      <c r="J63" s="11">
        <v>1724</v>
      </c>
      <c r="K63" s="11">
        <v>2446</v>
      </c>
      <c r="L63" s="11">
        <v>2344</v>
      </c>
      <c r="M63" s="11">
        <v>1799</v>
      </c>
      <c r="N63" s="11">
        <v>1533</v>
      </c>
      <c r="O63" s="11">
        <v>2372</v>
      </c>
      <c r="P63" s="11"/>
      <c r="Q63" s="11">
        <v>2400</v>
      </c>
      <c r="R63" s="11">
        <v>1600</v>
      </c>
      <c r="S63" s="11">
        <v>2795</v>
      </c>
      <c r="T63" s="11">
        <v>2755</v>
      </c>
      <c r="U63" s="11">
        <v>3023</v>
      </c>
      <c r="V63" s="11">
        <v>2399</v>
      </c>
      <c r="W63" s="11">
        <v>2847</v>
      </c>
      <c r="X63" s="11"/>
      <c r="Y63" s="11">
        <v>0</v>
      </c>
      <c r="Z63" s="11">
        <v>1774</v>
      </c>
      <c r="AA63" s="11">
        <v>2694</v>
      </c>
      <c r="AB63" s="11">
        <v>2677</v>
      </c>
      <c r="AC63" s="17">
        <f t="shared" si="0"/>
        <v>0.22098953590552323</v>
      </c>
      <c r="AD63" s="11">
        <f t="shared" si="1"/>
        <v>2010.5714285714287</v>
      </c>
      <c r="AE63" s="11">
        <f t="shared" si="2"/>
        <v>2545.5714285714284</v>
      </c>
      <c r="AF63" s="28">
        <f t="shared" si="9"/>
        <v>1.2660935057552933</v>
      </c>
      <c r="AG63" s="42">
        <f t="shared" si="3"/>
        <v>3.7790104301114451E-2</v>
      </c>
      <c r="AH63" s="14" t="str">
        <f t="shared" si="4"/>
        <v>*</v>
      </c>
      <c r="AI63" s="11">
        <f t="shared" si="5"/>
        <v>147</v>
      </c>
      <c r="AJ63" s="11">
        <f t="shared" si="6"/>
        <v>147</v>
      </c>
      <c r="AK63" s="11">
        <f t="shared" si="7"/>
        <v>9.9488233772321716E-2</v>
      </c>
      <c r="AL63" s="42">
        <f t="shared" si="8"/>
        <v>9.9488233772321716E-2</v>
      </c>
      <c r="AM63" s="14" t="str">
        <f t="shared" si="10"/>
        <v>*</v>
      </c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</row>
    <row r="64" spans="1:56" ht="27" customHeight="1" x14ac:dyDescent="0.2">
      <c r="A64" s="9" t="s">
        <v>356</v>
      </c>
      <c r="B64" s="11">
        <v>1346</v>
      </c>
      <c r="C64" s="2">
        <v>540.32942746610502</v>
      </c>
      <c r="D64" s="2">
        <v>4.7126009803921702</v>
      </c>
      <c r="E64" s="2">
        <v>-1</v>
      </c>
      <c r="F64" s="12" t="s">
        <v>302</v>
      </c>
      <c r="G64" s="12" t="s">
        <v>37</v>
      </c>
      <c r="H64" s="5"/>
      <c r="I64" s="11">
        <v>1744</v>
      </c>
      <c r="J64" s="11">
        <v>1944</v>
      </c>
      <c r="K64" s="11">
        <v>1677</v>
      </c>
      <c r="L64" s="11">
        <v>1475</v>
      </c>
      <c r="M64" s="11">
        <v>1318</v>
      </c>
      <c r="N64" s="11">
        <v>2028</v>
      </c>
      <c r="O64" s="11">
        <v>1883</v>
      </c>
      <c r="P64" s="11"/>
      <c r="Q64" s="11">
        <v>1808</v>
      </c>
      <c r="R64" s="11">
        <v>2409</v>
      </c>
      <c r="S64" s="11">
        <v>1612</v>
      </c>
      <c r="T64" s="11">
        <v>1574</v>
      </c>
      <c r="U64" s="11">
        <v>2052</v>
      </c>
      <c r="V64" s="11">
        <v>1801</v>
      </c>
      <c r="W64" s="11">
        <v>2024</v>
      </c>
      <c r="X64" s="11"/>
      <c r="Y64" s="11">
        <v>90</v>
      </c>
      <c r="Z64" s="11">
        <v>1518</v>
      </c>
      <c r="AA64" s="11">
        <v>1838</v>
      </c>
      <c r="AB64" s="11">
        <v>2117</v>
      </c>
      <c r="AC64" s="17">
        <f t="shared" si="0"/>
        <v>0.16429770003227134</v>
      </c>
      <c r="AD64" s="11">
        <f t="shared" si="1"/>
        <v>1724.1428571428571</v>
      </c>
      <c r="AE64" s="11">
        <f t="shared" si="2"/>
        <v>1897.1428571428571</v>
      </c>
      <c r="AF64" s="28">
        <f t="shared" si="9"/>
        <v>1.1003397133151047</v>
      </c>
      <c r="AG64" s="42">
        <f t="shared" si="3"/>
        <v>0.26063311765615299</v>
      </c>
      <c r="AH64" s="14" t="str">
        <f t="shared" si="4"/>
        <v>-</v>
      </c>
      <c r="AI64" s="11">
        <f t="shared" si="5"/>
        <v>257</v>
      </c>
      <c r="AJ64" s="11">
        <f t="shared" si="6"/>
        <v>257</v>
      </c>
      <c r="AK64" s="11">
        <f t="shared" si="7"/>
        <v>0.39247088145109421</v>
      </c>
      <c r="AL64" s="42">
        <f t="shared" si="8"/>
        <v>0.39247088145109421</v>
      </c>
      <c r="AM64" s="14" t="str">
        <f t="shared" si="10"/>
        <v/>
      </c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</row>
    <row r="65" spans="1:56" ht="27" customHeight="1" x14ac:dyDescent="0.2">
      <c r="A65" s="9" t="s">
        <v>356</v>
      </c>
      <c r="B65" s="11">
        <v>2189</v>
      </c>
      <c r="C65" s="2">
        <v>552.32953942100801</v>
      </c>
      <c r="D65" s="2">
        <v>4.3903604166666197</v>
      </c>
      <c r="E65" s="2">
        <v>-2</v>
      </c>
      <c r="F65" s="12" t="s">
        <v>287</v>
      </c>
      <c r="G65" s="12" t="s">
        <v>37</v>
      </c>
      <c r="H65" s="5"/>
      <c r="I65" s="11">
        <v>910</v>
      </c>
      <c r="J65" s="11">
        <v>884</v>
      </c>
      <c r="K65" s="11">
        <v>1391</v>
      </c>
      <c r="L65" s="11">
        <v>536</v>
      </c>
      <c r="M65" s="11">
        <v>648</v>
      </c>
      <c r="N65" s="11">
        <v>938</v>
      </c>
      <c r="O65" s="11">
        <v>562</v>
      </c>
      <c r="P65" s="11"/>
      <c r="Q65" s="11">
        <v>996</v>
      </c>
      <c r="R65" s="11">
        <v>581</v>
      </c>
      <c r="S65" s="11">
        <v>730</v>
      </c>
      <c r="T65" s="11">
        <v>570</v>
      </c>
      <c r="U65" s="11">
        <v>473</v>
      </c>
      <c r="V65" s="11">
        <v>908</v>
      </c>
      <c r="W65" s="11">
        <v>943</v>
      </c>
      <c r="X65" s="11"/>
      <c r="Y65" s="11">
        <v>0</v>
      </c>
      <c r="Z65" s="11">
        <v>868</v>
      </c>
      <c r="AA65" s="11">
        <v>940</v>
      </c>
      <c r="AB65" s="11">
        <v>1012</v>
      </c>
      <c r="AC65" s="17">
        <f t="shared" si="0"/>
        <v>7.6595744680851063E-2</v>
      </c>
      <c r="AD65" s="11">
        <f t="shared" si="1"/>
        <v>838.42857142857144</v>
      </c>
      <c r="AE65" s="11">
        <f t="shared" si="2"/>
        <v>743</v>
      </c>
      <c r="AF65" s="28">
        <f t="shared" si="9"/>
        <v>0.88618163230533309</v>
      </c>
      <c r="AG65" s="42">
        <f t="shared" si="3"/>
        <v>0.5005092386558232</v>
      </c>
      <c r="AH65" s="14" t="str">
        <f t="shared" si="4"/>
        <v>-</v>
      </c>
      <c r="AI65" s="11">
        <f t="shared" si="5"/>
        <v>319</v>
      </c>
      <c r="AJ65" s="11">
        <f t="shared" si="6"/>
        <v>319</v>
      </c>
      <c r="AK65" s="11">
        <f t="shared" si="7"/>
        <v>0.60720086319687649</v>
      </c>
      <c r="AL65" s="42">
        <f t="shared" si="8"/>
        <v>0.60548481134420329</v>
      </c>
      <c r="AM65" s="14" t="str">
        <f t="shared" si="10"/>
        <v/>
      </c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</row>
    <row r="66" spans="1:56" ht="27" customHeight="1" x14ac:dyDescent="0.2">
      <c r="A66" s="9" t="s">
        <v>356</v>
      </c>
      <c r="B66" s="11">
        <v>2271</v>
      </c>
      <c r="C66" s="2">
        <v>608.391393277416</v>
      </c>
      <c r="D66" s="2">
        <v>5.7512770833333704</v>
      </c>
      <c r="E66" s="2">
        <v>-2</v>
      </c>
      <c r="F66" s="12" t="s">
        <v>333</v>
      </c>
      <c r="G66" s="12" t="s">
        <v>37</v>
      </c>
      <c r="H66" s="5"/>
      <c r="I66" s="11">
        <v>1177</v>
      </c>
      <c r="J66" s="11">
        <v>1085</v>
      </c>
      <c r="K66" s="11">
        <v>979</v>
      </c>
      <c r="L66" s="11">
        <v>1027</v>
      </c>
      <c r="M66" s="11">
        <v>983</v>
      </c>
      <c r="N66" s="11">
        <v>1262</v>
      </c>
      <c r="O66" s="11">
        <v>1072</v>
      </c>
      <c r="P66" s="11"/>
      <c r="Q66" s="11">
        <v>829</v>
      </c>
      <c r="R66" s="11">
        <v>1307</v>
      </c>
      <c r="S66" s="11">
        <v>788</v>
      </c>
      <c r="T66" s="11">
        <v>1095</v>
      </c>
      <c r="U66" s="11">
        <v>771</v>
      </c>
      <c r="V66" s="11">
        <v>1184</v>
      </c>
      <c r="W66" s="11">
        <v>1258</v>
      </c>
      <c r="X66" s="11"/>
      <c r="Y66" s="11">
        <v>0</v>
      </c>
      <c r="Z66" s="11">
        <v>995</v>
      </c>
      <c r="AA66" s="11">
        <v>1340</v>
      </c>
      <c r="AB66" s="11">
        <v>1104</v>
      </c>
      <c r="AC66" s="17">
        <f t="shared" si="0"/>
        <v>0.15384082520754286</v>
      </c>
      <c r="AD66" s="11">
        <f t="shared" si="1"/>
        <v>1083.5714285714287</v>
      </c>
      <c r="AE66" s="11">
        <f t="shared" si="2"/>
        <v>1033.1428571428571</v>
      </c>
      <c r="AF66" s="28">
        <f t="shared" si="9"/>
        <v>0.95346077785102168</v>
      </c>
      <c r="AG66" s="42">
        <f t="shared" si="3"/>
        <v>0.61331191499448601</v>
      </c>
      <c r="AH66" s="14" t="str">
        <f t="shared" si="4"/>
        <v>-</v>
      </c>
      <c r="AI66" s="11">
        <f t="shared" si="5"/>
        <v>337</v>
      </c>
      <c r="AJ66" s="11">
        <f t="shared" si="6"/>
        <v>337</v>
      </c>
      <c r="AK66" s="11">
        <f t="shared" si="7"/>
        <v>0.7043077480797213</v>
      </c>
      <c r="AL66" s="42">
        <f t="shared" si="8"/>
        <v>0.7043077480797213</v>
      </c>
      <c r="AM66" s="14" t="str">
        <f t="shared" si="10"/>
        <v/>
      </c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</row>
    <row r="67" spans="1:56" ht="27" customHeight="1" x14ac:dyDescent="0.2">
      <c r="A67" s="9" t="s">
        <v>356</v>
      </c>
      <c r="B67" s="11">
        <v>2279</v>
      </c>
      <c r="C67" s="2">
        <v>526.31387588155098</v>
      </c>
      <c r="D67" s="2">
        <v>4.3489947916667502</v>
      </c>
      <c r="E67" s="2">
        <v>-2</v>
      </c>
      <c r="F67" s="12" t="s">
        <v>335</v>
      </c>
      <c r="G67" s="12" t="s">
        <v>37</v>
      </c>
      <c r="H67" s="5"/>
      <c r="I67" s="11">
        <v>826</v>
      </c>
      <c r="J67" s="11">
        <v>609</v>
      </c>
      <c r="K67" s="11">
        <v>873</v>
      </c>
      <c r="L67" s="11">
        <v>633</v>
      </c>
      <c r="M67" s="11">
        <v>828</v>
      </c>
      <c r="N67" s="11">
        <v>800</v>
      </c>
      <c r="O67" s="11">
        <v>859</v>
      </c>
      <c r="P67" s="11"/>
      <c r="Q67" s="11">
        <v>1319</v>
      </c>
      <c r="R67" s="11">
        <v>856</v>
      </c>
      <c r="S67" s="11">
        <v>1270</v>
      </c>
      <c r="T67" s="11">
        <v>1245</v>
      </c>
      <c r="U67" s="11">
        <v>767</v>
      </c>
      <c r="V67" s="11">
        <v>902</v>
      </c>
      <c r="W67" s="11">
        <v>1334</v>
      </c>
      <c r="X67" s="11"/>
      <c r="Y67" s="11">
        <v>4</v>
      </c>
      <c r="Z67" s="11">
        <v>1074</v>
      </c>
      <c r="AA67" s="11">
        <v>1258</v>
      </c>
      <c r="AB67" s="11">
        <v>869</v>
      </c>
      <c r="AC67" s="17">
        <f t="shared" si="0"/>
        <v>0.1823753046626255</v>
      </c>
      <c r="AD67" s="11">
        <f t="shared" si="1"/>
        <v>775.42857142857144</v>
      </c>
      <c r="AE67" s="11">
        <f t="shared" si="2"/>
        <v>1099</v>
      </c>
      <c r="AF67" s="28">
        <f t="shared" si="9"/>
        <v>1.4172807663964628</v>
      </c>
      <c r="AG67" s="42">
        <f t="shared" si="3"/>
        <v>1.2345251075185403E-2</v>
      </c>
      <c r="AH67" s="14" t="str">
        <f t="shared" si="4"/>
        <v>*</v>
      </c>
      <c r="AI67" s="11">
        <f t="shared" si="5"/>
        <v>83</v>
      </c>
      <c r="AJ67" s="11">
        <f t="shared" si="6"/>
        <v>83</v>
      </c>
      <c r="AK67" s="11">
        <f t="shared" si="7"/>
        <v>5.7561592362611456E-2</v>
      </c>
      <c r="AL67" s="42">
        <f t="shared" si="8"/>
        <v>5.7144139560858571E-2</v>
      </c>
      <c r="AM67" s="14" t="str">
        <f t="shared" si="10"/>
        <v>*</v>
      </c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</row>
    <row r="68" spans="1:56" ht="27" customHeight="1" x14ac:dyDescent="0.2">
      <c r="A68" s="9" t="s">
        <v>356</v>
      </c>
      <c r="B68" s="11">
        <v>4953</v>
      </c>
      <c r="C68" s="2">
        <v>636.42233945567</v>
      </c>
      <c r="D68" s="2">
        <v>6.2558877777777901</v>
      </c>
      <c r="E68" s="2">
        <v>-2</v>
      </c>
      <c r="F68" s="12" t="s">
        <v>348</v>
      </c>
      <c r="G68" s="12" t="s">
        <v>37</v>
      </c>
      <c r="H68" s="5"/>
      <c r="I68" s="11">
        <v>173</v>
      </c>
      <c r="J68" s="11">
        <v>202</v>
      </c>
      <c r="K68" s="11">
        <v>193</v>
      </c>
      <c r="L68" s="11">
        <v>305</v>
      </c>
      <c r="M68" s="11">
        <v>216</v>
      </c>
      <c r="N68" s="11">
        <v>373</v>
      </c>
      <c r="O68" s="11">
        <v>305</v>
      </c>
      <c r="P68" s="11"/>
      <c r="Q68" s="11">
        <v>305</v>
      </c>
      <c r="R68" s="11">
        <v>276</v>
      </c>
      <c r="S68" s="11">
        <v>283</v>
      </c>
      <c r="T68" s="11">
        <v>277</v>
      </c>
      <c r="U68" s="11">
        <v>115</v>
      </c>
      <c r="V68" s="11">
        <v>295</v>
      </c>
      <c r="W68" s="11">
        <v>661</v>
      </c>
      <c r="X68" s="11"/>
      <c r="Y68" s="11">
        <v>0</v>
      </c>
      <c r="Z68" s="11">
        <v>304</v>
      </c>
      <c r="AA68" s="11">
        <v>322</v>
      </c>
      <c r="AB68" s="11">
        <v>337</v>
      </c>
      <c r="AC68" s="17">
        <f t="shared" ref="AC68:AC131" si="11">IFERROR(STDEV(Z68:AB68)/AVERAGE(Z68:AB68),0)</f>
        <v>5.1472621937253285E-2</v>
      </c>
      <c r="AD68" s="11">
        <f t="shared" ref="AD68:AD131" si="12">AVERAGE(I68:O68)</f>
        <v>252.42857142857142</v>
      </c>
      <c r="AE68" s="11">
        <f t="shared" ref="AE68:AE131" si="13">AVERAGE(Q68:W68)</f>
        <v>316</v>
      </c>
      <c r="AF68" s="28">
        <f t="shared" si="9"/>
        <v>1.2518392756083758</v>
      </c>
      <c r="AG68" s="42">
        <f t="shared" ref="AG68:AG131" si="14">TTEST(I68:O68,Q68:W68,2,3)</f>
        <v>0.38040562379714937</v>
      </c>
      <c r="AH68" s="14" t="str">
        <f t="shared" ref="AH68:AH131" si="15">IF(AG68&lt;0.001,"***",IF(AG68&lt;0.01,"**",IF(AG68&lt;0.05,"*","-")))</f>
        <v>-</v>
      </c>
      <c r="AI68" s="11">
        <f t="shared" ref="AI68:AI131" si="16">_xlfn.RANK.EQ(AG68,$AG$4:$AG$390,1)</f>
        <v>289</v>
      </c>
      <c r="AJ68" s="11">
        <f t="shared" ref="AJ68:AJ131" si="17">COUNTIF($AI$4:$AI$390,AI68)+AI68-1</f>
        <v>289</v>
      </c>
      <c r="AK68" s="11">
        <f t="shared" ref="AK68:AK131" si="18">MIN(AG68*$AJ$3/AJ68,1)</f>
        <v>0.50940130245500626</v>
      </c>
      <c r="AL68" s="42">
        <f t="shared" ref="AL68:AL131" si="19">MIN(AK68,IFERROR(VLOOKUP(AJ68+1,$AJ$4:$AL$390,3,FALSE),1))</f>
        <v>0.50815077864741287</v>
      </c>
      <c r="AM68" s="14" t="str">
        <f t="shared" si="10"/>
        <v/>
      </c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</row>
    <row r="69" spans="1:56" ht="27" customHeight="1" x14ac:dyDescent="0.2">
      <c r="A69" s="9" t="s">
        <v>356</v>
      </c>
      <c r="B69" s="11">
        <v>1073</v>
      </c>
      <c r="C69" s="2">
        <v>540.36468243520005</v>
      </c>
      <c r="D69" s="2">
        <v>5.33621372549017</v>
      </c>
      <c r="E69" s="2">
        <v>-1</v>
      </c>
      <c r="F69" s="12" t="s">
        <v>568</v>
      </c>
      <c r="G69" s="12" t="s">
        <v>352</v>
      </c>
      <c r="H69" s="5"/>
      <c r="I69" s="11">
        <v>1777</v>
      </c>
      <c r="J69" s="11">
        <v>2009</v>
      </c>
      <c r="K69" s="11">
        <v>3091</v>
      </c>
      <c r="L69" s="11">
        <v>2506</v>
      </c>
      <c r="M69" s="11">
        <v>1790</v>
      </c>
      <c r="N69" s="11">
        <v>1672</v>
      </c>
      <c r="O69" s="11">
        <v>1338</v>
      </c>
      <c r="P69" s="11"/>
      <c r="Q69" s="11">
        <v>2317</v>
      </c>
      <c r="R69" s="11">
        <v>1897</v>
      </c>
      <c r="S69" s="11">
        <v>2218</v>
      </c>
      <c r="T69" s="11">
        <v>2186</v>
      </c>
      <c r="U69" s="11">
        <v>1248</v>
      </c>
      <c r="V69" s="11">
        <v>2255</v>
      </c>
      <c r="W69" s="11">
        <v>2853</v>
      </c>
      <c r="X69" s="11"/>
      <c r="Y69" s="11">
        <v>9</v>
      </c>
      <c r="Z69" s="11">
        <v>1891</v>
      </c>
      <c r="AA69" s="11">
        <v>2613</v>
      </c>
      <c r="AB69" s="11">
        <v>2687</v>
      </c>
      <c r="AC69" s="17">
        <f t="shared" si="11"/>
        <v>0.18346604952781823</v>
      </c>
      <c r="AD69" s="11">
        <f t="shared" si="12"/>
        <v>2026.1428571428571</v>
      </c>
      <c r="AE69" s="11">
        <f t="shared" si="13"/>
        <v>2139.1428571428573</v>
      </c>
      <c r="AF69" s="28">
        <f t="shared" ref="AF69:AF132" si="20">AE69/AD69</f>
        <v>1.0557709934428543</v>
      </c>
      <c r="AG69" s="42">
        <f t="shared" si="14"/>
        <v>0.70245970795498935</v>
      </c>
      <c r="AH69" s="14" t="str">
        <f t="shared" si="15"/>
        <v>-</v>
      </c>
      <c r="AI69" s="11">
        <f t="shared" si="16"/>
        <v>350</v>
      </c>
      <c r="AJ69" s="11">
        <f t="shared" si="17"/>
        <v>350</v>
      </c>
      <c r="AK69" s="11">
        <f t="shared" si="18"/>
        <v>0.77671973422451679</v>
      </c>
      <c r="AL69" s="42">
        <f t="shared" si="19"/>
        <v>0.77671973422451679</v>
      </c>
      <c r="AM69" s="14" t="str">
        <f t="shared" ref="AM69:AM132" si="21">IF(AL69&lt;0.05,"**",IF(AL69&lt;0.1,"*",""))</f>
        <v/>
      </c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</row>
    <row r="70" spans="1:56" ht="27" customHeight="1" x14ac:dyDescent="0.2">
      <c r="A70" s="9" t="s">
        <v>356</v>
      </c>
      <c r="B70" s="11">
        <v>4678</v>
      </c>
      <c r="C70" s="2">
        <v>568.39786574946697</v>
      </c>
      <c r="D70" s="2">
        <v>5.9272115384614601</v>
      </c>
      <c r="E70" s="2">
        <v>-2</v>
      </c>
      <c r="F70" s="12" t="s">
        <v>351</v>
      </c>
      <c r="G70" s="12" t="s">
        <v>352</v>
      </c>
      <c r="H70" s="5"/>
      <c r="I70" s="11">
        <v>357</v>
      </c>
      <c r="J70" s="11">
        <v>392</v>
      </c>
      <c r="K70" s="11">
        <v>226</v>
      </c>
      <c r="L70" s="11">
        <v>294</v>
      </c>
      <c r="M70" s="11">
        <v>372</v>
      </c>
      <c r="N70" s="11">
        <v>667</v>
      </c>
      <c r="O70" s="11">
        <v>358</v>
      </c>
      <c r="P70" s="11"/>
      <c r="Q70" s="11">
        <v>621</v>
      </c>
      <c r="R70" s="11">
        <v>441</v>
      </c>
      <c r="S70" s="11">
        <v>281</v>
      </c>
      <c r="T70" s="11">
        <v>397</v>
      </c>
      <c r="U70" s="11">
        <v>343</v>
      </c>
      <c r="V70" s="11">
        <v>689</v>
      </c>
      <c r="W70" s="11">
        <v>683</v>
      </c>
      <c r="X70" s="11"/>
      <c r="Y70" s="11">
        <v>0</v>
      </c>
      <c r="Z70" s="11">
        <v>332</v>
      </c>
      <c r="AA70" s="11">
        <v>530</v>
      </c>
      <c r="AB70" s="11">
        <v>396</v>
      </c>
      <c r="AC70" s="17">
        <f t="shared" si="11"/>
        <v>0.24095686574783073</v>
      </c>
      <c r="AD70" s="11">
        <f t="shared" si="12"/>
        <v>380.85714285714283</v>
      </c>
      <c r="AE70" s="11">
        <f t="shared" si="13"/>
        <v>493.57142857142856</v>
      </c>
      <c r="AF70" s="28">
        <f t="shared" si="20"/>
        <v>1.2959489872468117</v>
      </c>
      <c r="AG70" s="42">
        <f t="shared" si="14"/>
        <v>0.19719324331001961</v>
      </c>
      <c r="AH70" s="14" t="str">
        <f t="shared" si="15"/>
        <v>-</v>
      </c>
      <c r="AI70" s="11">
        <f t="shared" si="16"/>
        <v>243</v>
      </c>
      <c r="AJ70" s="11">
        <f t="shared" si="17"/>
        <v>243</v>
      </c>
      <c r="AK70" s="11">
        <f t="shared" si="18"/>
        <v>0.31404849860484602</v>
      </c>
      <c r="AL70" s="42">
        <f t="shared" si="19"/>
        <v>0.31404849860484602</v>
      </c>
      <c r="AM70" s="14" t="str">
        <f t="shared" si="21"/>
        <v/>
      </c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</row>
    <row r="71" spans="1:56" ht="27" customHeight="1" x14ac:dyDescent="0.2">
      <c r="A71" s="9" t="s">
        <v>356</v>
      </c>
      <c r="B71" s="11">
        <v>1254</v>
      </c>
      <c r="C71" s="2">
        <v>538.34886355041601</v>
      </c>
      <c r="D71" s="2">
        <v>5.3108531250000004</v>
      </c>
      <c r="E71" s="2">
        <v>-1</v>
      </c>
      <c r="F71" s="12" t="s">
        <v>294</v>
      </c>
      <c r="G71" s="12" t="s">
        <v>295</v>
      </c>
      <c r="H71" s="5"/>
      <c r="I71" s="11">
        <v>1980</v>
      </c>
      <c r="J71" s="11">
        <v>1267</v>
      </c>
      <c r="K71" s="11">
        <v>1815</v>
      </c>
      <c r="L71" s="11">
        <v>2615</v>
      </c>
      <c r="M71" s="11">
        <v>1568</v>
      </c>
      <c r="N71" s="11">
        <v>2274</v>
      </c>
      <c r="O71" s="11">
        <v>2239</v>
      </c>
      <c r="P71" s="11"/>
      <c r="Q71" s="11">
        <v>736</v>
      </c>
      <c r="R71" s="11">
        <v>915</v>
      </c>
      <c r="S71" s="11">
        <v>990</v>
      </c>
      <c r="T71" s="11">
        <v>671</v>
      </c>
      <c r="U71" s="11">
        <v>936</v>
      </c>
      <c r="V71" s="11">
        <v>1334</v>
      </c>
      <c r="W71" s="11">
        <v>696</v>
      </c>
      <c r="X71" s="11"/>
      <c r="Y71" s="11">
        <v>9</v>
      </c>
      <c r="Z71" s="11">
        <v>703</v>
      </c>
      <c r="AA71" s="11">
        <v>1078</v>
      </c>
      <c r="AB71" s="11">
        <v>770</v>
      </c>
      <c r="AC71" s="17">
        <f t="shared" si="11"/>
        <v>0.23519110128175705</v>
      </c>
      <c r="AD71" s="11">
        <f t="shared" si="12"/>
        <v>1965.4285714285713</v>
      </c>
      <c r="AE71" s="11">
        <f t="shared" si="13"/>
        <v>896.85714285714289</v>
      </c>
      <c r="AF71" s="28">
        <f t="shared" si="20"/>
        <v>0.45631632504724529</v>
      </c>
      <c r="AG71" s="42">
        <f t="shared" si="14"/>
        <v>3.9763002927286609E-4</v>
      </c>
      <c r="AH71" s="14" t="str">
        <f t="shared" si="15"/>
        <v>***</v>
      </c>
      <c r="AI71" s="11">
        <f t="shared" si="16"/>
        <v>11</v>
      </c>
      <c r="AJ71" s="11">
        <f t="shared" si="17"/>
        <v>11</v>
      </c>
      <c r="AK71" s="11">
        <f t="shared" si="18"/>
        <v>1.3989347393509016E-2</v>
      </c>
      <c r="AL71" s="42">
        <f t="shared" si="19"/>
        <v>1.3989347393509016E-2</v>
      </c>
      <c r="AM71" s="14" t="str">
        <f t="shared" si="21"/>
        <v>**</v>
      </c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</row>
    <row r="72" spans="1:56" ht="27" customHeight="1" x14ac:dyDescent="0.2">
      <c r="A72" s="9" t="s">
        <v>356</v>
      </c>
      <c r="B72" s="11">
        <v>86</v>
      </c>
      <c r="C72" s="2">
        <v>480.30885272351497</v>
      </c>
      <c r="D72" s="2">
        <v>5.7473549019608203</v>
      </c>
      <c r="E72" s="2">
        <v>-1</v>
      </c>
      <c r="F72" s="12" t="s">
        <v>100</v>
      </c>
      <c r="G72" s="12" t="s">
        <v>86</v>
      </c>
      <c r="H72" s="5"/>
      <c r="I72" s="11">
        <v>26041</v>
      </c>
      <c r="J72" s="11">
        <v>22956</v>
      </c>
      <c r="K72" s="11">
        <v>21809</v>
      </c>
      <c r="L72" s="11">
        <v>28477</v>
      </c>
      <c r="M72" s="11">
        <v>28848</v>
      </c>
      <c r="N72" s="11">
        <v>31675</v>
      </c>
      <c r="O72" s="11">
        <v>39254</v>
      </c>
      <c r="P72" s="11"/>
      <c r="Q72" s="11">
        <v>42645</v>
      </c>
      <c r="R72" s="11">
        <v>46050</v>
      </c>
      <c r="S72" s="11">
        <v>30275</v>
      </c>
      <c r="T72" s="11">
        <v>34044</v>
      </c>
      <c r="U72" s="11">
        <v>41491</v>
      </c>
      <c r="V72" s="11">
        <v>46965</v>
      </c>
      <c r="W72" s="11">
        <v>52325</v>
      </c>
      <c r="X72" s="11"/>
      <c r="Y72" s="11">
        <v>137</v>
      </c>
      <c r="Z72" s="11">
        <v>34033</v>
      </c>
      <c r="AA72" s="11">
        <v>44494</v>
      </c>
      <c r="AB72" s="11">
        <v>44538</v>
      </c>
      <c r="AC72" s="17">
        <f t="shared" si="11"/>
        <v>0.1475416127127922</v>
      </c>
      <c r="AD72" s="11">
        <f t="shared" si="12"/>
        <v>28437.142857142859</v>
      </c>
      <c r="AE72" s="11">
        <f t="shared" si="13"/>
        <v>41970.714285714283</v>
      </c>
      <c r="AF72" s="28">
        <f t="shared" si="20"/>
        <v>1.475911785391339</v>
      </c>
      <c r="AG72" s="42">
        <f t="shared" si="14"/>
        <v>3.2590412565745601E-3</v>
      </c>
      <c r="AH72" s="14" t="str">
        <f t="shared" si="15"/>
        <v>**</v>
      </c>
      <c r="AI72" s="11">
        <f t="shared" si="16"/>
        <v>39</v>
      </c>
      <c r="AJ72" s="11">
        <f t="shared" si="17"/>
        <v>39</v>
      </c>
      <c r="AK72" s="11">
        <f t="shared" si="18"/>
        <v>3.2339717084470636E-2</v>
      </c>
      <c r="AL72" s="42">
        <f t="shared" si="19"/>
        <v>3.2330070061871032E-2</v>
      </c>
      <c r="AM72" s="14" t="str">
        <f t="shared" si="21"/>
        <v>**</v>
      </c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</row>
    <row r="73" spans="1:56" ht="27" customHeight="1" x14ac:dyDescent="0.2">
      <c r="A73" s="9" t="s">
        <v>356</v>
      </c>
      <c r="B73" s="11">
        <v>186</v>
      </c>
      <c r="C73" s="2">
        <v>452.27711634749602</v>
      </c>
      <c r="D73" s="2">
        <v>5.1362431372547599</v>
      </c>
      <c r="E73" s="2">
        <v>-1</v>
      </c>
      <c r="F73" s="12" t="s">
        <v>142</v>
      </c>
      <c r="G73" s="12" t="s">
        <v>86</v>
      </c>
      <c r="H73" s="5"/>
      <c r="I73" s="11">
        <v>9586</v>
      </c>
      <c r="J73" s="11">
        <v>10495</v>
      </c>
      <c r="K73" s="11">
        <v>12883</v>
      </c>
      <c r="L73" s="11">
        <v>11317</v>
      </c>
      <c r="M73" s="11">
        <v>11600</v>
      </c>
      <c r="N73" s="11">
        <v>14476</v>
      </c>
      <c r="O73" s="11">
        <v>17352</v>
      </c>
      <c r="P73" s="11"/>
      <c r="Q73" s="11">
        <v>18379</v>
      </c>
      <c r="R73" s="11">
        <v>20940</v>
      </c>
      <c r="S73" s="11">
        <v>13112</v>
      </c>
      <c r="T73" s="11">
        <v>16111</v>
      </c>
      <c r="U73" s="11">
        <v>19152</v>
      </c>
      <c r="V73" s="11">
        <v>17655</v>
      </c>
      <c r="W73" s="11">
        <v>20862</v>
      </c>
      <c r="X73" s="11"/>
      <c r="Y73" s="11">
        <v>4</v>
      </c>
      <c r="Z73" s="11">
        <v>13925</v>
      </c>
      <c r="AA73" s="11">
        <v>15756</v>
      </c>
      <c r="AB73" s="11">
        <v>18336</v>
      </c>
      <c r="AC73" s="17">
        <f t="shared" si="11"/>
        <v>0.13845553733232649</v>
      </c>
      <c r="AD73" s="11">
        <f t="shared" si="12"/>
        <v>12529.857142857143</v>
      </c>
      <c r="AE73" s="11">
        <f t="shared" si="13"/>
        <v>18030.142857142859</v>
      </c>
      <c r="AF73" s="28">
        <f t="shared" si="20"/>
        <v>1.4389743355869979</v>
      </c>
      <c r="AG73" s="42">
        <f t="shared" si="14"/>
        <v>2.556198332853114E-3</v>
      </c>
      <c r="AH73" s="14" t="str">
        <f t="shared" si="15"/>
        <v>**</v>
      </c>
      <c r="AI73" s="11">
        <f t="shared" si="16"/>
        <v>35</v>
      </c>
      <c r="AJ73" s="11">
        <f t="shared" si="17"/>
        <v>35</v>
      </c>
      <c r="AK73" s="11">
        <f t="shared" si="18"/>
        <v>2.8264250137547287E-2</v>
      </c>
      <c r="AL73" s="42">
        <f t="shared" si="19"/>
        <v>2.8264250137547287E-2</v>
      </c>
      <c r="AM73" s="14" t="str">
        <f t="shared" si="21"/>
        <v>**</v>
      </c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</row>
    <row r="74" spans="1:56" ht="27" customHeight="1" x14ac:dyDescent="0.2">
      <c r="A74" s="9" t="s">
        <v>356</v>
      </c>
      <c r="B74" s="11">
        <v>330</v>
      </c>
      <c r="C74" s="2">
        <v>478.29302099747201</v>
      </c>
      <c r="D74" s="2">
        <v>5.2711872549019896</v>
      </c>
      <c r="E74" s="2">
        <v>-1</v>
      </c>
      <c r="F74" s="12" t="s">
        <v>192</v>
      </c>
      <c r="G74" s="12" t="s">
        <v>86</v>
      </c>
      <c r="H74" s="5"/>
      <c r="I74" s="11">
        <v>4469</v>
      </c>
      <c r="J74" s="11">
        <v>4125</v>
      </c>
      <c r="K74" s="11">
        <v>6677</v>
      </c>
      <c r="L74" s="11">
        <v>6681</v>
      </c>
      <c r="M74" s="11">
        <v>5617</v>
      </c>
      <c r="N74" s="11">
        <v>7752</v>
      </c>
      <c r="O74" s="11">
        <v>8938</v>
      </c>
      <c r="P74" s="11"/>
      <c r="Q74" s="11">
        <v>5822</v>
      </c>
      <c r="R74" s="11">
        <v>8305</v>
      </c>
      <c r="S74" s="11">
        <v>4760</v>
      </c>
      <c r="T74" s="11">
        <v>6100</v>
      </c>
      <c r="U74" s="11">
        <v>5031</v>
      </c>
      <c r="V74" s="11">
        <v>8325</v>
      </c>
      <c r="W74" s="11">
        <v>11098</v>
      </c>
      <c r="X74" s="11"/>
      <c r="Y74" s="11">
        <v>332</v>
      </c>
      <c r="Z74" s="11">
        <v>9209</v>
      </c>
      <c r="AA74" s="11">
        <v>6759</v>
      </c>
      <c r="AB74" s="11">
        <v>6589</v>
      </c>
      <c r="AC74" s="17">
        <f t="shared" si="11"/>
        <v>0.19497926751039119</v>
      </c>
      <c r="AD74" s="11">
        <f t="shared" si="12"/>
        <v>6322.7142857142853</v>
      </c>
      <c r="AE74" s="11">
        <f t="shared" si="13"/>
        <v>7063</v>
      </c>
      <c r="AF74" s="28">
        <f t="shared" si="20"/>
        <v>1.1170835310332363</v>
      </c>
      <c r="AG74" s="42">
        <f t="shared" si="14"/>
        <v>0.5080047598900238</v>
      </c>
      <c r="AH74" s="14" t="str">
        <f t="shared" si="15"/>
        <v>-</v>
      </c>
      <c r="AI74" s="11">
        <f t="shared" si="16"/>
        <v>324</v>
      </c>
      <c r="AJ74" s="11">
        <f t="shared" si="17"/>
        <v>324</v>
      </c>
      <c r="AK74" s="11">
        <f t="shared" si="18"/>
        <v>0.60678346320197296</v>
      </c>
      <c r="AL74" s="42">
        <f t="shared" si="19"/>
        <v>0.60678346320197296</v>
      </c>
      <c r="AM74" s="14" t="str">
        <f t="shared" si="21"/>
        <v/>
      </c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</row>
    <row r="75" spans="1:56" ht="27" customHeight="1" x14ac:dyDescent="0.2">
      <c r="A75" s="9" t="s">
        <v>356</v>
      </c>
      <c r="B75" s="11">
        <v>452</v>
      </c>
      <c r="C75" s="2">
        <v>476.27582918348003</v>
      </c>
      <c r="D75" s="2">
        <v>4.7239166666666597</v>
      </c>
      <c r="E75" s="2">
        <v>-1</v>
      </c>
      <c r="F75" s="12" t="s">
        <v>257</v>
      </c>
      <c r="G75" s="12" t="s">
        <v>86</v>
      </c>
      <c r="H75" s="5"/>
      <c r="I75" s="11">
        <v>4029</v>
      </c>
      <c r="J75" s="11">
        <v>3603</v>
      </c>
      <c r="K75" s="11">
        <v>4509</v>
      </c>
      <c r="L75" s="11">
        <v>3373</v>
      </c>
      <c r="M75" s="11">
        <v>4817</v>
      </c>
      <c r="N75" s="11">
        <v>4139</v>
      </c>
      <c r="O75" s="11">
        <v>6338</v>
      </c>
      <c r="P75" s="11"/>
      <c r="Q75" s="11">
        <v>4346</v>
      </c>
      <c r="R75" s="11">
        <v>5580</v>
      </c>
      <c r="S75" s="11">
        <v>3741</v>
      </c>
      <c r="T75" s="11">
        <v>5438</v>
      </c>
      <c r="U75" s="11">
        <v>7897</v>
      </c>
      <c r="V75" s="11">
        <v>4775</v>
      </c>
      <c r="W75" s="11">
        <v>5027</v>
      </c>
      <c r="X75" s="11"/>
      <c r="Y75" s="11">
        <v>0</v>
      </c>
      <c r="Z75" s="11">
        <v>4504</v>
      </c>
      <c r="AA75" s="11">
        <v>4468</v>
      </c>
      <c r="AB75" s="11">
        <v>6075</v>
      </c>
      <c r="AC75" s="17">
        <f t="shared" si="11"/>
        <v>0.18294400443504702</v>
      </c>
      <c r="AD75" s="11">
        <f t="shared" si="12"/>
        <v>4401.1428571428569</v>
      </c>
      <c r="AE75" s="11">
        <f t="shared" si="13"/>
        <v>5257.7142857142853</v>
      </c>
      <c r="AF75" s="28">
        <f t="shared" si="20"/>
        <v>1.1946247727862893</v>
      </c>
      <c r="AG75" s="42">
        <f t="shared" si="14"/>
        <v>0.19700694930814652</v>
      </c>
      <c r="AH75" s="14" t="str">
        <f t="shared" si="15"/>
        <v>-</v>
      </c>
      <c r="AI75" s="11">
        <f t="shared" si="16"/>
        <v>242</v>
      </c>
      <c r="AJ75" s="11">
        <f t="shared" si="17"/>
        <v>242</v>
      </c>
      <c r="AK75" s="11">
        <f t="shared" si="18"/>
        <v>0.3150483032324492</v>
      </c>
      <c r="AL75" s="42">
        <f t="shared" si="19"/>
        <v>0.31404849860484602</v>
      </c>
      <c r="AM75" s="14" t="str">
        <f t="shared" si="21"/>
        <v/>
      </c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</row>
    <row r="76" spans="1:56" ht="27" customHeight="1" x14ac:dyDescent="0.2">
      <c r="A76" s="9" t="s">
        <v>356</v>
      </c>
      <c r="B76" s="11">
        <v>649</v>
      </c>
      <c r="C76" s="2">
        <v>476.27683103399698</v>
      </c>
      <c r="D76" s="2">
        <v>4.8456037037036603</v>
      </c>
      <c r="E76" s="2">
        <v>-1</v>
      </c>
      <c r="F76" s="12" t="s">
        <v>257</v>
      </c>
      <c r="G76" s="12" t="s">
        <v>86</v>
      </c>
      <c r="H76" s="5"/>
      <c r="I76" s="11">
        <v>2762</v>
      </c>
      <c r="J76" s="11">
        <v>2905</v>
      </c>
      <c r="K76" s="11">
        <v>3990</v>
      </c>
      <c r="L76" s="11">
        <v>2043</v>
      </c>
      <c r="M76" s="11">
        <v>2820</v>
      </c>
      <c r="N76" s="11">
        <v>3746</v>
      </c>
      <c r="O76" s="11">
        <v>3977</v>
      </c>
      <c r="P76" s="11"/>
      <c r="Q76" s="11">
        <v>2575</v>
      </c>
      <c r="R76" s="11">
        <v>3411</v>
      </c>
      <c r="S76" s="11">
        <v>2783</v>
      </c>
      <c r="T76" s="11">
        <v>3041</v>
      </c>
      <c r="U76" s="11">
        <v>3002</v>
      </c>
      <c r="V76" s="11">
        <v>5554</v>
      </c>
      <c r="W76" s="11">
        <v>4894</v>
      </c>
      <c r="X76" s="11"/>
      <c r="Y76" s="11">
        <v>0</v>
      </c>
      <c r="Z76" s="11">
        <v>2780</v>
      </c>
      <c r="AA76" s="11">
        <v>3645</v>
      </c>
      <c r="AB76" s="11">
        <v>4260</v>
      </c>
      <c r="AC76" s="17">
        <f t="shared" si="11"/>
        <v>0.20875362167951583</v>
      </c>
      <c r="AD76" s="11">
        <f t="shared" si="12"/>
        <v>3177.5714285714284</v>
      </c>
      <c r="AE76" s="11">
        <f t="shared" si="13"/>
        <v>3608.5714285714284</v>
      </c>
      <c r="AF76" s="28">
        <f t="shared" si="20"/>
        <v>1.1356381783032865</v>
      </c>
      <c r="AG76" s="42">
        <f t="shared" si="14"/>
        <v>0.42296354902141431</v>
      </c>
      <c r="AH76" s="14" t="str">
        <f t="shared" si="15"/>
        <v>-</v>
      </c>
      <c r="AI76" s="11">
        <f t="shared" si="16"/>
        <v>303</v>
      </c>
      <c r="AJ76" s="11">
        <f t="shared" si="17"/>
        <v>303</v>
      </c>
      <c r="AK76" s="11">
        <f t="shared" si="18"/>
        <v>0.54022077053230144</v>
      </c>
      <c r="AL76" s="42">
        <f t="shared" si="19"/>
        <v>0.5388885558976364</v>
      </c>
      <c r="AM76" s="14" t="str">
        <f t="shared" si="21"/>
        <v/>
      </c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</row>
    <row r="77" spans="1:56" ht="27" customHeight="1" x14ac:dyDescent="0.2">
      <c r="A77" s="9" t="s">
        <v>356</v>
      </c>
      <c r="B77" s="11">
        <v>651</v>
      </c>
      <c r="C77" s="2">
        <v>500.27604663264401</v>
      </c>
      <c r="D77" s="2">
        <v>4.71530686274511</v>
      </c>
      <c r="E77" s="2">
        <v>-1</v>
      </c>
      <c r="F77" s="12" t="s">
        <v>253</v>
      </c>
      <c r="G77" s="12" t="s">
        <v>86</v>
      </c>
      <c r="H77" s="5"/>
      <c r="I77" s="11">
        <v>3898</v>
      </c>
      <c r="J77" s="11">
        <v>3062</v>
      </c>
      <c r="K77" s="11">
        <v>4281</v>
      </c>
      <c r="L77" s="11">
        <v>3557</v>
      </c>
      <c r="M77" s="11">
        <v>3606</v>
      </c>
      <c r="N77" s="11">
        <v>4153</v>
      </c>
      <c r="O77" s="11">
        <v>4087</v>
      </c>
      <c r="P77" s="11"/>
      <c r="Q77" s="11">
        <v>4947</v>
      </c>
      <c r="R77" s="11">
        <v>5301</v>
      </c>
      <c r="S77" s="11">
        <v>3897</v>
      </c>
      <c r="T77" s="11">
        <v>3311</v>
      </c>
      <c r="U77" s="11">
        <v>4166</v>
      </c>
      <c r="V77" s="11">
        <v>5534</v>
      </c>
      <c r="W77" s="11">
        <v>4208</v>
      </c>
      <c r="X77" s="11"/>
      <c r="Y77" s="11">
        <v>0</v>
      </c>
      <c r="Z77" s="11">
        <v>3571</v>
      </c>
      <c r="AA77" s="11">
        <v>4575</v>
      </c>
      <c r="AB77" s="11">
        <v>4504</v>
      </c>
      <c r="AC77" s="17">
        <f t="shared" si="11"/>
        <v>0.13287498225257513</v>
      </c>
      <c r="AD77" s="11">
        <f t="shared" si="12"/>
        <v>3806.2857142857142</v>
      </c>
      <c r="AE77" s="11">
        <f t="shared" si="13"/>
        <v>4480.5714285714284</v>
      </c>
      <c r="AF77" s="28">
        <f t="shared" si="20"/>
        <v>1.1771505779912925</v>
      </c>
      <c r="AG77" s="42">
        <f t="shared" si="14"/>
        <v>8.1227122556885592E-2</v>
      </c>
      <c r="AH77" s="14" t="str">
        <f t="shared" si="15"/>
        <v>-</v>
      </c>
      <c r="AI77" s="11">
        <f t="shared" si="16"/>
        <v>186</v>
      </c>
      <c r="AJ77" s="11">
        <f t="shared" si="17"/>
        <v>186</v>
      </c>
      <c r="AK77" s="11">
        <f t="shared" si="18"/>
        <v>0.16900481951352</v>
      </c>
      <c r="AL77" s="42">
        <f t="shared" si="19"/>
        <v>0.16900481951352</v>
      </c>
      <c r="AM77" s="14" t="str">
        <f t="shared" si="21"/>
        <v/>
      </c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</row>
    <row r="78" spans="1:56" ht="27" customHeight="1" x14ac:dyDescent="0.2">
      <c r="A78" s="9" t="s">
        <v>356</v>
      </c>
      <c r="B78" s="11">
        <v>2145</v>
      </c>
      <c r="C78" s="2">
        <v>452.27613937277602</v>
      </c>
      <c r="D78" s="2">
        <v>4.9986150000000897</v>
      </c>
      <c r="E78" s="2">
        <v>-1</v>
      </c>
      <c r="F78" s="12" t="s">
        <v>142</v>
      </c>
      <c r="G78" s="12" t="s">
        <v>86</v>
      </c>
      <c r="H78" s="5"/>
      <c r="I78" s="11">
        <v>439</v>
      </c>
      <c r="J78" s="11">
        <v>425</v>
      </c>
      <c r="K78" s="11">
        <v>830</v>
      </c>
      <c r="L78" s="11">
        <v>492</v>
      </c>
      <c r="M78" s="11">
        <v>941</v>
      </c>
      <c r="N78" s="11">
        <v>1418</v>
      </c>
      <c r="O78" s="11">
        <v>915</v>
      </c>
      <c r="P78" s="11"/>
      <c r="Q78" s="11">
        <v>736</v>
      </c>
      <c r="R78" s="11">
        <v>1059</v>
      </c>
      <c r="S78" s="11">
        <v>399</v>
      </c>
      <c r="T78" s="11">
        <v>643</v>
      </c>
      <c r="U78" s="11">
        <v>882</v>
      </c>
      <c r="V78" s="11">
        <v>1276</v>
      </c>
      <c r="W78" s="11">
        <v>836</v>
      </c>
      <c r="X78" s="11"/>
      <c r="Y78" s="11">
        <v>4</v>
      </c>
      <c r="Z78" s="11">
        <v>824</v>
      </c>
      <c r="AA78" s="11">
        <v>1009</v>
      </c>
      <c r="AB78" s="11">
        <v>743</v>
      </c>
      <c r="AC78" s="17">
        <f t="shared" si="11"/>
        <v>0.15878847745874397</v>
      </c>
      <c r="AD78" s="11">
        <f t="shared" si="12"/>
        <v>780</v>
      </c>
      <c r="AE78" s="11">
        <f t="shared" si="13"/>
        <v>833</v>
      </c>
      <c r="AF78" s="28">
        <f t="shared" si="20"/>
        <v>1.0679487179487179</v>
      </c>
      <c r="AG78" s="42">
        <f t="shared" si="14"/>
        <v>0.76536303669428118</v>
      </c>
      <c r="AH78" s="14" t="str">
        <f t="shared" si="15"/>
        <v>-</v>
      </c>
      <c r="AI78" s="11">
        <f t="shared" si="16"/>
        <v>360</v>
      </c>
      <c r="AJ78" s="11">
        <f t="shared" si="17"/>
        <v>360</v>
      </c>
      <c r="AK78" s="11">
        <f t="shared" si="18"/>
        <v>0.82276526444635223</v>
      </c>
      <c r="AL78" s="42">
        <f t="shared" si="19"/>
        <v>0.82065781688639139</v>
      </c>
      <c r="AM78" s="14" t="str">
        <f t="shared" si="21"/>
        <v/>
      </c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</row>
    <row r="79" spans="1:56" ht="27" customHeight="1" x14ac:dyDescent="0.2">
      <c r="A79" s="9" t="s">
        <v>356</v>
      </c>
      <c r="B79" s="11">
        <v>2275</v>
      </c>
      <c r="C79" s="2">
        <v>480.30688425372898</v>
      </c>
      <c r="D79" s="2">
        <v>5.6320750000000004</v>
      </c>
      <c r="E79" s="2">
        <v>-1</v>
      </c>
      <c r="F79" s="12" t="s">
        <v>100</v>
      </c>
      <c r="G79" s="12" t="s">
        <v>86</v>
      </c>
      <c r="H79" s="5"/>
      <c r="I79" s="11">
        <v>1234</v>
      </c>
      <c r="J79" s="11">
        <v>1062</v>
      </c>
      <c r="K79" s="11">
        <v>820</v>
      </c>
      <c r="L79" s="11">
        <v>657</v>
      </c>
      <c r="M79" s="11">
        <v>952</v>
      </c>
      <c r="N79" s="11">
        <v>1262</v>
      </c>
      <c r="O79" s="11">
        <v>1253</v>
      </c>
      <c r="P79" s="11"/>
      <c r="Q79" s="11">
        <v>1336</v>
      </c>
      <c r="R79" s="11">
        <v>1539</v>
      </c>
      <c r="S79" s="11">
        <v>1460</v>
      </c>
      <c r="T79" s="11">
        <v>1195</v>
      </c>
      <c r="U79" s="11">
        <v>1441</v>
      </c>
      <c r="V79" s="11">
        <v>2193</v>
      </c>
      <c r="W79" s="11">
        <v>2022</v>
      </c>
      <c r="X79" s="11"/>
      <c r="Y79" s="11">
        <v>4</v>
      </c>
      <c r="Z79" s="11">
        <v>1401</v>
      </c>
      <c r="AA79" s="11">
        <v>1922</v>
      </c>
      <c r="AB79" s="11">
        <v>1872</v>
      </c>
      <c r="AC79" s="17">
        <f t="shared" si="11"/>
        <v>0.1659989936492321</v>
      </c>
      <c r="AD79" s="11">
        <f t="shared" si="12"/>
        <v>1034.2857142857142</v>
      </c>
      <c r="AE79" s="11">
        <f t="shared" si="13"/>
        <v>1598</v>
      </c>
      <c r="AF79" s="28">
        <f t="shared" si="20"/>
        <v>1.5450276243093923</v>
      </c>
      <c r="AG79" s="42">
        <f t="shared" si="14"/>
        <v>6.4375955365558856E-3</v>
      </c>
      <c r="AH79" s="14" t="str">
        <f t="shared" si="15"/>
        <v>**</v>
      </c>
      <c r="AI79" s="11">
        <f t="shared" si="16"/>
        <v>59</v>
      </c>
      <c r="AJ79" s="11">
        <f t="shared" si="17"/>
        <v>59</v>
      </c>
      <c r="AK79" s="11">
        <f t="shared" si="18"/>
        <v>4.2226262248256402E-2</v>
      </c>
      <c r="AL79" s="42">
        <f t="shared" si="19"/>
        <v>4.2226262248256402E-2</v>
      </c>
      <c r="AM79" s="14" t="str">
        <f t="shared" si="21"/>
        <v>**</v>
      </c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</row>
    <row r="80" spans="1:56" ht="27" customHeight="1" x14ac:dyDescent="0.2">
      <c r="A80" s="9" t="s">
        <v>356</v>
      </c>
      <c r="B80" s="11">
        <v>2792</v>
      </c>
      <c r="C80" s="2">
        <v>466.29283138874399</v>
      </c>
      <c r="D80" s="2">
        <v>5.4468466666666</v>
      </c>
      <c r="E80" s="2">
        <v>-2</v>
      </c>
      <c r="F80" s="12" t="s">
        <v>345</v>
      </c>
      <c r="G80" s="12" t="s">
        <v>86</v>
      </c>
      <c r="H80" s="5"/>
      <c r="I80" s="11">
        <v>253</v>
      </c>
      <c r="J80" s="11">
        <v>508</v>
      </c>
      <c r="K80" s="11">
        <v>397</v>
      </c>
      <c r="L80" s="11">
        <v>480</v>
      </c>
      <c r="M80" s="11">
        <v>492</v>
      </c>
      <c r="N80" s="11">
        <v>403</v>
      </c>
      <c r="O80" s="11">
        <v>842</v>
      </c>
      <c r="P80" s="11"/>
      <c r="Q80" s="11">
        <v>1065</v>
      </c>
      <c r="R80" s="11">
        <v>811</v>
      </c>
      <c r="S80" s="11">
        <v>481</v>
      </c>
      <c r="T80" s="11">
        <v>555</v>
      </c>
      <c r="U80" s="11">
        <v>1226</v>
      </c>
      <c r="V80" s="11">
        <v>959</v>
      </c>
      <c r="W80" s="11">
        <v>667</v>
      </c>
      <c r="X80" s="11"/>
      <c r="Y80" s="11">
        <v>4</v>
      </c>
      <c r="Z80" s="11">
        <v>550</v>
      </c>
      <c r="AA80" s="11">
        <v>735</v>
      </c>
      <c r="AB80" s="11">
        <v>804</v>
      </c>
      <c r="AC80" s="17">
        <f t="shared" si="11"/>
        <v>0.18861731594708411</v>
      </c>
      <c r="AD80" s="11">
        <f t="shared" si="12"/>
        <v>482.14285714285717</v>
      </c>
      <c r="AE80" s="11">
        <f t="shared" si="13"/>
        <v>823.42857142857144</v>
      </c>
      <c r="AF80" s="28">
        <f t="shared" si="20"/>
        <v>1.7078518518518517</v>
      </c>
      <c r="AG80" s="42">
        <f t="shared" si="14"/>
        <v>1.9992687385348918E-2</v>
      </c>
      <c r="AH80" s="14" t="str">
        <f t="shared" si="15"/>
        <v>*</v>
      </c>
      <c r="AI80" s="11">
        <f t="shared" si="16"/>
        <v>114</v>
      </c>
      <c r="AJ80" s="11">
        <f t="shared" si="17"/>
        <v>114</v>
      </c>
      <c r="AK80" s="11">
        <f t="shared" si="18"/>
        <v>6.7869912439737112E-2</v>
      </c>
      <c r="AL80" s="42">
        <f t="shared" si="19"/>
        <v>6.7869912439737112E-2</v>
      </c>
      <c r="AM80" s="14" t="str">
        <f t="shared" si="21"/>
        <v>*</v>
      </c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</row>
    <row r="81" spans="1:56" ht="27" customHeight="1" x14ac:dyDescent="0.2">
      <c r="A81" s="9" t="s">
        <v>356</v>
      </c>
      <c r="B81" s="11">
        <v>3513</v>
      </c>
      <c r="C81" s="2">
        <v>508.34209713883598</v>
      </c>
      <c r="D81" s="2">
        <v>6.3028038461538403</v>
      </c>
      <c r="E81" s="2">
        <v>-2</v>
      </c>
      <c r="F81" s="12" t="s">
        <v>350</v>
      </c>
      <c r="G81" s="12" t="s">
        <v>86</v>
      </c>
      <c r="H81" s="5"/>
      <c r="I81" s="11">
        <v>248</v>
      </c>
      <c r="J81" s="11">
        <v>250</v>
      </c>
      <c r="K81" s="11">
        <v>344</v>
      </c>
      <c r="L81" s="11">
        <v>243</v>
      </c>
      <c r="M81" s="11">
        <v>463</v>
      </c>
      <c r="N81" s="11">
        <v>562</v>
      </c>
      <c r="O81" s="11">
        <v>379</v>
      </c>
      <c r="P81" s="11"/>
      <c r="Q81" s="11">
        <v>33</v>
      </c>
      <c r="R81" s="11">
        <v>533</v>
      </c>
      <c r="S81" s="11">
        <v>273</v>
      </c>
      <c r="T81" s="11">
        <v>259</v>
      </c>
      <c r="U81" s="11">
        <v>343</v>
      </c>
      <c r="V81" s="11">
        <v>860</v>
      </c>
      <c r="W81" s="11">
        <v>395</v>
      </c>
      <c r="X81" s="11"/>
      <c r="Y81" s="11">
        <v>0</v>
      </c>
      <c r="Z81" s="11">
        <v>356</v>
      </c>
      <c r="AA81" s="11">
        <v>270</v>
      </c>
      <c r="AB81" s="11">
        <v>384</v>
      </c>
      <c r="AC81" s="17">
        <f t="shared" si="11"/>
        <v>0.17645997765318208</v>
      </c>
      <c r="AD81" s="11">
        <f t="shared" si="12"/>
        <v>355.57142857142856</v>
      </c>
      <c r="AE81" s="11">
        <f t="shared" si="13"/>
        <v>385.14285714285717</v>
      </c>
      <c r="AF81" s="28">
        <f t="shared" si="20"/>
        <v>1.0831659300924068</v>
      </c>
      <c r="AG81" s="42">
        <f t="shared" si="14"/>
        <v>0.79114400868506518</v>
      </c>
      <c r="AH81" s="14" t="str">
        <f t="shared" si="15"/>
        <v>-</v>
      </c>
      <c r="AI81" s="11">
        <f t="shared" si="16"/>
        <v>365</v>
      </c>
      <c r="AJ81" s="11">
        <f t="shared" si="17"/>
        <v>365</v>
      </c>
      <c r="AK81" s="11">
        <f t="shared" si="18"/>
        <v>0.83882940098937042</v>
      </c>
      <c r="AL81" s="42">
        <f t="shared" si="19"/>
        <v>0.83678458820229773</v>
      </c>
      <c r="AM81" s="14" t="str">
        <f t="shared" si="21"/>
        <v/>
      </c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</row>
    <row r="82" spans="1:56" ht="27" customHeight="1" x14ac:dyDescent="0.2">
      <c r="A82" s="9" t="s">
        <v>356</v>
      </c>
      <c r="B82" s="11">
        <v>3529</v>
      </c>
      <c r="C82" s="2">
        <v>506.323993094944</v>
      </c>
      <c r="D82" s="2">
        <v>5.8284000000000802</v>
      </c>
      <c r="E82" s="2">
        <v>-1</v>
      </c>
      <c r="F82" s="12" t="s">
        <v>349</v>
      </c>
      <c r="G82" s="12" t="s">
        <v>86</v>
      </c>
      <c r="H82" s="5"/>
      <c r="I82" s="11">
        <v>224</v>
      </c>
      <c r="J82" s="11">
        <v>406</v>
      </c>
      <c r="K82" s="11">
        <v>544</v>
      </c>
      <c r="L82" s="11">
        <v>328</v>
      </c>
      <c r="M82" s="11">
        <v>378</v>
      </c>
      <c r="N82" s="11">
        <v>857</v>
      </c>
      <c r="O82" s="11">
        <v>510</v>
      </c>
      <c r="P82" s="11"/>
      <c r="Q82" s="11">
        <v>350</v>
      </c>
      <c r="R82" s="11">
        <v>273</v>
      </c>
      <c r="S82" s="11">
        <v>178</v>
      </c>
      <c r="T82" s="11">
        <v>333</v>
      </c>
      <c r="U82" s="11">
        <v>607</v>
      </c>
      <c r="V82" s="11">
        <v>252</v>
      </c>
      <c r="W82" s="11">
        <v>626</v>
      </c>
      <c r="X82" s="11"/>
      <c r="Y82" s="11">
        <v>4</v>
      </c>
      <c r="Z82" s="11">
        <v>413</v>
      </c>
      <c r="AA82" s="11">
        <v>404</v>
      </c>
      <c r="AB82" s="11">
        <v>505</v>
      </c>
      <c r="AC82" s="17">
        <f t="shared" si="11"/>
        <v>0.12684357701551155</v>
      </c>
      <c r="AD82" s="11">
        <f t="shared" si="12"/>
        <v>463.85714285714283</v>
      </c>
      <c r="AE82" s="11">
        <f t="shared" si="13"/>
        <v>374.14285714285717</v>
      </c>
      <c r="AF82" s="28">
        <f t="shared" si="20"/>
        <v>0.80659069910686798</v>
      </c>
      <c r="AG82" s="42">
        <f t="shared" si="14"/>
        <v>0.39487844249104498</v>
      </c>
      <c r="AH82" s="14" t="str">
        <f t="shared" si="15"/>
        <v>-</v>
      </c>
      <c r="AI82" s="11">
        <f t="shared" si="16"/>
        <v>296</v>
      </c>
      <c r="AJ82" s="11">
        <f t="shared" si="17"/>
        <v>296</v>
      </c>
      <c r="AK82" s="11">
        <f t="shared" si="18"/>
        <v>0.51627688258119731</v>
      </c>
      <c r="AL82" s="42">
        <f t="shared" si="19"/>
        <v>0.51627688258119731</v>
      </c>
      <c r="AM82" s="14" t="str">
        <f t="shared" si="21"/>
        <v/>
      </c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</row>
    <row r="83" spans="1:56" ht="27" customHeight="1" x14ac:dyDescent="0.2">
      <c r="A83" s="9" t="s">
        <v>356</v>
      </c>
      <c r="B83" s="11">
        <v>446</v>
      </c>
      <c r="C83" s="2">
        <v>436.28154854844098</v>
      </c>
      <c r="D83" s="2">
        <v>5.4112774509803501</v>
      </c>
      <c r="E83" s="2">
        <v>-1</v>
      </c>
      <c r="F83" s="12" t="s">
        <v>178</v>
      </c>
      <c r="G83" s="12" t="s">
        <v>179</v>
      </c>
      <c r="H83" s="5"/>
      <c r="I83" s="11">
        <v>5238</v>
      </c>
      <c r="J83" s="11">
        <v>4599</v>
      </c>
      <c r="K83" s="11">
        <v>5717</v>
      </c>
      <c r="L83" s="11">
        <v>4317</v>
      </c>
      <c r="M83" s="11">
        <v>4269</v>
      </c>
      <c r="N83" s="11">
        <v>7977</v>
      </c>
      <c r="O83" s="11">
        <v>6640</v>
      </c>
      <c r="P83" s="11"/>
      <c r="Q83" s="11">
        <v>5820</v>
      </c>
      <c r="R83" s="11">
        <v>4884</v>
      </c>
      <c r="S83" s="11">
        <v>5196</v>
      </c>
      <c r="T83" s="11">
        <v>5198</v>
      </c>
      <c r="U83" s="11">
        <v>4826</v>
      </c>
      <c r="V83" s="11">
        <v>7599</v>
      </c>
      <c r="W83" s="11">
        <v>5734</v>
      </c>
      <c r="X83" s="11"/>
      <c r="Y83" s="11">
        <v>0</v>
      </c>
      <c r="Z83" s="11">
        <v>4874</v>
      </c>
      <c r="AA83" s="11">
        <v>5270</v>
      </c>
      <c r="AB83" s="11">
        <v>7178</v>
      </c>
      <c r="AC83" s="17">
        <f t="shared" si="11"/>
        <v>0.21335566011834853</v>
      </c>
      <c r="AD83" s="11">
        <f t="shared" si="12"/>
        <v>5536.7142857142853</v>
      </c>
      <c r="AE83" s="11">
        <f t="shared" si="13"/>
        <v>5608.1428571428569</v>
      </c>
      <c r="AF83" s="28">
        <f t="shared" si="20"/>
        <v>1.0129008953221355</v>
      </c>
      <c r="AG83" s="42">
        <f t="shared" si="14"/>
        <v>0.91207741167315648</v>
      </c>
      <c r="AH83" s="14" t="str">
        <f t="shared" si="15"/>
        <v>-</v>
      </c>
      <c r="AI83" s="11">
        <f t="shared" si="16"/>
        <v>377</v>
      </c>
      <c r="AJ83" s="11">
        <f t="shared" si="17"/>
        <v>377</v>
      </c>
      <c r="AK83" s="11">
        <f t="shared" si="18"/>
        <v>0.93627044646554791</v>
      </c>
      <c r="AL83" s="42">
        <f t="shared" si="19"/>
        <v>0.93627044646554791</v>
      </c>
      <c r="AM83" s="14" t="str">
        <f t="shared" si="21"/>
        <v/>
      </c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</row>
    <row r="84" spans="1:56" ht="27" customHeight="1" x14ac:dyDescent="0.2">
      <c r="A84" s="9" t="s">
        <v>356</v>
      </c>
      <c r="B84" s="11">
        <v>873</v>
      </c>
      <c r="C84" s="2">
        <v>462.29789128485299</v>
      </c>
      <c r="D84" s="2">
        <v>5.5268500000000804</v>
      </c>
      <c r="E84" s="2">
        <v>-1</v>
      </c>
      <c r="F84" s="12" t="s">
        <v>261</v>
      </c>
      <c r="G84" s="12" t="s">
        <v>179</v>
      </c>
      <c r="H84" s="5"/>
      <c r="I84" s="11">
        <v>3205</v>
      </c>
      <c r="J84" s="11">
        <v>2510</v>
      </c>
      <c r="K84" s="11">
        <v>3422</v>
      </c>
      <c r="L84" s="11">
        <v>2297</v>
      </c>
      <c r="M84" s="11">
        <v>2299</v>
      </c>
      <c r="N84" s="11">
        <v>3925</v>
      </c>
      <c r="O84" s="11">
        <v>2175</v>
      </c>
      <c r="P84" s="11"/>
      <c r="Q84" s="11">
        <v>2616</v>
      </c>
      <c r="R84" s="11">
        <v>2079</v>
      </c>
      <c r="S84" s="11">
        <v>1715</v>
      </c>
      <c r="T84" s="11">
        <v>2143</v>
      </c>
      <c r="U84" s="11">
        <v>1560</v>
      </c>
      <c r="V84" s="11">
        <v>3454</v>
      </c>
      <c r="W84" s="11">
        <v>1943</v>
      </c>
      <c r="X84" s="11"/>
      <c r="Y84" s="11">
        <v>0</v>
      </c>
      <c r="Z84" s="11">
        <v>2355</v>
      </c>
      <c r="AA84" s="11">
        <v>2402</v>
      </c>
      <c r="AB84" s="11">
        <v>2963</v>
      </c>
      <c r="AC84" s="17">
        <f t="shared" si="11"/>
        <v>0.13145536977238004</v>
      </c>
      <c r="AD84" s="11">
        <f t="shared" si="12"/>
        <v>2833.2857142857142</v>
      </c>
      <c r="AE84" s="11">
        <f t="shared" si="13"/>
        <v>2215.7142857142858</v>
      </c>
      <c r="AF84" s="28">
        <f t="shared" si="20"/>
        <v>0.78202995008319476</v>
      </c>
      <c r="AG84" s="42">
        <f t="shared" si="14"/>
        <v>0.10659215833502143</v>
      </c>
      <c r="AH84" s="14" t="str">
        <f t="shared" si="15"/>
        <v>-</v>
      </c>
      <c r="AI84" s="11">
        <f t="shared" si="16"/>
        <v>202</v>
      </c>
      <c r="AJ84" s="11">
        <f t="shared" si="17"/>
        <v>202</v>
      </c>
      <c r="AK84" s="11">
        <f t="shared" si="18"/>
        <v>0.20421368948343213</v>
      </c>
      <c r="AL84" s="42">
        <f t="shared" si="19"/>
        <v>0.20421368948343213</v>
      </c>
      <c r="AM84" s="14" t="str">
        <f t="shared" si="21"/>
        <v/>
      </c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</row>
    <row r="85" spans="1:56" ht="27" customHeight="1" x14ac:dyDescent="0.2">
      <c r="A85" s="9" t="s">
        <v>356</v>
      </c>
      <c r="B85" s="11">
        <v>913</v>
      </c>
      <c r="C85" s="2">
        <v>464.31313840967499</v>
      </c>
      <c r="D85" s="2">
        <v>6.0010239583331799</v>
      </c>
      <c r="E85" s="2">
        <v>-1</v>
      </c>
      <c r="F85" s="12" t="s">
        <v>229</v>
      </c>
      <c r="G85" s="12" t="s">
        <v>179</v>
      </c>
      <c r="H85" s="5"/>
      <c r="I85" s="11">
        <v>2518</v>
      </c>
      <c r="J85" s="11">
        <v>2206</v>
      </c>
      <c r="K85" s="11">
        <v>2969</v>
      </c>
      <c r="L85" s="11">
        <v>2167</v>
      </c>
      <c r="M85" s="11">
        <v>3013</v>
      </c>
      <c r="N85" s="11">
        <v>3708</v>
      </c>
      <c r="O85" s="11">
        <v>2317</v>
      </c>
      <c r="P85" s="11"/>
      <c r="Q85" s="11">
        <v>3235</v>
      </c>
      <c r="R85" s="11">
        <v>1791</v>
      </c>
      <c r="S85" s="11">
        <v>1706</v>
      </c>
      <c r="T85" s="11">
        <v>2025</v>
      </c>
      <c r="U85" s="11">
        <v>3022</v>
      </c>
      <c r="V85" s="11">
        <v>3606</v>
      </c>
      <c r="W85" s="11">
        <v>3171</v>
      </c>
      <c r="X85" s="11"/>
      <c r="Y85" s="11">
        <v>0</v>
      </c>
      <c r="Z85" s="11">
        <v>2663</v>
      </c>
      <c r="AA85" s="11">
        <v>2698</v>
      </c>
      <c r="AB85" s="11">
        <v>2396</v>
      </c>
      <c r="AC85" s="17">
        <f t="shared" si="11"/>
        <v>6.3885169792416166E-2</v>
      </c>
      <c r="AD85" s="11">
        <f t="shared" si="12"/>
        <v>2699.7142857142858</v>
      </c>
      <c r="AE85" s="11">
        <f t="shared" si="13"/>
        <v>2650.8571428571427</v>
      </c>
      <c r="AF85" s="28">
        <f t="shared" si="20"/>
        <v>0.98190284686210172</v>
      </c>
      <c r="AG85" s="42">
        <f t="shared" si="14"/>
        <v>0.89581776704552274</v>
      </c>
      <c r="AH85" s="14" t="str">
        <f t="shared" si="15"/>
        <v>-</v>
      </c>
      <c r="AI85" s="11">
        <f t="shared" si="16"/>
        <v>374</v>
      </c>
      <c r="AJ85" s="11">
        <f t="shared" si="17"/>
        <v>374</v>
      </c>
      <c r="AK85" s="11">
        <f t="shared" si="18"/>
        <v>0.92695581777170399</v>
      </c>
      <c r="AL85" s="42">
        <f t="shared" si="19"/>
        <v>0.92695581777170399</v>
      </c>
      <c r="AM85" s="14" t="str">
        <f t="shared" si="21"/>
        <v/>
      </c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</row>
    <row r="86" spans="1:56" ht="27" customHeight="1" x14ac:dyDescent="0.2">
      <c r="A86" s="9" t="s">
        <v>356</v>
      </c>
      <c r="B86" s="11">
        <v>109</v>
      </c>
      <c r="C86" s="2">
        <v>599.31879797702095</v>
      </c>
      <c r="D86" s="2">
        <v>5.18388627450976</v>
      </c>
      <c r="E86" s="2">
        <v>-1</v>
      </c>
      <c r="F86" s="12" t="s">
        <v>109</v>
      </c>
      <c r="G86" s="12" t="s">
        <v>110</v>
      </c>
      <c r="H86" s="5"/>
      <c r="I86" s="11">
        <v>21530</v>
      </c>
      <c r="J86" s="11">
        <v>21287</v>
      </c>
      <c r="K86" s="11">
        <v>22187</v>
      </c>
      <c r="L86" s="11">
        <v>17108</v>
      </c>
      <c r="M86" s="11">
        <v>29930</v>
      </c>
      <c r="N86" s="11">
        <v>35309</v>
      </c>
      <c r="O86" s="11">
        <v>39586</v>
      </c>
      <c r="P86" s="11"/>
      <c r="Q86" s="11">
        <v>31886</v>
      </c>
      <c r="R86" s="11">
        <v>21082</v>
      </c>
      <c r="S86" s="11">
        <v>23335</v>
      </c>
      <c r="T86" s="11">
        <v>19167</v>
      </c>
      <c r="U86" s="11">
        <v>22776</v>
      </c>
      <c r="V86" s="11">
        <v>34130</v>
      </c>
      <c r="W86" s="11">
        <v>20638</v>
      </c>
      <c r="X86" s="11"/>
      <c r="Y86" s="11">
        <v>9</v>
      </c>
      <c r="Z86" s="11">
        <v>23153</v>
      </c>
      <c r="AA86" s="11">
        <v>23699</v>
      </c>
      <c r="AB86" s="11">
        <v>26137</v>
      </c>
      <c r="AC86" s="17">
        <f t="shared" si="11"/>
        <v>6.5304076008343009E-2</v>
      </c>
      <c r="AD86" s="11">
        <f t="shared" si="12"/>
        <v>26705.285714285714</v>
      </c>
      <c r="AE86" s="11">
        <f t="shared" si="13"/>
        <v>24716.285714285714</v>
      </c>
      <c r="AF86" s="28">
        <f t="shared" si="20"/>
        <v>0.92552036247505842</v>
      </c>
      <c r="AG86" s="42">
        <f t="shared" si="14"/>
        <v>0.61665229733600779</v>
      </c>
      <c r="AH86" s="14" t="str">
        <f t="shared" si="15"/>
        <v>-</v>
      </c>
      <c r="AI86" s="11">
        <f t="shared" si="16"/>
        <v>338</v>
      </c>
      <c r="AJ86" s="11">
        <f t="shared" si="17"/>
        <v>338</v>
      </c>
      <c r="AK86" s="11">
        <f t="shared" si="18"/>
        <v>0.70604863629892012</v>
      </c>
      <c r="AL86" s="42">
        <f t="shared" si="19"/>
        <v>0.70530349648010271</v>
      </c>
      <c r="AM86" s="14" t="str">
        <f t="shared" si="21"/>
        <v/>
      </c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</row>
    <row r="87" spans="1:56" ht="27" customHeight="1" x14ac:dyDescent="0.2">
      <c r="A87" s="9" t="s">
        <v>356</v>
      </c>
      <c r="B87" s="11">
        <v>207</v>
      </c>
      <c r="C87" s="2">
        <v>619.285794383748</v>
      </c>
      <c r="D87" s="2">
        <v>4.1774481481480503</v>
      </c>
      <c r="E87" s="2">
        <v>-1</v>
      </c>
      <c r="F87" s="12" t="s">
        <v>131</v>
      </c>
      <c r="G87" s="12" t="s">
        <v>110</v>
      </c>
      <c r="H87" s="5"/>
      <c r="I87" s="11">
        <v>6240</v>
      </c>
      <c r="J87" s="11">
        <v>6770</v>
      </c>
      <c r="K87" s="11">
        <v>11022</v>
      </c>
      <c r="L87" s="11">
        <v>8237</v>
      </c>
      <c r="M87" s="11">
        <v>10806</v>
      </c>
      <c r="N87" s="11">
        <v>14379</v>
      </c>
      <c r="O87" s="11">
        <v>16796</v>
      </c>
      <c r="P87" s="11"/>
      <c r="Q87" s="11">
        <v>16452</v>
      </c>
      <c r="R87" s="11">
        <v>12205</v>
      </c>
      <c r="S87" s="11">
        <v>11364</v>
      </c>
      <c r="T87" s="11">
        <v>8445</v>
      </c>
      <c r="U87" s="11">
        <v>10341</v>
      </c>
      <c r="V87" s="11">
        <v>18838</v>
      </c>
      <c r="W87" s="11">
        <v>13070</v>
      </c>
      <c r="X87" s="11"/>
      <c r="Y87" s="11">
        <v>124</v>
      </c>
      <c r="Z87" s="11">
        <v>12115</v>
      </c>
      <c r="AA87" s="11">
        <v>10154</v>
      </c>
      <c r="AB87" s="11">
        <v>13567</v>
      </c>
      <c r="AC87" s="17">
        <f t="shared" si="11"/>
        <v>0.14338772374978198</v>
      </c>
      <c r="AD87" s="11">
        <f t="shared" si="12"/>
        <v>10607.142857142857</v>
      </c>
      <c r="AE87" s="11">
        <f t="shared" si="13"/>
        <v>12959.285714285714</v>
      </c>
      <c r="AF87" s="28">
        <f t="shared" si="20"/>
        <v>1.2217508417508418</v>
      </c>
      <c r="AG87" s="42">
        <f t="shared" si="14"/>
        <v>0.26425360512692692</v>
      </c>
      <c r="AH87" s="14" t="str">
        <f t="shared" si="15"/>
        <v>-</v>
      </c>
      <c r="AI87" s="11">
        <f t="shared" si="16"/>
        <v>258</v>
      </c>
      <c r="AJ87" s="11">
        <f t="shared" si="17"/>
        <v>258</v>
      </c>
      <c r="AK87" s="11">
        <f t="shared" si="18"/>
        <v>0.3963804076903904</v>
      </c>
      <c r="AL87" s="42">
        <f t="shared" si="19"/>
        <v>0.3963804076903904</v>
      </c>
      <c r="AM87" s="14" t="str">
        <f t="shared" si="21"/>
        <v/>
      </c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</row>
    <row r="88" spans="1:56" ht="27" customHeight="1" x14ac:dyDescent="0.2">
      <c r="A88" s="9" t="s">
        <v>356</v>
      </c>
      <c r="B88" s="11">
        <v>500</v>
      </c>
      <c r="C88" s="2">
        <v>595.28803152213095</v>
      </c>
      <c r="D88" s="2">
        <v>4.1748372549018802</v>
      </c>
      <c r="E88" s="2">
        <v>-1</v>
      </c>
      <c r="F88" s="12" t="s">
        <v>238</v>
      </c>
      <c r="G88" s="12" t="s">
        <v>110</v>
      </c>
      <c r="H88" s="5"/>
      <c r="I88" s="11">
        <v>3955</v>
      </c>
      <c r="J88" s="11">
        <v>2889</v>
      </c>
      <c r="K88" s="11">
        <v>4127</v>
      </c>
      <c r="L88" s="11">
        <v>3569</v>
      </c>
      <c r="M88" s="11">
        <v>3981</v>
      </c>
      <c r="N88" s="11">
        <v>7051</v>
      </c>
      <c r="O88" s="11">
        <v>6475</v>
      </c>
      <c r="P88" s="11"/>
      <c r="Q88" s="11">
        <v>6778</v>
      </c>
      <c r="R88" s="11">
        <v>3436</v>
      </c>
      <c r="S88" s="11">
        <v>3550</v>
      </c>
      <c r="T88" s="11">
        <v>2857</v>
      </c>
      <c r="U88" s="11">
        <v>3546</v>
      </c>
      <c r="V88" s="11">
        <v>6465</v>
      </c>
      <c r="W88" s="11">
        <v>4997</v>
      </c>
      <c r="X88" s="11"/>
      <c r="Y88" s="11">
        <v>4</v>
      </c>
      <c r="Z88" s="11">
        <v>4017</v>
      </c>
      <c r="AA88" s="11">
        <v>3594</v>
      </c>
      <c r="AB88" s="11">
        <v>4889</v>
      </c>
      <c r="AC88" s="17">
        <f t="shared" si="11"/>
        <v>0.15848294797863879</v>
      </c>
      <c r="AD88" s="11">
        <f t="shared" si="12"/>
        <v>4578.1428571428569</v>
      </c>
      <c r="AE88" s="11">
        <f t="shared" si="13"/>
        <v>4518.4285714285716</v>
      </c>
      <c r="AF88" s="28">
        <f t="shared" si="20"/>
        <v>0.98695665740942995</v>
      </c>
      <c r="AG88" s="42">
        <f t="shared" si="14"/>
        <v>0.94434580029854365</v>
      </c>
      <c r="AH88" s="14" t="str">
        <f t="shared" si="15"/>
        <v>-</v>
      </c>
      <c r="AI88" s="11">
        <f t="shared" si="16"/>
        <v>381</v>
      </c>
      <c r="AJ88" s="11">
        <f t="shared" si="17"/>
        <v>381</v>
      </c>
      <c r="AK88" s="11">
        <f t="shared" si="18"/>
        <v>0.95921738770482001</v>
      </c>
      <c r="AL88" s="42">
        <f t="shared" si="19"/>
        <v>0.95921738770482001</v>
      </c>
      <c r="AM88" s="14" t="str">
        <f t="shared" si="21"/>
        <v/>
      </c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</row>
    <row r="89" spans="1:56" ht="27" customHeight="1" x14ac:dyDescent="0.2">
      <c r="A89" s="9" t="s">
        <v>356</v>
      </c>
      <c r="B89" s="11">
        <v>508</v>
      </c>
      <c r="C89" s="2">
        <v>643.288632905236</v>
      </c>
      <c r="D89" s="2">
        <v>4.1519078431372298</v>
      </c>
      <c r="E89" s="2">
        <v>-1</v>
      </c>
      <c r="F89" s="12" t="s">
        <v>237</v>
      </c>
      <c r="G89" s="12" t="s">
        <v>110</v>
      </c>
      <c r="H89" s="5"/>
      <c r="I89" s="11">
        <v>1887</v>
      </c>
      <c r="J89" s="11">
        <v>1798</v>
      </c>
      <c r="K89" s="11">
        <v>2552</v>
      </c>
      <c r="L89" s="11">
        <v>1995</v>
      </c>
      <c r="M89" s="11">
        <v>2689</v>
      </c>
      <c r="N89" s="11">
        <v>5214</v>
      </c>
      <c r="O89" s="11">
        <v>4658</v>
      </c>
      <c r="P89" s="11"/>
      <c r="Q89" s="11">
        <v>6200</v>
      </c>
      <c r="R89" s="11">
        <v>3299</v>
      </c>
      <c r="S89" s="11">
        <v>3948</v>
      </c>
      <c r="T89" s="11">
        <v>3185</v>
      </c>
      <c r="U89" s="11">
        <v>3680</v>
      </c>
      <c r="V89" s="11">
        <v>6929</v>
      </c>
      <c r="W89" s="11">
        <v>4501</v>
      </c>
      <c r="X89" s="11"/>
      <c r="Y89" s="11">
        <v>0</v>
      </c>
      <c r="Z89" s="11">
        <v>4895</v>
      </c>
      <c r="AA89" s="11">
        <v>3277</v>
      </c>
      <c r="AB89" s="11">
        <v>3657</v>
      </c>
      <c r="AC89" s="17">
        <f t="shared" si="11"/>
        <v>0.21457423060208392</v>
      </c>
      <c r="AD89" s="11">
        <f t="shared" si="12"/>
        <v>2970.4285714285716</v>
      </c>
      <c r="AE89" s="11">
        <f t="shared" si="13"/>
        <v>4534.5714285714284</v>
      </c>
      <c r="AF89" s="28">
        <f t="shared" si="20"/>
        <v>1.5265714423123165</v>
      </c>
      <c r="AG89" s="42">
        <f t="shared" si="14"/>
        <v>6.3472258784518981E-2</v>
      </c>
      <c r="AH89" s="14" t="str">
        <f t="shared" si="15"/>
        <v>-</v>
      </c>
      <c r="AI89" s="11">
        <f t="shared" si="16"/>
        <v>173</v>
      </c>
      <c r="AJ89" s="11">
        <f t="shared" si="17"/>
        <v>173</v>
      </c>
      <c r="AK89" s="11">
        <f t="shared" si="18"/>
        <v>0.14198707600929969</v>
      </c>
      <c r="AL89" s="42">
        <f t="shared" si="19"/>
        <v>0.14198707600929969</v>
      </c>
      <c r="AM89" s="14" t="str">
        <f t="shared" si="21"/>
        <v/>
      </c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</row>
    <row r="90" spans="1:56" ht="27" customHeight="1" x14ac:dyDescent="0.2">
      <c r="A90" s="9" t="s">
        <v>356</v>
      </c>
      <c r="B90" s="11">
        <v>988</v>
      </c>
      <c r="C90" s="2">
        <v>571.28658484145399</v>
      </c>
      <c r="D90" s="2">
        <v>4.5708921568627003</v>
      </c>
      <c r="E90" s="2">
        <v>-1</v>
      </c>
      <c r="F90" s="12" t="s">
        <v>288</v>
      </c>
      <c r="G90" s="12" t="s">
        <v>110</v>
      </c>
      <c r="H90" s="5"/>
      <c r="I90" s="11">
        <v>2413</v>
      </c>
      <c r="J90" s="11">
        <v>2246</v>
      </c>
      <c r="K90" s="11">
        <v>1991</v>
      </c>
      <c r="L90" s="11">
        <v>1564</v>
      </c>
      <c r="M90" s="11">
        <v>1584</v>
      </c>
      <c r="N90" s="11">
        <v>2458</v>
      </c>
      <c r="O90" s="11">
        <v>2735</v>
      </c>
      <c r="P90" s="11"/>
      <c r="Q90" s="11">
        <v>2624</v>
      </c>
      <c r="R90" s="11">
        <v>2304</v>
      </c>
      <c r="S90" s="11">
        <v>2284</v>
      </c>
      <c r="T90" s="11">
        <v>1724</v>
      </c>
      <c r="U90" s="11">
        <v>1998</v>
      </c>
      <c r="V90" s="11">
        <v>3068</v>
      </c>
      <c r="W90" s="11">
        <v>1887</v>
      </c>
      <c r="X90" s="11"/>
      <c r="Y90" s="11">
        <v>9</v>
      </c>
      <c r="Z90" s="11">
        <v>2191</v>
      </c>
      <c r="AA90" s="11">
        <v>3392</v>
      </c>
      <c r="AB90" s="11">
        <v>2504</v>
      </c>
      <c r="AC90" s="17">
        <f t="shared" si="11"/>
        <v>0.23111860750970215</v>
      </c>
      <c r="AD90" s="11">
        <f t="shared" si="12"/>
        <v>2141.5714285714284</v>
      </c>
      <c r="AE90" s="11">
        <f t="shared" si="13"/>
        <v>2269.8571428571427</v>
      </c>
      <c r="AF90" s="28">
        <f t="shared" si="20"/>
        <v>1.0599026082316056</v>
      </c>
      <c r="AG90" s="42">
        <f t="shared" si="14"/>
        <v>0.607629664859897</v>
      </c>
      <c r="AH90" s="14" t="str">
        <f t="shared" si="15"/>
        <v>-</v>
      </c>
      <c r="AI90" s="11">
        <f t="shared" si="16"/>
        <v>336</v>
      </c>
      <c r="AJ90" s="11">
        <f t="shared" si="17"/>
        <v>336</v>
      </c>
      <c r="AK90" s="11">
        <f t="shared" si="18"/>
        <v>0.69985916756184563</v>
      </c>
      <c r="AL90" s="42">
        <f t="shared" si="19"/>
        <v>0.69985916756184563</v>
      </c>
      <c r="AM90" s="14" t="str">
        <f t="shared" si="21"/>
        <v/>
      </c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</row>
    <row r="91" spans="1:56" ht="27" customHeight="1" x14ac:dyDescent="0.2">
      <c r="A91" s="9" t="s">
        <v>356</v>
      </c>
      <c r="B91" s="11">
        <v>1102</v>
      </c>
      <c r="C91" s="2">
        <v>621.30244983806097</v>
      </c>
      <c r="D91" s="2">
        <v>4.4258288888888604</v>
      </c>
      <c r="E91" s="2">
        <v>-1</v>
      </c>
      <c r="F91" s="12" t="s">
        <v>283</v>
      </c>
      <c r="G91" s="12" t="s">
        <v>110</v>
      </c>
      <c r="H91" s="5"/>
      <c r="I91" s="11">
        <v>778</v>
      </c>
      <c r="J91" s="11">
        <v>805</v>
      </c>
      <c r="K91" s="11">
        <v>1356</v>
      </c>
      <c r="L91" s="11">
        <v>746</v>
      </c>
      <c r="M91" s="11">
        <v>1608</v>
      </c>
      <c r="N91" s="11">
        <v>2228</v>
      </c>
      <c r="O91" s="11">
        <v>3008</v>
      </c>
      <c r="P91" s="11"/>
      <c r="Q91" s="11">
        <v>2088</v>
      </c>
      <c r="R91" s="11">
        <v>1414</v>
      </c>
      <c r="S91" s="11">
        <v>1185</v>
      </c>
      <c r="T91" s="11">
        <v>915</v>
      </c>
      <c r="U91" s="11">
        <v>1036</v>
      </c>
      <c r="V91" s="11">
        <v>2547</v>
      </c>
      <c r="W91" s="11">
        <v>1417</v>
      </c>
      <c r="X91" s="11"/>
      <c r="Y91" s="11">
        <v>0</v>
      </c>
      <c r="Z91" s="11">
        <v>1982</v>
      </c>
      <c r="AA91" s="11">
        <v>1271</v>
      </c>
      <c r="AB91" s="11">
        <v>1878</v>
      </c>
      <c r="AC91" s="17">
        <f t="shared" si="11"/>
        <v>0.22452398199638135</v>
      </c>
      <c r="AD91" s="11">
        <f t="shared" si="12"/>
        <v>1504.1428571428571</v>
      </c>
      <c r="AE91" s="11">
        <f t="shared" si="13"/>
        <v>1514.5714285714287</v>
      </c>
      <c r="AF91" s="28">
        <f t="shared" si="20"/>
        <v>1.0069332320258335</v>
      </c>
      <c r="AG91" s="42">
        <f t="shared" si="14"/>
        <v>0.97937318636722148</v>
      </c>
      <c r="AH91" s="14" t="str">
        <f t="shared" si="15"/>
        <v>-</v>
      </c>
      <c r="AI91" s="11">
        <f t="shared" si="16"/>
        <v>384</v>
      </c>
      <c r="AJ91" s="11">
        <f t="shared" si="17"/>
        <v>384</v>
      </c>
      <c r="AK91" s="11">
        <f t="shared" si="18"/>
        <v>0.98702453938571544</v>
      </c>
      <c r="AL91" s="42">
        <f t="shared" si="19"/>
        <v>0.98546789382457556</v>
      </c>
      <c r="AM91" s="14" t="str">
        <f t="shared" si="21"/>
        <v/>
      </c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</row>
    <row r="92" spans="1:56" ht="27" customHeight="1" x14ac:dyDescent="0.2">
      <c r="A92" s="9" t="s">
        <v>356</v>
      </c>
      <c r="B92" s="11">
        <v>1428</v>
      </c>
      <c r="C92" s="2">
        <v>597.30268397884697</v>
      </c>
      <c r="D92" s="2">
        <v>4.7098852941176403</v>
      </c>
      <c r="E92" s="2">
        <v>-1</v>
      </c>
      <c r="F92" s="12" t="s">
        <v>301</v>
      </c>
      <c r="G92" s="12" t="s">
        <v>110</v>
      </c>
      <c r="H92" s="5"/>
      <c r="I92" s="11">
        <v>1718</v>
      </c>
      <c r="J92" s="11">
        <v>1443</v>
      </c>
      <c r="K92" s="11">
        <v>1965</v>
      </c>
      <c r="L92" s="11">
        <v>731</v>
      </c>
      <c r="M92" s="11">
        <v>1590</v>
      </c>
      <c r="N92" s="11">
        <v>2196</v>
      </c>
      <c r="O92" s="11">
        <v>2135</v>
      </c>
      <c r="P92" s="11"/>
      <c r="Q92" s="11">
        <v>2139</v>
      </c>
      <c r="R92" s="11">
        <v>1323</v>
      </c>
      <c r="S92" s="11">
        <v>1314</v>
      </c>
      <c r="T92" s="11">
        <v>1116</v>
      </c>
      <c r="U92" s="11">
        <v>1555</v>
      </c>
      <c r="V92" s="11">
        <v>2042</v>
      </c>
      <c r="W92" s="11">
        <v>1109</v>
      </c>
      <c r="X92" s="11"/>
      <c r="Y92" s="11">
        <v>0</v>
      </c>
      <c r="Z92" s="11">
        <v>1574</v>
      </c>
      <c r="AA92" s="11">
        <v>2249</v>
      </c>
      <c r="AB92" s="11">
        <v>1816</v>
      </c>
      <c r="AC92" s="17">
        <f t="shared" si="11"/>
        <v>0.18193341225283605</v>
      </c>
      <c r="AD92" s="11">
        <f t="shared" si="12"/>
        <v>1682.5714285714287</v>
      </c>
      <c r="AE92" s="11">
        <f t="shared" si="13"/>
        <v>1514</v>
      </c>
      <c r="AF92" s="28">
        <f t="shared" si="20"/>
        <v>0.89981321107148915</v>
      </c>
      <c r="AG92" s="42">
        <f t="shared" si="14"/>
        <v>0.51057329481234082</v>
      </c>
      <c r="AH92" s="14" t="str">
        <f t="shared" si="15"/>
        <v>-</v>
      </c>
      <c r="AI92" s="11">
        <f t="shared" si="16"/>
        <v>325</v>
      </c>
      <c r="AJ92" s="11">
        <f t="shared" si="17"/>
        <v>325</v>
      </c>
      <c r="AK92" s="11">
        <f t="shared" si="18"/>
        <v>0.60797496951500274</v>
      </c>
      <c r="AL92" s="42">
        <f t="shared" si="19"/>
        <v>0.60797496951500274</v>
      </c>
      <c r="AM92" s="14" t="str">
        <f t="shared" si="21"/>
        <v/>
      </c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</row>
    <row r="93" spans="1:56" ht="27" customHeight="1" x14ac:dyDescent="0.2">
      <c r="A93" s="9" t="s">
        <v>356</v>
      </c>
      <c r="B93" s="11">
        <v>1687</v>
      </c>
      <c r="C93" s="2">
        <v>645.30340220963797</v>
      </c>
      <c r="D93" s="2">
        <v>4.3388833333334</v>
      </c>
      <c r="E93" s="2">
        <v>-1</v>
      </c>
      <c r="F93" s="12" t="s">
        <v>327</v>
      </c>
      <c r="G93" s="12" t="s">
        <v>110</v>
      </c>
      <c r="H93" s="5"/>
      <c r="I93" s="11">
        <v>264</v>
      </c>
      <c r="J93" s="11">
        <v>591</v>
      </c>
      <c r="K93" s="11">
        <v>422</v>
      </c>
      <c r="L93" s="11">
        <v>469</v>
      </c>
      <c r="M93" s="11">
        <v>641</v>
      </c>
      <c r="N93" s="11">
        <v>920</v>
      </c>
      <c r="O93" s="11">
        <v>1025</v>
      </c>
      <c r="P93" s="11"/>
      <c r="Q93" s="11">
        <v>1206</v>
      </c>
      <c r="R93" s="11">
        <v>573</v>
      </c>
      <c r="S93" s="11">
        <v>590</v>
      </c>
      <c r="T93" s="11">
        <v>1086</v>
      </c>
      <c r="U93" s="11">
        <v>1094</v>
      </c>
      <c r="V93" s="11">
        <v>1853</v>
      </c>
      <c r="W93" s="11">
        <v>1013</v>
      </c>
      <c r="X93" s="11"/>
      <c r="Y93" s="11">
        <v>14</v>
      </c>
      <c r="Z93" s="11">
        <v>530</v>
      </c>
      <c r="AA93" s="11">
        <v>823</v>
      </c>
      <c r="AB93" s="11">
        <v>682</v>
      </c>
      <c r="AC93" s="17">
        <f t="shared" si="11"/>
        <v>0.21602124334025247</v>
      </c>
      <c r="AD93" s="11">
        <f t="shared" si="12"/>
        <v>618.85714285714289</v>
      </c>
      <c r="AE93" s="11">
        <f t="shared" si="13"/>
        <v>1059.2857142857142</v>
      </c>
      <c r="AF93" s="28">
        <f t="shared" si="20"/>
        <v>1.7116805170821789</v>
      </c>
      <c r="AG93" s="42">
        <f t="shared" si="14"/>
        <v>4.4846380023852481E-2</v>
      </c>
      <c r="AH93" s="14" t="str">
        <f t="shared" si="15"/>
        <v>*</v>
      </c>
      <c r="AI93" s="11">
        <f t="shared" si="16"/>
        <v>156</v>
      </c>
      <c r="AJ93" s="11">
        <f t="shared" si="17"/>
        <v>156</v>
      </c>
      <c r="AK93" s="11">
        <f t="shared" si="18"/>
        <v>0.11125351967455711</v>
      </c>
      <c r="AL93" s="42">
        <f t="shared" si="19"/>
        <v>0.11113122540397316</v>
      </c>
      <c r="AM93" s="14" t="str">
        <f t="shared" si="21"/>
        <v/>
      </c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</row>
    <row r="94" spans="1:56" ht="27" customHeight="1" x14ac:dyDescent="0.2">
      <c r="A94" s="9" t="s">
        <v>356</v>
      </c>
      <c r="B94" s="11">
        <v>537</v>
      </c>
      <c r="C94" s="2">
        <v>568.26660099896299</v>
      </c>
      <c r="D94" s="2">
        <v>4.1519078431372298</v>
      </c>
      <c r="E94" s="2">
        <v>-1</v>
      </c>
      <c r="F94" s="12" t="s">
        <v>239</v>
      </c>
      <c r="G94" s="12" t="s">
        <v>167</v>
      </c>
      <c r="H94" s="5"/>
      <c r="I94" s="11">
        <v>2491</v>
      </c>
      <c r="J94" s="11">
        <v>2694</v>
      </c>
      <c r="K94" s="11">
        <v>3469</v>
      </c>
      <c r="L94" s="11">
        <v>2807</v>
      </c>
      <c r="M94" s="11">
        <v>4413</v>
      </c>
      <c r="N94" s="11">
        <v>3959</v>
      </c>
      <c r="O94" s="11">
        <v>4155</v>
      </c>
      <c r="P94" s="11"/>
      <c r="Q94" s="11">
        <v>6230</v>
      </c>
      <c r="R94" s="11">
        <v>4976</v>
      </c>
      <c r="S94" s="11">
        <v>4201</v>
      </c>
      <c r="T94" s="11">
        <v>4307</v>
      </c>
      <c r="U94" s="11">
        <v>3718</v>
      </c>
      <c r="V94" s="11">
        <v>6568</v>
      </c>
      <c r="W94" s="11">
        <v>4482</v>
      </c>
      <c r="X94" s="11"/>
      <c r="Y94" s="11">
        <v>0</v>
      </c>
      <c r="Z94" s="11">
        <v>3856</v>
      </c>
      <c r="AA94" s="11">
        <v>3951</v>
      </c>
      <c r="AB94" s="11">
        <v>5403</v>
      </c>
      <c r="AC94" s="17">
        <f t="shared" si="11"/>
        <v>0.19690510908763365</v>
      </c>
      <c r="AD94" s="11">
        <f t="shared" si="12"/>
        <v>3426.8571428571427</v>
      </c>
      <c r="AE94" s="11">
        <f t="shared" si="13"/>
        <v>4926</v>
      </c>
      <c r="AF94" s="28">
        <f t="shared" si="20"/>
        <v>1.4374687343671837</v>
      </c>
      <c r="AG94" s="42">
        <f t="shared" si="14"/>
        <v>1.2403379129488683E-2</v>
      </c>
      <c r="AH94" s="14" t="str">
        <f t="shared" si="15"/>
        <v>*</v>
      </c>
      <c r="AI94" s="11">
        <f t="shared" si="16"/>
        <v>84</v>
      </c>
      <c r="AJ94" s="11">
        <f t="shared" si="17"/>
        <v>84</v>
      </c>
      <c r="AK94" s="11">
        <f t="shared" si="18"/>
        <v>5.7144139560858571E-2</v>
      </c>
      <c r="AL94" s="42">
        <f t="shared" si="19"/>
        <v>5.7144139560858571E-2</v>
      </c>
      <c r="AM94" s="14" t="str">
        <f t="shared" si="21"/>
        <v>*</v>
      </c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</row>
    <row r="95" spans="1:56" ht="27" customHeight="1" x14ac:dyDescent="0.2">
      <c r="A95" s="9" t="s">
        <v>356</v>
      </c>
      <c r="B95" s="11">
        <v>224</v>
      </c>
      <c r="C95" s="2">
        <v>555.27116888551905</v>
      </c>
      <c r="D95" s="2">
        <v>4.2749447916666199</v>
      </c>
      <c r="E95" s="2">
        <v>-1</v>
      </c>
      <c r="F95" s="12" t="s">
        <v>163</v>
      </c>
      <c r="G95" s="12" t="s">
        <v>164</v>
      </c>
      <c r="H95" s="5"/>
      <c r="I95" s="11">
        <v>6067</v>
      </c>
      <c r="J95" s="11">
        <v>5664</v>
      </c>
      <c r="K95" s="11">
        <v>9431</v>
      </c>
      <c r="L95" s="11">
        <v>7568</v>
      </c>
      <c r="M95" s="11">
        <v>5737</v>
      </c>
      <c r="N95" s="11">
        <v>7252</v>
      </c>
      <c r="O95" s="11">
        <v>5701</v>
      </c>
      <c r="P95" s="11"/>
      <c r="Q95" s="11">
        <v>11659</v>
      </c>
      <c r="R95" s="11">
        <v>15922</v>
      </c>
      <c r="S95" s="11">
        <v>11751</v>
      </c>
      <c r="T95" s="11">
        <v>12093</v>
      </c>
      <c r="U95" s="11">
        <v>7932</v>
      </c>
      <c r="V95" s="11">
        <v>17695</v>
      </c>
      <c r="W95" s="11">
        <v>12805</v>
      </c>
      <c r="X95" s="11"/>
      <c r="Y95" s="11">
        <v>0</v>
      </c>
      <c r="Z95" s="11">
        <v>7841</v>
      </c>
      <c r="AA95" s="11">
        <v>10706</v>
      </c>
      <c r="AB95" s="11">
        <v>10124</v>
      </c>
      <c r="AC95" s="17">
        <f t="shared" si="11"/>
        <v>0.15845167111479047</v>
      </c>
      <c r="AD95" s="11">
        <f t="shared" si="12"/>
        <v>6774.2857142857147</v>
      </c>
      <c r="AE95" s="11">
        <f t="shared" si="13"/>
        <v>12836.714285714286</v>
      </c>
      <c r="AF95" s="28">
        <f t="shared" si="20"/>
        <v>1.8949177562210038</v>
      </c>
      <c r="AG95" s="42">
        <f t="shared" si="14"/>
        <v>1.554907848774386E-3</v>
      </c>
      <c r="AH95" s="14" t="str">
        <f t="shared" si="15"/>
        <v>**</v>
      </c>
      <c r="AI95" s="11">
        <f t="shared" si="16"/>
        <v>27</v>
      </c>
      <c r="AJ95" s="11">
        <f t="shared" si="17"/>
        <v>27</v>
      </c>
      <c r="AK95" s="11">
        <f t="shared" si="18"/>
        <v>2.2287012499099531E-2</v>
      </c>
      <c r="AL95" s="42">
        <f t="shared" si="19"/>
        <v>2.2287012499099531E-2</v>
      </c>
      <c r="AM95" s="14" t="str">
        <f t="shared" si="21"/>
        <v>**</v>
      </c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</row>
    <row r="96" spans="1:56" ht="27" customHeight="1" x14ac:dyDescent="0.2">
      <c r="A96" s="9" t="s">
        <v>356</v>
      </c>
      <c r="B96" s="11">
        <v>445</v>
      </c>
      <c r="C96" s="2">
        <v>507.27104157609801</v>
      </c>
      <c r="D96" s="2">
        <v>4.3120460784313499</v>
      </c>
      <c r="E96" s="2">
        <v>-1</v>
      </c>
      <c r="F96" s="12" t="s">
        <v>205</v>
      </c>
      <c r="G96" s="12" t="s">
        <v>164</v>
      </c>
      <c r="H96" s="5"/>
      <c r="I96" s="11">
        <v>3727</v>
      </c>
      <c r="J96" s="11">
        <v>3021</v>
      </c>
      <c r="K96" s="11">
        <v>3386</v>
      </c>
      <c r="L96" s="11">
        <v>4008</v>
      </c>
      <c r="M96" s="11">
        <v>2673</v>
      </c>
      <c r="N96" s="11">
        <v>2403</v>
      </c>
      <c r="O96" s="11">
        <v>3384</v>
      </c>
      <c r="P96" s="11"/>
      <c r="Q96" s="11">
        <v>2453</v>
      </c>
      <c r="R96" s="11">
        <v>1024</v>
      </c>
      <c r="S96" s="11">
        <v>2194</v>
      </c>
      <c r="T96" s="11">
        <v>3680</v>
      </c>
      <c r="U96" s="11">
        <v>7014</v>
      </c>
      <c r="V96" s="11">
        <v>3158</v>
      </c>
      <c r="W96" s="11">
        <v>8014</v>
      </c>
      <c r="X96" s="11"/>
      <c r="Y96" s="11">
        <v>14</v>
      </c>
      <c r="Z96" s="11">
        <v>4116</v>
      </c>
      <c r="AA96" s="11">
        <v>3583</v>
      </c>
      <c r="AB96" s="11">
        <v>4342</v>
      </c>
      <c r="AC96" s="17">
        <f t="shared" si="11"/>
        <v>9.7095899767874763E-2</v>
      </c>
      <c r="AD96" s="11">
        <f t="shared" si="12"/>
        <v>3228.8571428571427</v>
      </c>
      <c r="AE96" s="11">
        <f t="shared" si="13"/>
        <v>3933.8571428571427</v>
      </c>
      <c r="AF96" s="28">
        <f t="shared" si="20"/>
        <v>1.2183435094239448</v>
      </c>
      <c r="AG96" s="42">
        <f t="shared" si="14"/>
        <v>0.50709000755013856</v>
      </c>
      <c r="AH96" s="14" t="str">
        <f t="shared" si="15"/>
        <v>-</v>
      </c>
      <c r="AI96" s="11">
        <f t="shared" si="16"/>
        <v>323</v>
      </c>
      <c r="AJ96" s="11">
        <f t="shared" si="17"/>
        <v>323</v>
      </c>
      <c r="AK96" s="11">
        <f t="shared" si="18"/>
        <v>0.60756604619784405</v>
      </c>
      <c r="AL96" s="42">
        <f t="shared" si="19"/>
        <v>0.60678346320197296</v>
      </c>
      <c r="AM96" s="14" t="str">
        <f t="shared" si="21"/>
        <v/>
      </c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</row>
    <row r="97" spans="1:56" ht="27" customHeight="1" x14ac:dyDescent="0.2">
      <c r="A97" s="9" t="s">
        <v>356</v>
      </c>
      <c r="B97" s="11">
        <v>710</v>
      </c>
      <c r="C97" s="2">
        <v>483.27084279631902</v>
      </c>
      <c r="D97" s="2">
        <v>4.7003960784313499</v>
      </c>
      <c r="E97" s="2">
        <v>-1</v>
      </c>
      <c r="F97" s="12" t="s">
        <v>219</v>
      </c>
      <c r="G97" s="12" t="s">
        <v>164</v>
      </c>
      <c r="H97" s="5"/>
      <c r="I97" s="11">
        <v>3497</v>
      </c>
      <c r="J97" s="11">
        <v>3177</v>
      </c>
      <c r="K97" s="11">
        <v>4367</v>
      </c>
      <c r="L97" s="11">
        <v>3205</v>
      </c>
      <c r="M97" s="11">
        <v>3683</v>
      </c>
      <c r="N97" s="11">
        <v>4015</v>
      </c>
      <c r="O97" s="11">
        <v>4909</v>
      </c>
      <c r="P97" s="11"/>
      <c r="Q97" s="11">
        <v>3683</v>
      </c>
      <c r="R97" s="11">
        <v>3319</v>
      </c>
      <c r="S97" s="11">
        <v>2275</v>
      </c>
      <c r="T97" s="11">
        <v>3547</v>
      </c>
      <c r="U97" s="11">
        <v>3646</v>
      </c>
      <c r="V97" s="11">
        <v>3394</v>
      </c>
      <c r="W97" s="11">
        <v>3360</v>
      </c>
      <c r="X97" s="11"/>
      <c r="Y97" s="11">
        <v>14</v>
      </c>
      <c r="Z97" s="11">
        <v>3979</v>
      </c>
      <c r="AA97" s="11">
        <v>3335</v>
      </c>
      <c r="AB97" s="11">
        <v>4105</v>
      </c>
      <c r="AC97" s="17">
        <f t="shared" si="11"/>
        <v>0.10850856647813534</v>
      </c>
      <c r="AD97" s="11">
        <f t="shared" si="12"/>
        <v>3836.1428571428573</v>
      </c>
      <c r="AE97" s="11">
        <f t="shared" si="13"/>
        <v>3317.7142857142858</v>
      </c>
      <c r="AF97" s="28">
        <f t="shared" si="20"/>
        <v>0.8648568130190295</v>
      </c>
      <c r="AG97" s="42">
        <f t="shared" si="14"/>
        <v>0.11338214935560555</v>
      </c>
      <c r="AH97" s="14" t="str">
        <f t="shared" si="15"/>
        <v>-</v>
      </c>
      <c r="AI97" s="11">
        <f t="shared" si="16"/>
        <v>204</v>
      </c>
      <c r="AJ97" s="11">
        <f t="shared" si="17"/>
        <v>204</v>
      </c>
      <c r="AK97" s="11">
        <f t="shared" si="18"/>
        <v>0.21509260686578113</v>
      </c>
      <c r="AL97" s="42">
        <f t="shared" si="19"/>
        <v>0.21439363585001531</v>
      </c>
      <c r="AM97" s="14" t="str">
        <f t="shared" si="21"/>
        <v/>
      </c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</row>
    <row r="98" spans="1:56" ht="27" customHeight="1" x14ac:dyDescent="0.2">
      <c r="A98" s="9" t="s">
        <v>356</v>
      </c>
      <c r="B98" s="11">
        <v>1041</v>
      </c>
      <c r="C98" s="2">
        <v>509.28685289591499</v>
      </c>
      <c r="D98" s="2">
        <v>4.7083933333332597</v>
      </c>
      <c r="E98" s="2">
        <v>-1</v>
      </c>
      <c r="F98" s="12" t="s">
        <v>262</v>
      </c>
      <c r="G98" s="12" t="s">
        <v>164</v>
      </c>
      <c r="H98" s="5"/>
      <c r="I98" s="11">
        <v>2684</v>
      </c>
      <c r="J98" s="11">
        <v>1621</v>
      </c>
      <c r="K98" s="11">
        <v>2650</v>
      </c>
      <c r="L98" s="11">
        <v>1742</v>
      </c>
      <c r="M98" s="11">
        <v>1498</v>
      </c>
      <c r="N98" s="11">
        <v>2468</v>
      </c>
      <c r="O98" s="11">
        <v>1994</v>
      </c>
      <c r="P98" s="11"/>
      <c r="Q98" s="11">
        <v>2128</v>
      </c>
      <c r="R98" s="11">
        <v>2102</v>
      </c>
      <c r="S98" s="11">
        <v>2028</v>
      </c>
      <c r="T98" s="11">
        <v>1773</v>
      </c>
      <c r="U98" s="11">
        <v>3198</v>
      </c>
      <c r="V98" s="11">
        <v>2603</v>
      </c>
      <c r="W98" s="11">
        <v>3003</v>
      </c>
      <c r="X98" s="11"/>
      <c r="Y98" s="11">
        <v>9</v>
      </c>
      <c r="Z98" s="11">
        <v>2251</v>
      </c>
      <c r="AA98" s="11">
        <v>2682</v>
      </c>
      <c r="AB98" s="11">
        <v>2491</v>
      </c>
      <c r="AC98" s="17">
        <f t="shared" si="11"/>
        <v>8.7269826854655799E-2</v>
      </c>
      <c r="AD98" s="11">
        <f t="shared" si="12"/>
        <v>2093.8571428571427</v>
      </c>
      <c r="AE98" s="11">
        <f t="shared" si="13"/>
        <v>2405</v>
      </c>
      <c r="AF98" s="28">
        <f t="shared" si="20"/>
        <v>1.1485979395510679</v>
      </c>
      <c r="AG98" s="42">
        <f t="shared" si="14"/>
        <v>0.28503786019238075</v>
      </c>
      <c r="AH98" s="14" t="str">
        <f t="shared" si="15"/>
        <v>-</v>
      </c>
      <c r="AI98" s="11">
        <f t="shared" si="16"/>
        <v>271</v>
      </c>
      <c r="AJ98" s="11">
        <f t="shared" si="17"/>
        <v>271</v>
      </c>
      <c r="AK98" s="11">
        <f t="shared" si="18"/>
        <v>0.40704668595738508</v>
      </c>
      <c r="AL98" s="42">
        <f t="shared" si="19"/>
        <v>0.40704668595738508</v>
      </c>
      <c r="AM98" s="14" t="str">
        <f t="shared" si="21"/>
        <v/>
      </c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</row>
    <row r="99" spans="1:56" ht="27" customHeight="1" x14ac:dyDescent="0.2">
      <c r="A99" s="9" t="s">
        <v>356</v>
      </c>
      <c r="B99" s="11">
        <v>1141</v>
      </c>
      <c r="C99" s="2">
        <v>511.30227078361702</v>
      </c>
      <c r="D99" s="2">
        <v>5.2964900000000004</v>
      </c>
      <c r="E99" s="2">
        <v>-1</v>
      </c>
      <c r="F99" s="12" t="s">
        <v>289</v>
      </c>
      <c r="G99" s="12" t="s">
        <v>164</v>
      </c>
      <c r="H99" s="5"/>
      <c r="I99" s="11">
        <v>2053</v>
      </c>
      <c r="J99" s="11">
        <v>2165</v>
      </c>
      <c r="K99" s="11">
        <v>1637</v>
      </c>
      <c r="L99" s="11">
        <v>2415</v>
      </c>
      <c r="M99" s="11">
        <v>2870</v>
      </c>
      <c r="N99" s="11">
        <v>2111</v>
      </c>
      <c r="O99" s="11">
        <v>2332</v>
      </c>
      <c r="P99" s="11"/>
      <c r="Q99" s="11">
        <v>2302</v>
      </c>
      <c r="R99" s="11">
        <v>1635</v>
      </c>
      <c r="S99" s="11">
        <v>2294</v>
      </c>
      <c r="T99" s="11">
        <v>1789</v>
      </c>
      <c r="U99" s="11">
        <v>1482</v>
      </c>
      <c r="V99" s="11">
        <v>1733</v>
      </c>
      <c r="W99" s="11">
        <v>2235</v>
      </c>
      <c r="X99" s="11"/>
      <c r="Y99" s="11">
        <v>147</v>
      </c>
      <c r="Z99" s="11">
        <v>2191</v>
      </c>
      <c r="AA99" s="11">
        <v>1531</v>
      </c>
      <c r="AB99" s="11">
        <v>2100</v>
      </c>
      <c r="AC99" s="17">
        <f t="shared" si="11"/>
        <v>0.18431165234203806</v>
      </c>
      <c r="AD99" s="11">
        <f t="shared" si="12"/>
        <v>2226.1428571428573</v>
      </c>
      <c r="AE99" s="11">
        <f t="shared" si="13"/>
        <v>1924.2857142857142</v>
      </c>
      <c r="AF99" s="28">
        <f t="shared" si="20"/>
        <v>0.86440351665276249</v>
      </c>
      <c r="AG99" s="42">
        <f t="shared" si="14"/>
        <v>0.14413911220517028</v>
      </c>
      <c r="AH99" s="14" t="str">
        <f t="shared" si="15"/>
        <v>-</v>
      </c>
      <c r="AI99" s="11">
        <f t="shared" si="16"/>
        <v>222</v>
      </c>
      <c r="AJ99" s="11">
        <f t="shared" si="17"/>
        <v>222</v>
      </c>
      <c r="AK99" s="11">
        <f t="shared" si="18"/>
        <v>0.25126953343874275</v>
      </c>
      <c r="AL99" s="42">
        <f t="shared" si="19"/>
        <v>0.25126953343874275</v>
      </c>
      <c r="AM99" s="14" t="str">
        <f t="shared" si="21"/>
        <v/>
      </c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</row>
    <row r="100" spans="1:56" ht="27" customHeight="1" x14ac:dyDescent="0.2">
      <c r="A100" s="9" t="s">
        <v>356</v>
      </c>
      <c r="B100" s="11">
        <v>3083</v>
      </c>
      <c r="C100" s="2">
        <v>531.27134844947102</v>
      </c>
      <c r="D100" s="2">
        <v>4.2993702380952099</v>
      </c>
      <c r="E100" s="2">
        <v>-1</v>
      </c>
      <c r="F100" s="12" t="s">
        <v>595</v>
      </c>
      <c r="G100" s="12" t="s">
        <v>164</v>
      </c>
      <c r="H100" s="5"/>
      <c r="I100" s="11">
        <v>650</v>
      </c>
      <c r="J100" s="11">
        <v>704</v>
      </c>
      <c r="K100" s="11">
        <v>715</v>
      </c>
      <c r="L100" s="11">
        <v>386</v>
      </c>
      <c r="M100" s="11">
        <v>695</v>
      </c>
      <c r="N100" s="11">
        <v>969</v>
      </c>
      <c r="O100" s="11">
        <v>540</v>
      </c>
      <c r="P100" s="11"/>
      <c r="Q100" s="11">
        <v>423</v>
      </c>
      <c r="R100" s="11">
        <v>554</v>
      </c>
      <c r="S100" s="11">
        <v>652</v>
      </c>
      <c r="T100" s="11">
        <v>443</v>
      </c>
      <c r="U100" s="11">
        <v>321</v>
      </c>
      <c r="V100" s="11">
        <v>842</v>
      </c>
      <c r="W100" s="11">
        <v>449</v>
      </c>
      <c r="X100" s="11"/>
      <c r="Y100" s="11">
        <v>9</v>
      </c>
      <c r="Z100" s="11">
        <v>478</v>
      </c>
      <c r="AA100" s="11">
        <v>496</v>
      </c>
      <c r="AB100" s="11">
        <v>359</v>
      </c>
      <c r="AC100" s="17">
        <f t="shared" si="11"/>
        <v>0.16754729718467795</v>
      </c>
      <c r="AD100" s="11">
        <f t="shared" si="12"/>
        <v>665.57142857142856</v>
      </c>
      <c r="AE100" s="11">
        <f t="shared" si="13"/>
        <v>526.28571428571433</v>
      </c>
      <c r="AF100" s="28">
        <f t="shared" si="20"/>
        <v>0.79072762395363816</v>
      </c>
      <c r="AG100" s="42">
        <f t="shared" si="14"/>
        <v>0.16517803640461051</v>
      </c>
      <c r="AH100" s="14" t="str">
        <f t="shared" si="15"/>
        <v>-</v>
      </c>
      <c r="AI100" s="11">
        <f t="shared" si="16"/>
        <v>229</v>
      </c>
      <c r="AJ100" s="11">
        <f t="shared" si="17"/>
        <v>229</v>
      </c>
      <c r="AK100" s="11">
        <f t="shared" si="18"/>
        <v>0.27914366850910161</v>
      </c>
      <c r="AL100" s="42">
        <f t="shared" si="19"/>
        <v>0.27914366850910161</v>
      </c>
      <c r="AM100" s="14" t="str">
        <f t="shared" si="21"/>
        <v/>
      </c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</row>
    <row r="101" spans="1:56" ht="27" customHeight="1" x14ac:dyDescent="0.2">
      <c r="A101" s="9" t="s">
        <v>356</v>
      </c>
      <c r="B101" s="11">
        <v>792</v>
      </c>
      <c r="C101" s="2">
        <v>661.27476576081597</v>
      </c>
      <c r="D101" s="2">
        <v>3.4924377777778601</v>
      </c>
      <c r="E101" s="2">
        <v>-1</v>
      </c>
      <c r="F101" s="12" t="s">
        <v>255</v>
      </c>
      <c r="G101" s="12" t="s">
        <v>217</v>
      </c>
      <c r="H101" s="5"/>
      <c r="I101" s="11">
        <v>1912</v>
      </c>
      <c r="J101" s="11">
        <v>1625</v>
      </c>
      <c r="K101" s="11">
        <v>1066</v>
      </c>
      <c r="L101" s="11">
        <v>1792</v>
      </c>
      <c r="M101" s="11">
        <v>1445</v>
      </c>
      <c r="N101" s="11">
        <v>2920</v>
      </c>
      <c r="O101" s="11">
        <v>635</v>
      </c>
      <c r="P101" s="11"/>
      <c r="Q101" s="11">
        <v>2550</v>
      </c>
      <c r="R101" s="11">
        <v>674</v>
      </c>
      <c r="S101" s="11">
        <v>870</v>
      </c>
      <c r="T101" s="11">
        <v>2489</v>
      </c>
      <c r="U101" s="11">
        <v>1587</v>
      </c>
      <c r="V101" s="11">
        <v>4365</v>
      </c>
      <c r="W101" s="11">
        <v>1702</v>
      </c>
      <c r="X101" s="11"/>
      <c r="Y101" s="11">
        <v>0</v>
      </c>
      <c r="Z101" s="11">
        <v>1574</v>
      </c>
      <c r="AA101" s="11">
        <v>2441</v>
      </c>
      <c r="AB101" s="11">
        <v>1964</v>
      </c>
      <c r="AC101" s="17">
        <f t="shared" si="11"/>
        <v>0.21787601566123552</v>
      </c>
      <c r="AD101" s="11">
        <f t="shared" si="12"/>
        <v>1627.8571428571429</v>
      </c>
      <c r="AE101" s="11">
        <f t="shared" si="13"/>
        <v>2033.8571428571429</v>
      </c>
      <c r="AF101" s="28">
        <f t="shared" si="20"/>
        <v>1.2494076349275998</v>
      </c>
      <c r="AG101" s="42">
        <f t="shared" si="14"/>
        <v>0.47519476554685824</v>
      </c>
      <c r="AH101" s="14" t="str">
        <f t="shared" si="15"/>
        <v>-</v>
      </c>
      <c r="AI101" s="11">
        <f t="shared" si="16"/>
        <v>314</v>
      </c>
      <c r="AJ101" s="11">
        <f t="shared" si="17"/>
        <v>314</v>
      </c>
      <c r="AK101" s="11">
        <f t="shared" si="18"/>
        <v>0.58566998174087304</v>
      </c>
      <c r="AL101" s="42">
        <f t="shared" si="19"/>
        <v>0.58566998174087304</v>
      </c>
      <c r="AM101" s="14" t="str">
        <f t="shared" si="21"/>
        <v/>
      </c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</row>
    <row r="102" spans="1:56" ht="27" customHeight="1" x14ac:dyDescent="0.2">
      <c r="A102" s="9" t="s">
        <v>356</v>
      </c>
      <c r="B102" s="11">
        <v>799</v>
      </c>
      <c r="C102" s="2">
        <v>709.27583361383995</v>
      </c>
      <c r="D102" s="2">
        <v>3.4888088235294701</v>
      </c>
      <c r="E102" s="2">
        <v>-1</v>
      </c>
      <c r="F102" s="12" t="s">
        <v>216</v>
      </c>
      <c r="G102" s="12" t="s">
        <v>217</v>
      </c>
      <c r="H102" s="5"/>
      <c r="I102" s="11">
        <v>1972</v>
      </c>
      <c r="J102" s="11">
        <v>1730</v>
      </c>
      <c r="K102" s="11">
        <v>960</v>
      </c>
      <c r="L102" s="11">
        <v>2426</v>
      </c>
      <c r="M102" s="11">
        <v>1194</v>
      </c>
      <c r="N102" s="11">
        <v>2875</v>
      </c>
      <c r="O102" s="11">
        <v>1036</v>
      </c>
      <c r="P102" s="11"/>
      <c r="Q102" s="11">
        <v>3827</v>
      </c>
      <c r="R102" s="11">
        <v>644</v>
      </c>
      <c r="S102" s="11">
        <v>2131</v>
      </c>
      <c r="T102" s="11">
        <v>3610</v>
      </c>
      <c r="U102" s="11">
        <v>3104</v>
      </c>
      <c r="V102" s="11">
        <v>4327</v>
      </c>
      <c r="W102" s="11">
        <v>2792</v>
      </c>
      <c r="X102" s="11"/>
      <c r="Y102" s="11">
        <v>0</v>
      </c>
      <c r="Z102" s="11">
        <v>2526</v>
      </c>
      <c r="AA102" s="11">
        <v>2002</v>
      </c>
      <c r="AB102" s="11">
        <v>2752</v>
      </c>
      <c r="AC102" s="17">
        <f t="shared" si="11"/>
        <v>0.15854695271569563</v>
      </c>
      <c r="AD102" s="11">
        <f t="shared" si="12"/>
        <v>1741.8571428571429</v>
      </c>
      <c r="AE102" s="11">
        <f t="shared" si="13"/>
        <v>2919.2857142857142</v>
      </c>
      <c r="AF102" s="28">
        <f t="shared" si="20"/>
        <v>1.6759616173214138</v>
      </c>
      <c r="AG102" s="42">
        <f t="shared" si="14"/>
        <v>5.5667217445934954E-2</v>
      </c>
      <c r="AH102" s="14" t="str">
        <f t="shared" si="15"/>
        <v>-</v>
      </c>
      <c r="AI102" s="11">
        <f t="shared" si="16"/>
        <v>164</v>
      </c>
      <c r="AJ102" s="11">
        <f t="shared" si="17"/>
        <v>164</v>
      </c>
      <c r="AK102" s="11">
        <f t="shared" si="18"/>
        <v>0.1313610558022977</v>
      </c>
      <c r="AL102" s="42">
        <f t="shared" si="19"/>
        <v>0.1313610558022977</v>
      </c>
      <c r="AM102" s="14" t="str">
        <f t="shared" si="21"/>
        <v/>
      </c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</row>
    <row r="103" spans="1:56" ht="27" customHeight="1" x14ac:dyDescent="0.2">
      <c r="A103" s="9" t="s">
        <v>356</v>
      </c>
      <c r="B103" s="11">
        <v>3210</v>
      </c>
      <c r="C103" s="2">
        <v>661.27412277375004</v>
      </c>
      <c r="D103" s="2">
        <v>3.6402935897436102</v>
      </c>
      <c r="E103" s="2">
        <v>-1</v>
      </c>
      <c r="F103" s="12" t="s">
        <v>255</v>
      </c>
      <c r="G103" s="12" t="s">
        <v>217</v>
      </c>
      <c r="H103" s="5"/>
      <c r="I103" s="11">
        <v>874</v>
      </c>
      <c r="J103" s="11">
        <v>549</v>
      </c>
      <c r="K103" s="11">
        <v>375</v>
      </c>
      <c r="L103" s="11">
        <v>880</v>
      </c>
      <c r="M103" s="11">
        <v>581</v>
      </c>
      <c r="N103" s="11">
        <v>846</v>
      </c>
      <c r="O103" s="11">
        <v>274</v>
      </c>
      <c r="P103" s="11"/>
      <c r="Q103" s="11">
        <v>712</v>
      </c>
      <c r="R103" s="11">
        <v>477</v>
      </c>
      <c r="S103" s="11">
        <v>621</v>
      </c>
      <c r="T103" s="11">
        <v>930</v>
      </c>
      <c r="U103" s="11">
        <v>488</v>
      </c>
      <c r="V103" s="11">
        <v>800</v>
      </c>
      <c r="W103" s="11">
        <v>364</v>
      </c>
      <c r="X103" s="11"/>
      <c r="Y103" s="11">
        <v>0</v>
      </c>
      <c r="Z103" s="11">
        <v>835</v>
      </c>
      <c r="AA103" s="11">
        <v>589</v>
      </c>
      <c r="AB103" s="11">
        <v>779</v>
      </c>
      <c r="AC103" s="17">
        <f t="shared" si="11"/>
        <v>0.17558683003225753</v>
      </c>
      <c r="AD103" s="11">
        <f t="shared" si="12"/>
        <v>625.57142857142856</v>
      </c>
      <c r="AE103" s="11">
        <f t="shared" si="13"/>
        <v>627.42857142857144</v>
      </c>
      <c r="AF103" s="28">
        <f t="shared" si="20"/>
        <v>1.0029687143183377</v>
      </c>
      <c r="AG103" s="42">
        <f t="shared" si="14"/>
        <v>0.98796226855395919</v>
      </c>
      <c r="AH103" s="14" t="str">
        <f t="shared" si="15"/>
        <v>-</v>
      </c>
      <c r="AI103" s="11">
        <f t="shared" si="16"/>
        <v>386</v>
      </c>
      <c r="AJ103" s="11">
        <f t="shared" si="17"/>
        <v>386</v>
      </c>
      <c r="AK103" s="11">
        <f t="shared" si="18"/>
        <v>0.99052175629632688</v>
      </c>
      <c r="AL103" s="42">
        <f t="shared" si="19"/>
        <v>0.99052175629632688</v>
      </c>
      <c r="AM103" s="14" t="str">
        <f t="shared" si="21"/>
        <v/>
      </c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</row>
    <row r="104" spans="1:56" ht="27" customHeight="1" x14ac:dyDescent="0.2">
      <c r="A104" s="9" t="s">
        <v>356</v>
      </c>
      <c r="B104" s="11">
        <v>447</v>
      </c>
      <c r="C104" s="2">
        <v>673.48023659320995</v>
      </c>
      <c r="D104" s="2">
        <v>7.6494715686274697</v>
      </c>
      <c r="E104" s="2">
        <v>-1</v>
      </c>
      <c r="F104" s="12" t="s">
        <v>209</v>
      </c>
      <c r="G104" s="12" t="s">
        <v>210</v>
      </c>
      <c r="H104" s="5"/>
      <c r="I104" s="11">
        <v>2646</v>
      </c>
      <c r="J104" s="11">
        <v>2499</v>
      </c>
      <c r="K104" s="11">
        <v>5026</v>
      </c>
      <c r="L104" s="11">
        <v>4021</v>
      </c>
      <c r="M104" s="11">
        <v>4330</v>
      </c>
      <c r="N104" s="11">
        <v>5638</v>
      </c>
      <c r="O104" s="11">
        <v>4020</v>
      </c>
      <c r="P104" s="11"/>
      <c r="Q104" s="11">
        <v>3424</v>
      </c>
      <c r="R104" s="11">
        <v>4673</v>
      </c>
      <c r="S104" s="11">
        <v>3558</v>
      </c>
      <c r="T104" s="11">
        <v>4813</v>
      </c>
      <c r="U104" s="11">
        <v>7966</v>
      </c>
      <c r="V104" s="11">
        <v>5306</v>
      </c>
      <c r="W104" s="11">
        <v>5997</v>
      </c>
      <c r="X104" s="11"/>
      <c r="Y104" s="11">
        <v>170</v>
      </c>
      <c r="Z104" s="11">
        <v>3631</v>
      </c>
      <c r="AA104" s="11">
        <v>5459</v>
      </c>
      <c r="AB104" s="11">
        <v>4751</v>
      </c>
      <c r="AC104" s="17">
        <f t="shared" si="11"/>
        <v>0.19977725566913185</v>
      </c>
      <c r="AD104" s="11">
        <f t="shared" si="12"/>
        <v>4025.7142857142858</v>
      </c>
      <c r="AE104" s="11">
        <f t="shared" si="13"/>
        <v>5105.2857142857147</v>
      </c>
      <c r="AF104" s="28">
        <f t="shared" si="20"/>
        <v>1.268168914123492</v>
      </c>
      <c r="AG104" s="42">
        <f t="shared" si="14"/>
        <v>0.16761206794841418</v>
      </c>
      <c r="AH104" s="14" t="str">
        <f t="shared" si="15"/>
        <v>-</v>
      </c>
      <c r="AI104" s="11">
        <f t="shared" si="16"/>
        <v>230</v>
      </c>
      <c r="AJ104" s="11">
        <f t="shared" si="17"/>
        <v>230</v>
      </c>
      <c r="AK104" s="11">
        <f t="shared" si="18"/>
        <v>0.28202552302624473</v>
      </c>
      <c r="AL104" s="42">
        <f t="shared" si="19"/>
        <v>0.28202552302624473</v>
      </c>
      <c r="AM104" s="14" t="str">
        <f t="shared" si="21"/>
        <v/>
      </c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</row>
    <row r="105" spans="1:56" ht="27" customHeight="1" x14ac:dyDescent="0.2">
      <c r="A105" s="9" t="s">
        <v>356</v>
      </c>
      <c r="B105" s="11">
        <v>823</v>
      </c>
      <c r="C105" s="2">
        <v>671.46532293248401</v>
      </c>
      <c r="D105" s="2">
        <v>7.3814068627451102</v>
      </c>
      <c r="E105" s="2">
        <v>-1</v>
      </c>
      <c r="F105" s="12" t="s">
        <v>263</v>
      </c>
      <c r="G105" s="12" t="s">
        <v>210</v>
      </c>
      <c r="H105" s="5"/>
      <c r="I105" s="11">
        <v>1953</v>
      </c>
      <c r="J105" s="11">
        <v>2837</v>
      </c>
      <c r="K105" s="11">
        <v>3793</v>
      </c>
      <c r="L105" s="11">
        <v>3238</v>
      </c>
      <c r="M105" s="11">
        <v>2698</v>
      </c>
      <c r="N105" s="11">
        <v>3377</v>
      </c>
      <c r="O105" s="11">
        <v>4167</v>
      </c>
      <c r="P105" s="11"/>
      <c r="Q105" s="11">
        <v>1621</v>
      </c>
      <c r="R105" s="11">
        <v>2585</v>
      </c>
      <c r="S105" s="11">
        <v>2051</v>
      </c>
      <c r="T105" s="11">
        <v>2546</v>
      </c>
      <c r="U105" s="11">
        <v>3186</v>
      </c>
      <c r="V105" s="11">
        <v>2017</v>
      </c>
      <c r="W105" s="11">
        <v>3020</v>
      </c>
      <c r="X105" s="11"/>
      <c r="Y105" s="11">
        <v>0</v>
      </c>
      <c r="Z105" s="11">
        <v>2318</v>
      </c>
      <c r="AA105" s="11">
        <v>2940</v>
      </c>
      <c r="AB105" s="11">
        <v>3165</v>
      </c>
      <c r="AC105" s="17">
        <f t="shared" si="11"/>
        <v>0.15626236892355991</v>
      </c>
      <c r="AD105" s="11">
        <f t="shared" si="12"/>
        <v>3151.8571428571427</v>
      </c>
      <c r="AE105" s="11">
        <f t="shared" si="13"/>
        <v>2432.2857142857142</v>
      </c>
      <c r="AF105" s="28">
        <f t="shared" si="20"/>
        <v>0.77169922494674348</v>
      </c>
      <c r="AG105" s="42">
        <f t="shared" si="14"/>
        <v>6.4219729258601768E-2</v>
      </c>
      <c r="AH105" s="14" t="str">
        <f t="shared" si="15"/>
        <v>-</v>
      </c>
      <c r="AI105" s="11">
        <f t="shared" si="16"/>
        <v>175</v>
      </c>
      <c r="AJ105" s="11">
        <f t="shared" si="17"/>
        <v>175</v>
      </c>
      <c r="AK105" s="11">
        <f t="shared" si="18"/>
        <v>0.14201734413187933</v>
      </c>
      <c r="AL105" s="42">
        <f t="shared" si="19"/>
        <v>0.14201734413187933</v>
      </c>
      <c r="AM105" s="14" t="str">
        <f t="shared" si="21"/>
        <v/>
      </c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</row>
    <row r="106" spans="1:56" ht="27" customHeight="1" x14ac:dyDescent="0.2">
      <c r="A106" s="9" t="s">
        <v>356</v>
      </c>
      <c r="B106" s="11">
        <v>1</v>
      </c>
      <c r="C106" s="2">
        <v>864.57612103742201</v>
      </c>
      <c r="D106" s="2">
        <v>7.8135892156862896</v>
      </c>
      <c r="E106" s="2">
        <v>-1</v>
      </c>
      <c r="F106" s="12" t="s">
        <v>8</v>
      </c>
      <c r="G106" s="12" t="s">
        <v>9</v>
      </c>
      <c r="H106" s="5"/>
      <c r="I106" s="11">
        <v>953112</v>
      </c>
      <c r="J106" s="11">
        <v>1142552</v>
      </c>
      <c r="K106" s="11">
        <v>1338772</v>
      </c>
      <c r="L106" s="11">
        <v>1388654</v>
      </c>
      <c r="M106" s="11">
        <v>1573487</v>
      </c>
      <c r="N106" s="11">
        <v>1408174</v>
      </c>
      <c r="O106" s="11">
        <v>1857483</v>
      </c>
      <c r="P106" s="11"/>
      <c r="Q106" s="11">
        <v>1264331</v>
      </c>
      <c r="R106" s="11">
        <v>1515326</v>
      </c>
      <c r="S106" s="11">
        <v>1043341</v>
      </c>
      <c r="T106" s="11">
        <v>1538656</v>
      </c>
      <c r="U106" s="11">
        <v>1642617</v>
      </c>
      <c r="V106" s="11">
        <v>1615383</v>
      </c>
      <c r="W106" s="11">
        <v>1702258</v>
      </c>
      <c r="X106" s="11"/>
      <c r="Y106" s="11">
        <v>0</v>
      </c>
      <c r="Z106" s="11">
        <v>1458155</v>
      </c>
      <c r="AA106" s="11">
        <v>1512131</v>
      </c>
      <c r="AB106" s="11">
        <v>1603552</v>
      </c>
      <c r="AC106" s="17">
        <f t="shared" si="11"/>
        <v>4.8207475126068766E-2</v>
      </c>
      <c r="AD106" s="11">
        <f t="shared" si="12"/>
        <v>1380319.142857143</v>
      </c>
      <c r="AE106" s="11">
        <f t="shared" si="13"/>
        <v>1474558.857142857</v>
      </c>
      <c r="AF106" s="28">
        <f t="shared" si="20"/>
        <v>1.0682738588198131</v>
      </c>
      <c r="AG106" s="42">
        <f t="shared" si="14"/>
        <v>0.51888373320085979</v>
      </c>
      <c r="AH106" s="14" t="str">
        <f t="shared" si="15"/>
        <v>-</v>
      </c>
      <c r="AI106" s="11">
        <f t="shared" si="16"/>
        <v>326</v>
      </c>
      <c r="AJ106" s="11">
        <f t="shared" si="17"/>
        <v>326</v>
      </c>
      <c r="AK106" s="11">
        <f t="shared" si="18"/>
        <v>0.6159754746893642</v>
      </c>
      <c r="AL106" s="42">
        <f t="shared" si="19"/>
        <v>0.61307583461299286</v>
      </c>
      <c r="AM106" s="14" t="str">
        <f t="shared" si="21"/>
        <v/>
      </c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</row>
    <row r="107" spans="1:56" ht="27" customHeight="1" x14ac:dyDescent="0.2">
      <c r="A107" s="9" t="s">
        <v>356</v>
      </c>
      <c r="B107" s="11">
        <v>4</v>
      </c>
      <c r="C107" s="2">
        <v>892.60703193593599</v>
      </c>
      <c r="D107" s="2">
        <v>8.3859000000000492</v>
      </c>
      <c r="E107" s="2">
        <v>-1</v>
      </c>
      <c r="F107" s="12" t="s">
        <v>13</v>
      </c>
      <c r="G107" s="12" t="s">
        <v>9</v>
      </c>
      <c r="H107" s="5"/>
      <c r="I107" s="11">
        <v>740937</v>
      </c>
      <c r="J107" s="11">
        <v>727119</v>
      </c>
      <c r="K107" s="11">
        <v>926402</v>
      </c>
      <c r="L107" s="11">
        <v>796482</v>
      </c>
      <c r="M107" s="11">
        <v>930042</v>
      </c>
      <c r="N107" s="11">
        <v>942447</v>
      </c>
      <c r="O107" s="11">
        <v>977340</v>
      </c>
      <c r="P107" s="11"/>
      <c r="Q107" s="11">
        <v>973232</v>
      </c>
      <c r="R107" s="11">
        <v>919639</v>
      </c>
      <c r="S107" s="11">
        <v>786278</v>
      </c>
      <c r="T107" s="11">
        <v>1082745</v>
      </c>
      <c r="U107" s="11">
        <v>1243666</v>
      </c>
      <c r="V107" s="11">
        <v>1104944</v>
      </c>
      <c r="W107" s="11">
        <v>1297839</v>
      </c>
      <c r="X107" s="11"/>
      <c r="Y107" s="11">
        <v>0</v>
      </c>
      <c r="Z107" s="11">
        <v>921975</v>
      </c>
      <c r="AA107" s="11">
        <v>1011095</v>
      </c>
      <c r="AB107" s="11">
        <v>1037406</v>
      </c>
      <c r="AC107" s="17">
        <f t="shared" si="11"/>
        <v>6.1097783388464305E-2</v>
      </c>
      <c r="AD107" s="11">
        <f t="shared" si="12"/>
        <v>862967</v>
      </c>
      <c r="AE107" s="11">
        <f t="shared" si="13"/>
        <v>1058334.7142857143</v>
      </c>
      <c r="AF107" s="28">
        <f t="shared" si="20"/>
        <v>1.2263907128380509</v>
      </c>
      <c r="AG107" s="42">
        <f t="shared" si="14"/>
        <v>3.3386253074918507E-2</v>
      </c>
      <c r="AH107" s="14" t="str">
        <f t="shared" si="15"/>
        <v>*</v>
      </c>
      <c r="AI107" s="11">
        <f t="shared" si="16"/>
        <v>140</v>
      </c>
      <c r="AJ107" s="11">
        <f t="shared" si="17"/>
        <v>140</v>
      </c>
      <c r="AK107" s="11">
        <f t="shared" si="18"/>
        <v>9.2289142428524734E-2</v>
      </c>
      <c r="AL107" s="42">
        <f t="shared" si="19"/>
        <v>9.2289142428524734E-2</v>
      </c>
      <c r="AM107" s="14" t="str">
        <f t="shared" si="21"/>
        <v>*</v>
      </c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</row>
    <row r="108" spans="1:56" ht="27" customHeight="1" x14ac:dyDescent="0.2">
      <c r="A108" s="9" t="s">
        <v>356</v>
      </c>
      <c r="B108" s="11">
        <v>17</v>
      </c>
      <c r="C108" s="2">
        <v>816.57589979442503</v>
      </c>
      <c r="D108" s="2">
        <v>7.8768421568626996</v>
      </c>
      <c r="E108" s="2">
        <v>-1</v>
      </c>
      <c r="F108" s="12" t="s">
        <v>24</v>
      </c>
      <c r="G108" s="12" t="s">
        <v>9</v>
      </c>
      <c r="H108" s="5"/>
      <c r="I108" s="11">
        <v>266553</v>
      </c>
      <c r="J108" s="11">
        <v>248998</v>
      </c>
      <c r="K108" s="11">
        <v>400760</v>
      </c>
      <c r="L108" s="11">
        <v>293183</v>
      </c>
      <c r="M108" s="11">
        <v>304761</v>
      </c>
      <c r="N108" s="11">
        <v>310797</v>
      </c>
      <c r="O108" s="11">
        <v>400210</v>
      </c>
      <c r="P108" s="11"/>
      <c r="Q108" s="11">
        <v>282755</v>
      </c>
      <c r="R108" s="11">
        <v>299092</v>
      </c>
      <c r="S108" s="11">
        <v>179319</v>
      </c>
      <c r="T108" s="11">
        <v>335318</v>
      </c>
      <c r="U108" s="11">
        <v>311746</v>
      </c>
      <c r="V108" s="11">
        <v>247036</v>
      </c>
      <c r="W108" s="11">
        <v>407569</v>
      </c>
      <c r="X108" s="11"/>
      <c r="Y108" s="11">
        <v>1500</v>
      </c>
      <c r="Z108" s="11">
        <v>298813</v>
      </c>
      <c r="AA108" s="11">
        <v>340285</v>
      </c>
      <c r="AB108" s="11">
        <v>332557</v>
      </c>
      <c r="AC108" s="17">
        <f t="shared" si="11"/>
        <v>6.8092452469526776E-2</v>
      </c>
      <c r="AD108" s="11">
        <f t="shared" si="12"/>
        <v>317894.57142857142</v>
      </c>
      <c r="AE108" s="11">
        <f t="shared" si="13"/>
        <v>294690.71428571426</v>
      </c>
      <c r="AF108" s="28">
        <f t="shared" si="20"/>
        <v>0.92700769617240575</v>
      </c>
      <c r="AG108" s="42">
        <f t="shared" si="14"/>
        <v>0.52350513421404599</v>
      </c>
      <c r="AH108" s="14" t="str">
        <f t="shared" si="15"/>
        <v>-</v>
      </c>
      <c r="AI108" s="11">
        <f t="shared" si="16"/>
        <v>329</v>
      </c>
      <c r="AJ108" s="11">
        <f t="shared" si="17"/>
        <v>329</v>
      </c>
      <c r="AK108" s="11">
        <f t="shared" si="18"/>
        <v>0.61579479313323948</v>
      </c>
      <c r="AL108" s="42">
        <f t="shared" si="19"/>
        <v>0.61579479313323948</v>
      </c>
      <c r="AM108" s="14" t="str">
        <f t="shared" si="21"/>
        <v/>
      </c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</row>
    <row r="109" spans="1:56" ht="27" customHeight="1" x14ac:dyDescent="0.2">
      <c r="A109" s="9" t="s">
        <v>356</v>
      </c>
      <c r="B109" s="11">
        <v>18</v>
      </c>
      <c r="C109" s="2">
        <v>888.57462238664198</v>
      </c>
      <c r="D109" s="2">
        <v>7.5592401960784699</v>
      </c>
      <c r="E109" s="2">
        <v>-1</v>
      </c>
      <c r="F109" s="12" t="s">
        <v>25</v>
      </c>
      <c r="G109" s="12" t="s">
        <v>9</v>
      </c>
      <c r="H109" s="5"/>
      <c r="I109" s="11">
        <v>182013</v>
      </c>
      <c r="J109" s="11">
        <v>197728</v>
      </c>
      <c r="K109" s="11">
        <v>314471</v>
      </c>
      <c r="L109" s="11">
        <v>276845</v>
      </c>
      <c r="M109" s="11">
        <v>290115</v>
      </c>
      <c r="N109" s="11">
        <v>291026</v>
      </c>
      <c r="O109" s="11">
        <v>371980</v>
      </c>
      <c r="P109" s="11"/>
      <c r="Q109" s="11">
        <v>188885</v>
      </c>
      <c r="R109" s="11">
        <v>229786</v>
      </c>
      <c r="S109" s="11">
        <v>158604</v>
      </c>
      <c r="T109" s="11">
        <v>217109</v>
      </c>
      <c r="U109" s="11">
        <v>244125</v>
      </c>
      <c r="V109" s="11">
        <v>214987</v>
      </c>
      <c r="W109" s="11">
        <v>289173</v>
      </c>
      <c r="X109" s="11"/>
      <c r="Y109" s="11">
        <v>202</v>
      </c>
      <c r="Z109" s="11">
        <v>238790</v>
      </c>
      <c r="AA109" s="11">
        <v>258620</v>
      </c>
      <c r="AB109" s="11">
        <v>286100</v>
      </c>
      <c r="AC109" s="17">
        <f t="shared" si="11"/>
        <v>9.0967032017806274E-2</v>
      </c>
      <c r="AD109" s="11">
        <f t="shared" si="12"/>
        <v>274882.57142857142</v>
      </c>
      <c r="AE109" s="11">
        <f t="shared" si="13"/>
        <v>220381.28571428571</v>
      </c>
      <c r="AF109" s="28">
        <f t="shared" si="20"/>
        <v>0.80172884213414763</v>
      </c>
      <c r="AG109" s="42">
        <f t="shared" si="14"/>
        <v>9.3218538708122772E-2</v>
      </c>
      <c r="AH109" s="14" t="str">
        <f t="shared" si="15"/>
        <v>-</v>
      </c>
      <c r="AI109" s="11">
        <f t="shared" si="16"/>
        <v>188</v>
      </c>
      <c r="AJ109" s="11">
        <f t="shared" si="17"/>
        <v>188</v>
      </c>
      <c r="AK109" s="11">
        <f t="shared" si="18"/>
        <v>0.19189135361725274</v>
      </c>
      <c r="AL109" s="42">
        <f t="shared" si="19"/>
        <v>0.19189135361725274</v>
      </c>
      <c r="AM109" s="14" t="str">
        <f t="shared" si="21"/>
        <v/>
      </c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</row>
    <row r="110" spans="1:56" ht="27" customHeight="1" x14ac:dyDescent="0.2">
      <c r="A110" s="9" t="s">
        <v>356</v>
      </c>
      <c r="B110" s="11">
        <v>24</v>
      </c>
      <c r="C110" s="2">
        <v>818.59043729283098</v>
      </c>
      <c r="D110" s="2">
        <v>8.2410843137255299</v>
      </c>
      <c r="E110" s="2">
        <v>-1</v>
      </c>
      <c r="F110" s="12" t="s">
        <v>35</v>
      </c>
      <c r="G110" s="12" t="s">
        <v>9</v>
      </c>
      <c r="H110" s="5"/>
      <c r="I110" s="11">
        <v>161973</v>
      </c>
      <c r="J110" s="11">
        <v>149001</v>
      </c>
      <c r="K110" s="11">
        <v>236692</v>
      </c>
      <c r="L110" s="11">
        <v>212772</v>
      </c>
      <c r="M110" s="11">
        <v>219607</v>
      </c>
      <c r="N110" s="11">
        <v>238295</v>
      </c>
      <c r="O110" s="11">
        <v>246792</v>
      </c>
      <c r="P110" s="11"/>
      <c r="Q110" s="11">
        <v>217774</v>
      </c>
      <c r="R110" s="11">
        <v>229835</v>
      </c>
      <c r="S110" s="11">
        <v>146771</v>
      </c>
      <c r="T110" s="11">
        <v>243527</v>
      </c>
      <c r="U110" s="11">
        <v>235782</v>
      </c>
      <c r="V110" s="11">
        <v>205579</v>
      </c>
      <c r="W110" s="11">
        <v>295914</v>
      </c>
      <c r="X110" s="11"/>
      <c r="Y110" s="11">
        <v>0</v>
      </c>
      <c r="Z110" s="11">
        <v>220739</v>
      </c>
      <c r="AA110" s="11">
        <v>224504</v>
      </c>
      <c r="AB110" s="11">
        <v>256875</v>
      </c>
      <c r="AC110" s="17">
        <f t="shared" si="11"/>
        <v>8.4881727202109195E-2</v>
      </c>
      <c r="AD110" s="11">
        <f t="shared" si="12"/>
        <v>209304.57142857142</v>
      </c>
      <c r="AE110" s="11">
        <f t="shared" si="13"/>
        <v>225026</v>
      </c>
      <c r="AF110" s="28">
        <f t="shared" si="20"/>
        <v>1.0751126860924476</v>
      </c>
      <c r="AG110" s="42">
        <f t="shared" si="14"/>
        <v>0.49621695255436649</v>
      </c>
      <c r="AH110" s="14" t="str">
        <f t="shared" si="15"/>
        <v>-</v>
      </c>
      <c r="AI110" s="11">
        <f t="shared" si="16"/>
        <v>317</v>
      </c>
      <c r="AJ110" s="11">
        <f t="shared" si="17"/>
        <v>317</v>
      </c>
      <c r="AK110" s="11">
        <f t="shared" si="18"/>
        <v>0.60579167393861144</v>
      </c>
      <c r="AL110" s="42">
        <f t="shared" si="19"/>
        <v>0.60548481134420329</v>
      </c>
      <c r="AM110" s="14" t="str">
        <f t="shared" si="21"/>
        <v/>
      </c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</row>
    <row r="111" spans="1:56" ht="27" customHeight="1" x14ac:dyDescent="0.2">
      <c r="A111" s="9" t="s">
        <v>356</v>
      </c>
      <c r="B111" s="11">
        <v>26</v>
      </c>
      <c r="C111" s="2">
        <v>840.57450666552302</v>
      </c>
      <c r="D111" s="2">
        <v>7.8689107843136998</v>
      </c>
      <c r="E111" s="2">
        <v>-1</v>
      </c>
      <c r="F111" s="12" t="s">
        <v>32</v>
      </c>
      <c r="G111" s="12" t="s">
        <v>9</v>
      </c>
      <c r="H111" s="5"/>
      <c r="I111" s="11">
        <v>128603</v>
      </c>
      <c r="J111" s="11">
        <v>133253</v>
      </c>
      <c r="K111" s="11">
        <v>180434</v>
      </c>
      <c r="L111" s="11">
        <v>152910</v>
      </c>
      <c r="M111" s="11">
        <v>187706</v>
      </c>
      <c r="N111" s="11">
        <v>219163</v>
      </c>
      <c r="O111" s="11">
        <v>223819</v>
      </c>
      <c r="P111" s="11"/>
      <c r="Q111" s="11">
        <v>176119</v>
      </c>
      <c r="R111" s="11">
        <v>213691</v>
      </c>
      <c r="S111" s="11">
        <v>157649</v>
      </c>
      <c r="T111" s="11">
        <v>240751</v>
      </c>
      <c r="U111" s="11">
        <v>233395</v>
      </c>
      <c r="V111" s="11">
        <v>200236</v>
      </c>
      <c r="W111" s="11">
        <v>268611</v>
      </c>
      <c r="X111" s="11"/>
      <c r="Y111" s="11">
        <v>543</v>
      </c>
      <c r="Z111" s="11">
        <v>196487</v>
      </c>
      <c r="AA111" s="11">
        <v>197270</v>
      </c>
      <c r="AB111" s="11">
        <v>200909</v>
      </c>
      <c r="AC111" s="17">
        <f t="shared" si="11"/>
        <v>1.1904398875134616E-2</v>
      </c>
      <c r="AD111" s="11">
        <f t="shared" si="12"/>
        <v>175126.85714285713</v>
      </c>
      <c r="AE111" s="11">
        <f t="shared" si="13"/>
        <v>212921.71428571429</v>
      </c>
      <c r="AF111" s="28">
        <f t="shared" si="20"/>
        <v>1.2158141689942312</v>
      </c>
      <c r="AG111" s="42">
        <f t="shared" si="14"/>
        <v>9.1051938576180574E-2</v>
      </c>
      <c r="AH111" s="14" t="str">
        <f t="shared" si="15"/>
        <v>-</v>
      </c>
      <c r="AI111" s="11">
        <f t="shared" si="16"/>
        <v>187</v>
      </c>
      <c r="AJ111" s="11">
        <f t="shared" si="17"/>
        <v>187</v>
      </c>
      <c r="AK111" s="11">
        <f t="shared" si="18"/>
        <v>0.18843369106407423</v>
      </c>
      <c r="AL111" s="42">
        <f t="shared" si="19"/>
        <v>0.18843369106407423</v>
      </c>
      <c r="AM111" s="14" t="str">
        <f t="shared" si="21"/>
        <v/>
      </c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</row>
    <row r="112" spans="1:56" ht="27" customHeight="1" x14ac:dyDescent="0.2">
      <c r="A112" s="9" t="s">
        <v>356</v>
      </c>
      <c r="B112" s="11">
        <v>27</v>
      </c>
      <c r="C112" s="2">
        <v>868.60636208189203</v>
      </c>
      <c r="D112" s="2">
        <v>8.4558294117647002</v>
      </c>
      <c r="E112" s="2">
        <v>-1</v>
      </c>
      <c r="F112" s="12" t="s">
        <v>33</v>
      </c>
      <c r="G112" s="12" t="s">
        <v>9</v>
      </c>
      <c r="H112" s="5"/>
      <c r="I112" s="11">
        <v>108019</v>
      </c>
      <c r="J112" s="11">
        <v>112483</v>
      </c>
      <c r="K112" s="11">
        <v>163842</v>
      </c>
      <c r="L112" s="11">
        <v>136192</v>
      </c>
      <c r="M112" s="11">
        <v>140820</v>
      </c>
      <c r="N112" s="11">
        <v>163157</v>
      </c>
      <c r="O112" s="11">
        <v>175171</v>
      </c>
      <c r="P112" s="11"/>
      <c r="Q112" s="11">
        <v>188127</v>
      </c>
      <c r="R112" s="11">
        <v>200885</v>
      </c>
      <c r="S112" s="11">
        <v>153882</v>
      </c>
      <c r="T112" s="11">
        <v>228323</v>
      </c>
      <c r="U112" s="11">
        <v>229221</v>
      </c>
      <c r="V112" s="11">
        <v>192378</v>
      </c>
      <c r="W112" s="11">
        <v>265607</v>
      </c>
      <c r="X112" s="11"/>
      <c r="Y112" s="11">
        <v>0</v>
      </c>
      <c r="Z112" s="11">
        <v>166643</v>
      </c>
      <c r="AA112" s="11">
        <v>203078</v>
      </c>
      <c r="AB112" s="11">
        <v>207430</v>
      </c>
      <c r="AC112" s="17">
        <f t="shared" si="11"/>
        <v>0.11642372238148702</v>
      </c>
      <c r="AD112" s="11">
        <f t="shared" si="12"/>
        <v>142812</v>
      </c>
      <c r="AE112" s="11">
        <f t="shared" si="13"/>
        <v>208346.14285714287</v>
      </c>
      <c r="AF112" s="28">
        <f t="shared" si="20"/>
        <v>1.4588840073463216</v>
      </c>
      <c r="AG112" s="42">
        <f t="shared" si="14"/>
        <v>2.5216621803085294E-3</v>
      </c>
      <c r="AH112" s="14" t="str">
        <f t="shared" si="15"/>
        <v>**</v>
      </c>
      <c r="AI112" s="11">
        <f t="shared" si="16"/>
        <v>34</v>
      </c>
      <c r="AJ112" s="11">
        <f t="shared" si="17"/>
        <v>34</v>
      </c>
      <c r="AK112" s="11">
        <f t="shared" si="18"/>
        <v>2.8702448934688263E-2</v>
      </c>
      <c r="AL112" s="42">
        <f t="shared" si="19"/>
        <v>2.8264250137547287E-2</v>
      </c>
      <c r="AM112" s="14" t="str">
        <f t="shared" si="21"/>
        <v>**</v>
      </c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</row>
    <row r="113" spans="1:56" ht="27" customHeight="1" x14ac:dyDescent="0.2">
      <c r="A113" s="9" t="s">
        <v>356</v>
      </c>
      <c r="B113" s="11">
        <v>33</v>
      </c>
      <c r="C113" s="2">
        <v>844.60602776895496</v>
      </c>
      <c r="D113" s="2">
        <v>8.4624470588235301</v>
      </c>
      <c r="E113" s="2">
        <v>-1</v>
      </c>
      <c r="F113" s="12" t="s">
        <v>39</v>
      </c>
      <c r="G113" s="12" t="s">
        <v>9</v>
      </c>
      <c r="H113" s="5"/>
      <c r="I113" s="11">
        <v>107516</v>
      </c>
      <c r="J113" s="11">
        <v>83251</v>
      </c>
      <c r="K113" s="11">
        <v>144627</v>
      </c>
      <c r="L113" s="11">
        <v>118180</v>
      </c>
      <c r="M113" s="11">
        <v>112739</v>
      </c>
      <c r="N113" s="11">
        <v>124045</v>
      </c>
      <c r="O113" s="11">
        <v>149033</v>
      </c>
      <c r="P113" s="11"/>
      <c r="Q113" s="11">
        <v>140688</v>
      </c>
      <c r="R113" s="11">
        <v>141528</v>
      </c>
      <c r="S113" s="11">
        <v>116589</v>
      </c>
      <c r="T113" s="11">
        <v>168884</v>
      </c>
      <c r="U113" s="11">
        <v>163076</v>
      </c>
      <c r="V113" s="11">
        <v>126531</v>
      </c>
      <c r="W113" s="11">
        <v>200657</v>
      </c>
      <c r="X113" s="11"/>
      <c r="Y113" s="11">
        <v>0</v>
      </c>
      <c r="Z113" s="11">
        <v>120914</v>
      </c>
      <c r="AA113" s="11">
        <v>145803</v>
      </c>
      <c r="AB113" s="11">
        <v>159537</v>
      </c>
      <c r="AC113" s="17">
        <f t="shared" si="11"/>
        <v>0.13779206197380303</v>
      </c>
      <c r="AD113" s="11">
        <f t="shared" si="12"/>
        <v>119913</v>
      </c>
      <c r="AE113" s="11">
        <f t="shared" si="13"/>
        <v>151136.14285714287</v>
      </c>
      <c r="AF113" s="28">
        <f t="shared" si="20"/>
        <v>1.2603816338273821</v>
      </c>
      <c r="AG113" s="42">
        <f t="shared" si="14"/>
        <v>4.3507274934066614E-2</v>
      </c>
      <c r="AH113" s="14" t="str">
        <f t="shared" si="15"/>
        <v>*</v>
      </c>
      <c r="AI113" s="11">
        <f t="shared" si="16"/>
        <v>154</v>
      </c>
      <c r="AJ113" s="11">
        <f t="shared" si="17"/>
        <v>154</v>
      </c>
      <c r="AK113" s="11">
        <f t="shared" si="18"/>
        <v>0.10933321687976481</v>
      </c>
      <c r="AL113" s="42">
        <f t="shared" si="19"/>
        <v>0.10933321687976481</v>
      </c>
      <c r="AM113" s="14" t="str">
        <f t="shared" si="21"/>
        <v/>
      </c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</row>
    <row r="114" spans="1:56" ht="27" customHeight="1" x14ac:dyDescent="0.2">
      <c r="A114" s="9" t="s">
        <v>356</v>
      </c>
      <c r="B114" s="11">
        <v>34</v>
      </c>
      <c r="C114" s="2">
        <v>792.57494486022097</v>
      </c>
      <c r="D114" s="2">
        <v>8.1409441176469901</v>
      </c>
      <c r="E114" s="2">
        <v>-1</v>
      </c>
      <c r="F114" s="12" t="s">
        <v>40</v>
      </c>
      <c r="G114" s="12" t="s">
        <v>9</v>
      </c>
      <c r="H114" s="5"/>
      <c r="I114" s="11">
        <v>107734</v>
      </c>
      <c r="J114" s="11">
        <v>116900</v>
      </c>
      <c r="K114" s="11">
        <v>177828</v>
      </c>
      <c r="L114" s="11">
        <v>141682</v>
      </c>
      <c r="M114" s="11">
        <v>140215</v>
      </c>
      <c r="N114" s="11">
        <v>153817</v>
      </c>
      <c r="O114" s="11">
        <v>198928</v>
      </c>
      <c r="P114" s="11"/>
      <c r="Q114" s="11">
        <v>108494</v>
      </c>
      <c r="R114" s="11">
        <v>135693</v>
      </c>
      <c r="S114" s="11">
        <v>100537</v>
      </c>
      <c r="T114" s="11">
        <v>143898</v>
      </c>
      <c r="U114" s="11">
        <v>130070</v>
      </c>
      <c r="V114" s="11">
        <v>130787</v>
      </c>
      <c r="W114" s="11">
        <v>174877</v>
      </c>
      <c r="X114" s="11"/>
      <c r="Y114" s="11">
        <v>991</v>
      </c>
      <c r="Z114" s="11">
        <v>139927</v>
      </c>
      <c r="AA114" s="11">
        <v>154067</v>
      </c>
      <c r="AB114" s="11">
        <v>172535</v>
      </c>
      <c r="AC114" s="17">
        <f t="shared" si="11"/>
        <v>0.10514973701475383</v>
      </c>
      <c r="AD114" s="11">
        <f t="shared" si="12"/>
        <v>148157.71428571429</v>
      </c>
      <c r="AE114" s="11">
        <f t="shared" si="13"/>
        <v>132050.85714285713</v>
      </c>
      <c r="AF114" s="28">
        <f t="shared" si="20"/>
        <v>0.89128573412116807</v>
      </c>
      <c r="AG114" s="42">
        <f t="shared" si="14"/>
        <v>0.31272120109361989</v>
      </c>
      <c r="AH114" s="14" t="str">
        <f t="shared" si="15"/>
        <v>-</v>
      </c>
      <c r="AI114" s="11">
        <f t="shared" si="16"/>
        <v>274</v>
      </c>
      <c r="AJ114" s="11">
        <f t="shared" si="17"/>
        <v>274</v>
      </c>
      <c r="AK114" s="11">
        <f t="shared" si="18"/>
        <v>0.44169016358843394</v>
      </c>
      <c r="AL114" s="42">
        <f t="shared" si="19"/>
        <v>0.44169016358843394</v>
      </c>
      <c r="AM114" s="14" t="str">
        <f t="shared" si="21"/>
        <v/>
      </c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</row>
    <row r="115" spans="1:56" ht="27" customHeight="1" x14ac:dyDescent="0.2">
      <c r="A115" s="9" t="s">
        <v>356</v>
      </c>
      <c r="B115" s="11">
        <v>47</v>
      </c>
      <c r="C115" s="2">
        <v>890.59087072869397</v>
      </c>
      <c r="D115" s="2">
        <v>7.8938249999999996</v>
      </c>
      <c r="E115" s="2">
        <v>-1</v>
      </c>
      <c r="F115" s="12" t="s">
        <v>50</v>
      </c>
      <c r="G115" s="12" t="s">
        <v>9</v>
      </c>
      <c r="H115" s="5"/>
      <c r="I115" s="11">
        <v>63269</v>
      </c>
      <c r="J115" s="11">
        <v>64376</v>
      </c>
      <c r="K115" s="11">
        <v>102811</v>
      </c>
      <c r="L115" s="11">
        <v>77683</v>
      </c>
      <c r="M115" s="11">
        <v>85713</v>
      </c>
      <c r="N115" s="11">
        <v>111937</v>
      </c>
      <c r="O115" s="11">
        <v>114998</v>
      </c>
      <c r="P115" s="11"/>
      <c r="Q115" s="11">
        <v>60469</v>
      </c>
      <c r="R115" s="11">
        <v>72315</v>
      </c>
      <c r="S115" s="11">
        <v>51981</v>
      </c>
      <c r="T115" s="11">
        <v>73384</v>
      </c>
      <c r="U115" s="11">
        <v>80612</v>
      </c>
      <c r="V115" s="11">
        <v>70723</v>
      </c>
      <c r="W115" s="11">
        <v>76261</v>
      </c>
      <c r="X115" s="11"/>
      <c r="Y115" s="11">
        <v>211</v>
      </c>
      <c r="Z115" s="11">
        <v>71106</v>
      </c>
      <c r="AA115" s="11">
        <v>91621</v>
      </c>
      <c r="AB115" s="11">
        <v>76103</v>
      </c>
      <c r="AC115" s="17">
        <f t="shared" si="11"/>
        <v>0.1343762217378511</v>
      </c>
      <c r="AD115" s="11">
        <f t="shared" si="12"/>
        <v>88683.857142857145</v>
      </c>
      <c r="AE115" s="11">
        <f t="shared" si="13"/>
        <v>69392.142857142855</v>
      </c>
      <c r="AF115" s="28">
        <f t="shared" si="20"/>
        <v>0.78246644984511593</v>
      </c>
      <c r="AG115" s="42">
        <f t="shared" si="14"/>
        <v>6.2198233755396522E-2</v>
      </c>
      <c r="AH115" s="14" t="str">
        <f t="shared" si="15"/>
        <v>-</v>
      </c>
      <c r="AI115" s="11">
        <f t="shared" si="16"/>
        <v>171</v>
      </c>
      <c r="AJ115" s="11">
        <f t="shared" si="17"/>
        <v>171</v>
      </c>
      <c r="AK115" s="11">
        <f t="shared" si="18"/>
        <v>0.14076442376221318</v>
      </c>
      <c r="AL115" s="42">
        <f t="shared" si="19"/>
        <v>0.13999845224717955</v>
      </c>
      <c r="AM115" s="14" t="str">
        <f t="shared" si="21"/>
        <v/>
      </c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</row>
    <row r="116" spans="1:56" ht="27" customHeight="1" x14ac:dyDescent="0.2">
      <c r="A116" s="9" t="s">
        <v>356</v>
      </c>
      <c r="B116" s="11">
        <v>52</v>
      </c>
      <c r="C116" s="2">
        <v>866.59050859917295</v>
      </c>
      <c r="D116" s="2">
        <v>7.9560214285714297</v>
      </c>
      <c r="E116" s="2">
        <v>-1</v>
      </c>
      <c r="F116" s="12" t="s">
        <v>55</v>
      </c>
      <c r="G116" s="12" t="s">
        <v>9</v>
      </c>
      <c r="H116" s="5"/>
      <c r="I116" s="11">
        <v>46826</v>
      </c>
      <c r="J116" s="11">
        <v>62283</v>
      </c>
      <c r="K116" s="11">
        <v>85342</v>
      </c>
      <c r="L116" s="11">
        <v>82877</v>
      </c>
      <c r="M116" s="11">
        <v>99045</v>
      </c>
      <c r="N116" s="11">
        <v>82867</v>
      </c>
      <c r="O116" s="11">
        <v>102906</v>
      </c>
      <c r="P116" s="11"/>
      <c r="Q116" s="11">
        <v>85874</v>
      </c>
      <c r="R116" s="11">
        <v>89258</v>
      </c>
      <c r="S116" s="11">
        <v>63650</v>
      </c>
      <c r="T116" s="11">
        <v>117153</v>
      </c>
      <c r="U116" s="11">
        <v>101941</v>
      </c>
      <c r="V116" s="11">
        <v>91751</v>
      </c>
      <c r="W116" s="11">
        <v>109930</v>
      </c>
      <c r="X116" s="11"/>
      <c r="Y116" s="11">
        <v>0</v>
      </c>
      <c r="Z116" s="11">
        <v>90580</v>
      </c>
      <c r="AA116" s="11">
        <v>90921</v>
      </c>
      <c r="AB116" s="11">
        <v>105306</v>
      </c>
      <c r="AC116" s="17">
        <f t="shared" si="11"/>
        <v>8.7919938754864979E-2</v>
      </c>
      <c r="AD116" s="11">
        <f t="shared" si="12"/>
        <v>80306.571428571435</v>
      </c>
      <c r="AE116" s="11">
        <f t="shared" si="13"/>
        <v>94222.428571428565</v>
      </c>
      <c r="AF116" s="28">
        <f t="shared" si="20"/>
        <v>1.1732841646120402</v>
      </c>
      <c r="AG116" s="42">
        <f t="shared" si="14"/>
        <v>0.1902812021337576</v>
      </c>
      <c r="AH116" s="14" t="str">
        <f t="shared" si="15"/>
        <v>-</v>
      </c>
      <c r="AI116" s="11">
        <f t="shared" si="16"/>
        <v>241</v>
      </c>
      <c r="AJ116" s="11">
        <f t="shared" si="17"/>
        <v>241</v>
      </c>
      <c r="AK116" s="11">
        <f t="shared" si="18"/>
        <v>0.30555529139321241</v>
      </c>
      <c r="AL116" s="42">
        <f t="shared" si="19"/>
        <v>0.30555529139321241</v>
      </c>
      <c r="AM116" s="14" t="str">
        <f t="shared" si="21"/>
        <v/>
      </c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</row>
    <row r="117" spans="1:56" ht="27" customHeight="1" x14ac:dyDescent="0.2">
      <c r="A117" s="9" t="s">
        <v>356</v>
      </c>
      <c r="B117" s="11">
        <v>56</v>
      </c>
      <c r="C117" s="2">
        <v>842.59039756675702</v>
      </c>
      <c r="D117" s="2">
        <v>7.9552176470588796</v>
      </c>
      <c r="E117" s="2">
        <v>-1</v>
      </c>
      <c r="F117" s="12" t="s">
        <v>59</v>
      </c>
      <c r="G117" s="12" t="s">
        <v>9</v>
      </c>
      <c r="H117" s="5"/>
      <c r="I117" s="11">
        <v>65866</v>
      </c>
      <c r="J117" s="11">
        <v>57326</v>
      </c>
      <c r="K117" s="11">
        <v>81246</v>
      </c>
      <c r="L117" s="11">
        <v>74729</v>
      </c>
      <c r="M117" s="11">
        <v>73767</v>
      </c>
      <c r="N117" s="11">
        <v>66710</v>
      </c>
      <c r="O117" s="11">
        <v>93391</v>
      </c>
      <c r="P117" s="11"/>
      <c r="Q117" s="11">
        <v>58494</v>
      </c>
      <c r="R117" s="11">
        <v>60029</v>
      </c>
      <c r="S117" s="11">
        <v>33638</v>
      </c>
      <c r="T117" s="11">
        <v>60777</v>
      </c>
      <c r="U117" s="11">
        <v>54116</v>
      </c>
      <c r="V117" s="11">
        <v>47279</v>
      </c>
      <c r="W117" s="11">
        <v>73449</v>
      </c>
      <c r="X117" s="11"/>
      <c r="Y117" s="11">
        <v>707</v>
      </c>
      <c r="Z117" s="11">
        <v>57698</v>
      </c>
      <c r="AA117" s="11">
        <v>68346</v>
      </c>
      <c r="AB117" s="11">
        <v>73905</v>
      </c>
      <c r="AC117" s="17">
        <f t="shared" si="11"/>
        <v>0.1235652951158758</v>
      </c>
      <c r="AD117" s="11">
        <f t="shared" si="12"/>
        <v>73290.71428571429</v>
      </c>
      <c r="AE117" s="11">
        <f t="shared" si="13"/>
        <v>55397.428571428572</v>
      </c>
      <c r="AF117" s="28">
        <f t="shared" si="20"/>
        <v>0.75585876207276304</v>
      </c>
      <c r="AG117" s="42">
        <f t="shared" si="14"/>
        <v>1.6941361111256031E-2</v>
      </c>
      <c r="AH117" s="14" t="str">
        <f t="shared" si="15"/>
        <v>*</v>
      </c>
      <c r="AI117" s="11">
        <f t="shared" si="16"/>
        <v>106</v>
      </c>
      <c r="AJ117" s="11">
        <f t="shared" si="17"/>
        <v>106</v>
      </c>
      <c r="AK117" s="11">
        <f t="shared" si="18"/>
        <v>6.1851950472227211E-2</v>
      </c>
      <c r="AL117" s="42">
        <f t="shared" si="19"/>
        <v>6.1851950472227211E-2</v>
      </c>
      <c r="AM117" s="14" t="str">
        <f t="shared" si="21"/>
        <v>*</v>
      </c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</row>
    <row r="118" spans="1:56" ht="27" customHeight="1" x14ac:dyDescent="0.2">
      <c r="A118" s="9" t="s">
        <v>356</v>
      </c>
      <c r="B118" s="11">
        <v>59</v>
      </c>
      <c r="C118" s="2">
        <v>846.62250003243605</v>
      </c>
      <c r="D118" s="2">
        <v>8.8843225490195792</v>
      </c>
      <c r="E118" s="2">
        <v>-1</v>
      </c>
      <c r="F118" s="12" t="s">
        <v>64</v>
      </c>
      <c r="G118" s="12" t="s">
        <v>9</v>
      </c>
      <c r="H118" s="5"/>
      <c r="I118" s="11">
        <v>36821</v>
      </c>
      <c r="J118" s="11">
        <v>35740</v>
      </c>
      <c r="K118" s="11">
        <v>48304</v>
      </c>
      <c r="L118" s="11">
        <v>49064</v>
      </c>
      <c r="M118" s="11">
        <v>53103</v>
      </c>
      <c r="N118" s="11">
        <v>49192</v>
      </c>
      <c r="O118" s="11">
        <v>57683</v>
      </c>
      <c r="P118" s="11"/>
      <c r="Q118" s="11">
        <v>58026</v>
      </c>
      <c r="R118" s="11">
        <v>61801</v>
      </c>
      <c r="S118" s="11">
        <v>41659</v>
      </c>
      <c r="T118" s="11">
        <v>68957</v>
      </c>
      <c r="U118" s="11">
        <v>79688</v>
      </c>
      <c r="V118" s="11">
        <v>63979</v>
      </c>
      <c r="W118" s="11">
        <v>87603</v>
      </c>
      <c r="X118" s="11"/>
      <c r="Y118" s="11">
        <v>0</v>
      </c>
      <c r="Z118" s="11">
        <v>55081</v>
      </c>
      <c r="AA118" s="11">
        <v>58008</v>
      </c>
      <c r="AB118" s="11">
        <v>62284</v>
      </c>
      <c r="AC118" s="17">
        <f t="shared" si="11"/>
        <v>6.1967792500756541E-2</v>
      </c>
      <c r="AD118" s="11">
        <f t="shared" si="12"/>
        <v>47129.571428571428</v>
      </c>
      <c r="AE118" s="11">
        <f t="shared" si="13"/>
        <v>65959</v>
      </c>
      <c r="AF118" s="28">
        <f t="shared" si="20"/>
        <v>1.3995247145407645</v>
      </c>
      <c r="AG118" s="42">
        <f t="shared" si="14"/>
        <v>1.6277184174407336E-2</v>
      </c>
      <c r="AH118" s="14" t="str">
        <f t="shared" si="15"/>
        <v>*</v>
      </c>
      <c r="AI118" s="11">
        <f t="shared" si="16"/>
        <v>100</v>
      </c>
      <c r="AJ118" s="11">
        <f t="shared" si="17"/>
        <v>100</v>
      </c>
      <c r="AK118" s="11">
        <f t="shared" si="18"/>
        <v>6.2992702754956387E-2</v>
      </c>
      <c r="AL118" s="42">
        <f t="shared" si="19"/>
        <v>6.1851950472227211E-2</v>
      </c>
      <c r="AM118" s="14" t="str">
        <f t="shared" si="21"/>
        <v>*</v>
      </c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</row>
    <row r="119" spans="1:56" ht="27" customHeight="1" x14ac:dyDescent="0.2">
      <c r="A119" s="9" t="s">
        <v>356</v>
      </c>
      <c r="B119" s="11">
        <v>77</v>
      </c>
      <c r="C119" s="2">
        <v>840.57373961613405</v>
      </c>
      <c r="D119" s="2">
        <v>7.6134735294117002</v>
      </c>
      <c r="E119" s="2">
        <v>-1</v>
      </c>
      <c r="F119" s="12" t="s">
        <v>73</v>
      </c>
      <c r="G119" s="12" t="s">
        <v>9</v>
      </c>
      <c r="H119" s="5"/>
      <c r="I119" s="11">
        <v>47228</v>
      </c>
      <c r="J119" s="11">
        <v>41594</v>
      </c>
      <c r="K119" s="11">
        <v>61433</v>
      </c>
      <c r="L119" s="11">
        <v>43800</v>
      </c>
      <c r="M119" s="11">
        <v>51119</v>
      </c>
      <c r="N119" s="11">
        <v>50610</v>
      </c>
      <c r="O119" s="11">
        <v>61962</v>
      </c>
      <c r="P119" s="11"/>
      <c r="Q119" s="11">
        <v>31377</v>
      </c>
      <c r="R119" s="11">
        <v>34344</v>
      </c>
      <c r="S119" s="11">
        <v>20059</v>
      </c>
      <c r="T119" s="11">
        <v>32936</v>
      </c>
      <c r="U119" s="11">
        <v>36587</v>
      </c>
      <c r="V119" s="11">
        <v>29694</v>
      </c>
      <c r="W119" s="11">
        <v>43895</v>
      </c>
      <c r="X119" s="11"/>
      <c r="Y119" s="11">
        <v>0</v>
      </c>
      <c r="Z119" s="11">
        <v>43018</v>
      </c>
      <c r="AA119" s="11">
        <v>44018</v>
      </c>
      <c r="AB119" s="11">
        <v>52249</v>
      </c>
      <c r="AC119" s="17">
        <f t="shared" si="11"/>
        <v>0.10910540117720616</v>
      </c>
      <c r="AD119" s="11">
        <f t="shared" si="12"/>
        <v>51106.571428571428</v>
      </c>
      <c r="AE119" s="11">
        <f t="shared" si="13"/>
        <v>32698.857142857141</v>
      </c>
      <c r="AF119" s="28">
        <f t="shared" si="20"/>
        <v>0.63981707692049661</v>
      </c>
      <c r="AG119" s="42">
        <f t="shared" si="14"/>
        <v>7.2281314686766917E-4</v>
      </c>
      <c r="AH119" s="14" t="str">
        <f t="shared" si="15"/>
        <v>***</v>
      </c>
      <c r="AI119" s="11">
        <f t="shared" si="16"/>
        <v>18</v>
      </c>
      <c r="AJ119" s="11">
        <f t="shared" si="17"/>
        <v>18</v>
      </c>
      <c r="AK119" s="11">
        <f t="shared" si="18"/>
        <v>1.5540482657654888E-2</v>
      </c>
      <c r="AL119" s="42">
        <f t="shared" si="19"/>
        <v>1.5540482657654888E-2</v>
      </c>
      <c r="AM119" s="14" t="str">
        <f t="shared" si="21"/>
        <v>**</v>
      </c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</row>
    <row r="120" spans="1:56" ht="27" customHeight="1" x14ac:dyDescent="0.2">
      <c r="A120" s="9" t="s">
        <v>356</v>
      </c>
      <c r="B120" s="11">
        <v>98</v>
      </c>
      <c r="C120" s="2">
        <v>838.55820502297399</v>
      </c>
      <c r="D120" s="2">
        <v>7.5906333333331997</v>
      </c>
      <c r="E120" s="2">
        <v>-1</v>
      </c>
      <c r="F120" s="12" t="s">
        <v>537</v>
      </c>
      <c r="G120" s="12" t="s">
        <v>9</v>
      </c>
      <c r="H120" s="5"/>
      <c r="I120" s="11">
        <v>11108</v>
      </c>
      <c r="J120" s="11">
        <v>14277</v>
      </c>
      <c r="K120" s="11">
        <v>22845</v>
      </c>
      <c r="L120" s="11">
        <v>21261</v>
      </c>
      <c r="M120" s="11">
        <v>21108</v>
      </c>
      <c r="N120" s="11">
        <v>24684</v>
      </c>
      <c r="O120" s="11">
        <v>24089</v>
      </c>
      <c r="P120" s="11"/>
      <c r="Q120" s="11">
        <v>33456</v>
      </c>
      <c r="R120" s="11">
        <v>25150</v>
      </c>
      <c r="S120" s="11">
        <v>26861</v>
      </c>
      <c r="T120" s="11">
        <v>39246</v>
      </c>
      <c r="U120" s="11">
        <v>42232</v>
      </c>
      <c r="V120" s="11">
        <v>30425</v>
      </c>
      <c r="W120" s="11">
        <v>45678</v>
      </c>
      <c r="X120" s="11"/>
      <c r="Y120" s="11">
        <v>229</v>
      </c>
      <c r="Z120" s="11">
        <v>26061</v>
      </c>
      <c r="AA120" s="11">
        <v>28372</v>
      </c>
      <c r="AB120" s="11">
        <v>31602</v>
      </c>
      <c r="AC120" s="17">
        <f t="shared" si="11"/>
        <v>9.7047923865966765E-2</v>
      </c>
      <c r="AD120" s="11">
        <f t="shared" si="12"/>
        <v>19910.285714285714</v>
      </c>
      <c r="AE120" s="11">
        <f t="shared" si="13"/>
        <v>34721.142857142855</v>
      </c>
      <c r="AF120" s="28">
        <f t="shared" si="20"/>
        <v>1.7438796888901644</v>
      </c>
      <c r="AG120" s="42">
        <f t="shared" si="14"/>
        <v>1.786249454327025E-3</v>
      </c>
      <c r="AH120" s="14" t="str">
        <f t="shared" si="15"/>
        <v>**</v>
      </c>
      <c r="AI120" s="11">
        <f t="shared" si="16"/>
        <v>29</v>
      </c>
      <c r="AJ120" s="11">
        <f t="shared" si="17"/>
        <v>29</v>
      </c>
      <c r="AK120" s="11">
        <f t="shared" si="18"/>
        <v>2.3837190993950298E-2</v>
      </c>
      <c r="AL120" s="42">
        <f t="shared" si="19"/>
        <v>2.3837190993950298E-2</v>
      </c>
      <c r="AM120" s="14" t="str">
        <f t="shared" si="21"/>
        <v>**</v>
      </c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</row>
    <row r="121" spans="1:56" ht="27" customHeight="1" x14ac:dyDescent="0.2">
      <c r="A121" s="9" t="s">
        <v>356</v>
      </c>
      <c r="B121" s="11">
        <v>99</v>
      </c>
      <c r="C121" s="2">
        <v>878.59070131923897</v>
      </c>
      <c r="D121" s="2">
        <v>8.0889470588236492</v>
      </c>
      <c r="E121" s="2">
        <v>-1</v>
      </c>
      <c r="F121" s="12" t="s">
        <v>82</v>
      </c>
      <c r="G121" s="12" t="s">
        <v>9</v>
      </c>
      <c r="H121" s="5"/>
      <c r="I121" s="11">
        <v>22608</v>
      </c>
      <c r="J121" s="11">
        <v>25103</v>
      </c>
      <c r="K121" s="11">
        <v>31529</v>
      </c>
      <c r="L121" s="11">
        <v>30704</v>
      </c>
      <c r="M121" s="11">
        <v>31711</v>
      </c>
      <c r="N121" s="11">
        <v>31225</v>
      </c>
      <c r="O121" s="11">
        <v>37480</v>
      </c>
      <c r="P121" s="11"/>
      <c r="Q121" s="11">
        <v>27617</v>
      </c>
      <c r="R121" s="11">
        <v>36280</v>
      </c>
      <c r="S121" s="11">
        <v>21069</v>
      </c>
      <c r="T121" s="11">
        <v>31100</v>
      </c>
      <c r="U121" s="11">
        <v>44877</v>
      </c>
      <c r="V121" s="11">
        <v>35155</v>
      </c>
      <c r="W121" s="11">
        <v>44022</v>
      </c>
      <c r="X121" s="11"/>
      <c r="Y121" s="11">
        <v>372</v>
      </c>
      <c r="Z121" s="11">
        <v>32437</v>
      </c>
      <c r="AA121" s="11">
        <v>28479</v>
      </c>
      <c r="AB121" s="11">
        <v>36599</v>
      </c>
      <c r="AC121" s="17">
        <f t="shared" si="11"/>
        <v>0.12491699957342768</v>
      </c>
      <c r="AD121" s="11">
        <f t="shared" si="12"/>
        <v>30051.428571428572</v>
      </c>
      <c r="AE121" s="11">
        <f t="shared" si="13"/>
        <v>34302.857142857145</v>
      </c>
      <c r="AF121" s="28">
        <f t="shared" si="20"/>
        <v>1.141471762692527</v>
      </c>
      <c r="AG121" s="42">
        <f t="shared" si="14"/>
        <v>0.28171266498313907</v>
      </c>
      <c r="AH121" s="14" t="str">
        <f t="shared" si="15"/>
        <v>-</v>
      </c>
      <c r="AI121" s="11">
        <f t="shared" si="16"/>
        <v>269</v>
      </c>
      <c r="AJ121" s="11">
        <f t="shared" si="17"/>
        <v>269</v>
      </c>
      <c r="AK121" s="11">
        <f t="shared" si="18"/>
        <v>0.40528922434377257</v>
      </c>
      <c r="AL121" s="42">
        <f t="shared" si="19"/>
        <v>0.40528922434377257</v>
      </c>
      <c r="AM121" s="14" t="str">
        <f t="shared" si="21"/>
        <v/>
      </c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</row>
    <row r="122" spans="1:56" ht="27" customHeight="1" x14ac:dyDescent="0.2">
      <c r="A122" s="9" t="s">
        <v>356</v>
      </c>
      <c r="B122" s="11">
        <v>119</v>
      </c>
      <c r="C122" s="2">
        <v>906.62080095591898</v>
      </c>
      <c r="D122" s="2">
        <v>8.7114794117647598</v>
      </c>
      <c r="E122" s="2">
        <v>-1</v>
      </c>
      <c r="F122" s="12" t="s">
        <v>93</v>
      </c>
      <c r="G122" s="12" t="s">
        <v>9</v>
      </c>
      <c r="H122" s="5"/>
      <c r="I122" s="11">
        <v>17109</v>
      </c>
      <c r="J122" s="11">
        <v>20268</v>
      </c>
      <c r="K122" s="11">
        <v>29907</v>
      </c>
      <c r="L122" s="11">
        <v>23181</v>
      </c>
      <c r="M122" s="11">
        <v>29220</v>
      </c>
      <c r="N122" s="11">
        <v>26298</v>
      </c>
      <c r="O122" s="11">
        <v>35965</v>
      </c>
      <c r="P122" s="11"/>
      <c r="Q122" s="11">
        <v>16111</v>
      </c>
      <c r="R122" s="11">
        <v>22068</v>
      </c>
      <c r="S122" s="11">
        <v>16380</v>
      </c>
      <c r="T122" s="11">
        <v>19956</v>
      </c>
      <c r="U122" s="11">
        <v>27342</v>
      </c>
      <c r="V122" s="11">
        <v>22959</v>
      </c>
      <c r="W122" s="11">
        <v>23014</v>
      </c>
      <c r="X122" s="11"/>
      <c r="Y122" s="11">
        <v>0</v>
      </c>
      <c r="Z122" s="11">
        <v>21369</v>
      </c>
      <c r="AA122" s="11">
        <v>25782</v>
      </c>
      <c r="AB122" s="11">
        <v>25276</v>
      </c>
      <c r="AC122" s="17">
        <f t="shared" si="11"/>
        <v>0.10003447745686359</v>
      </c>
      <c r="AD122" s="11">
        <f t="shared" si="12"/>
        <v>25992.571428571428</v>
      </c>
      <c r="AE122" s="11">
        <f t="shared" si="13"/>
        <v>21118.571428571428</v>
      </c>
      <c r="AF122" s="28">
        <f t="shared" si="20"/>
        <v>0.81248488579154488</v>
      </c>
      <c r="AG122" s="42">
        <f t="shared" si="14"/>
        <v>0.11746714088916252</v>
      </c>
      <c r="AH122" s="14" t="str">
        <f t="shared" si="15"/>
        <v>-</v>
      </c>
      <c r="AI122" s="11">
        <f t="shared" si="16"/>
        <v>208</v>
      </c>
      <c r="AJ122" s="11">
        <f t="shared" si="17"/>
        <v>208</v>
      </c>
      <c r="AK122" s="11">
        <f t="shared" si="18"/>
        <v>0.21855665155820142</v>
      </c>
      <c r="AL122" s="42">
        <f t="shared" si="19"/>
        <v>0.21855665155820142</v>
      </c>
      <c r="AM122" s="14" t="str">
        <f t="shared" si="21"/>
        <v/>
      </c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</row>
    <row r="123" spans="1:56" ht="27" customHeight="1" x14ac:dyDescent="0.2">
      <c r="A123" s="9" t="s">
        <v>356</v>
      </c>
      <c r="B123" s="11">
        <v>165</v>
      </c>
      <c r="C123" s="2">
        <v>936.57602637308696</v>
      </c>
      <c r="D123" s="2">
        <v>7.4573854166666198</v>
      </c>
      <c r="E123" s="2">
        <v>-1</v>
      </c>
      <c r="F123" s="12" t="s">
        <v>116</v>
      </c>
      <c r="G123" s="12" t="s">
        <v>9</v>
      </c>
      <c r="H123" s="5"/>
      <c r="I123" s="11">
        <v>5840</v>
      </c>
      <c r="J123" s="11">
        <v>3298</v>
      </c>
      <c r="K123" s="11">
        <v>9465</v>
      </c>
      <c r="L123" s="11">
        <v>6435</v>
      </c>
      <c r="M123" s="11">
        <v>12348</v>
      </c>
      <c r="N123" s="11">
        <v>11533</v>
      </c>
      <c r="O123" s="11">
        <v>14742</v>
      </c>
      <c r="P123" s="11"/>
      <c r="Q123" s="11">
        <v>8983</v>
      </c>
      <c r="R123" s="11">
        <v>7352</v>
      </c>
      <c r="S123" s="11">
        <v>7849</v>
      </c>
      <c r="T123" s="11">
        <v>12166</v>
      </c>
      <c r="U123" s="11">
        <v>23430</v>
      </c>
      <c r="V123" s="11">
        <v>12451</v>
      </c>
      <c r="W123" s="11">
        <v>11903</v>
      </c>
      <c r="X123" s="11"/>
      <c r="Y123" s="11">
        <v>108</v>
      </c>
      <c r="Z123" s="11">
        <v>11237</v>
      </c>
      <c r="AA123" s="11">
        <v>11687</v>
      </c>
      <c r="AB123" s="11">
        <v>13130</v>
      </c>
      <c r="AC123" s="17">
        <f t="shared" si="11"/>
        <v>8.2289524847402207E-2</v>
      </c>
      <c r="AD123" s="11">
        <f t="shared" si="12"/>
        <v>9094.4285714285706</v>
      </c>
      <c r="AE123" s="11">
        <f t="shared" si="13"/>
        <v>12019.142857142857</v>
      </c>
      <c r="AF123" s="28">
        <f t="shared" si="20"/>
        <v>1.3215940685820204</v>
      </c>
      <c r="AG123" s="42">
        <f t="shared" si="14"/>
        <v>0.28008044516127734</v>
      </c>
      <c r="AH123" s="14" t="str">
        <f t="shared" si="15"/>
        <v>-</v>
      </c>
      <c r="AI123" s="11">
        <f t="shared" si="16"/>
        <v>268</v>
      </c>
      <c r="AJ123" s="11">
        <f t="shared" si="17"/>
        <v>268</v>
      </c>
      <c r="AK123" s="11">
        <f t="shared" si="18"/>
        <v>0.40444452342318782</v>
      </c>
      <c r="AL123" s="42">
        <f t="shared" si="19"/>
        <v>0.40444452342318782</v>
      </c>
      <c r="AM123" s="14" t="str">
        <f t="shared" si="21"/>
        <v/>
      </c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</row>
    <row r="124" spans="1:56" ht="27" customHeight="1" x14ac:dyDescent="0.2">
      <c r="A124" s="9" t="s">
        <v>356</v>
      </c>
      <c r="B124" s="11">
        <v>176</v>
      </c>
      <c r="C124" s="2">
        <v>870.62100215015096</v>
      </c>
      <c r="D124" s="2">
        <v>8.6835025641025307</v>
      </c>
      <c r="E124" s="2">
        <v>-1</v>
      </c>
      <c r="F124" s="12" t="s">
        <v>113</v>
      </c>
      <c r="G124" s="12" t="s">
        <v>9</v>
      </c>
      <c r="H124" s="5"/>
      <c r="I124" s="11">
        <v>8302</v>
      </c>
      <c r="J124" s="11">
        <v>9940</v>
      </c>
      <c r="K124" s="11">
        <v>11193</v>
      </c>
      <c r="L124" s="11">
        <v>12304</v>
      </c>
      <c r="M124" s="11">
        <v>13233</v>
      </c>
      <c r="N124" s="11">
        <v>15861</v>
      </c>
      <c r="O124" s="11">
        <v>18688</v>
      </c>
      <c r="P124" s="11"/>
      <c r="Q124" s="11">
        <v>13799</v>
      </c>
      <c r="R124" s="11">
        <v>18040</v>
      </c>
      <c r="S124" s="11">
        <v>12296</v>
      </c>
      <c r="T124" s="11">
        <v>17924</v>
      </c>
      <c r="U124" s="11">
        <v>19689</v>
      </c>
      <c r="V124" s="11">
        <v>16913</v>
      </c>
      <c r="W124" s="11">
        <v>22075</v>
      </c>
      <c r="X124" s="11"/>
      <c r="Y124" s="11">
        <v>0</v>
      </c>
      <c r="Z124" s="11">
        <v>16135</v>
      </c>
      <c r="AA124" s="11">
        <v>16520</v>
      </c>
      <c r="AB124" s="11">
        <v>13883</v>
      </c>
      <c r="AC124" s="17">
        <f t="shared" si="11"/>
        <v>9.1821759099936756E-2</v>
      </c>
      <c r="AD124" s="11">
        <f t="shared" si="12"/>
        <v>12788.714285714286</v>
      </c>
      <c r="AE124" s="11">
        <f t="shared" si="13"/>
        <v>17248</v>
      </c>
      <c r="AF124" s="28">
        <f t="shared" si="20"/>
        <v>1.3486891343930474</v>
      </c>
      <c r="AG124" s="42">
        <f t="shared" si="14"/>
        <v>3.2248519945496018E-2</v>
      </c>
      <c r="AH124" s="14" t="str">
        <f t="shared" si="15"/>
        <v>*</v>
      </c>
      <c r="AI124" s="11">
        <f t="shared" si="16"/>
        <v>134</v>
      </c>
      <c r="AJ124" s="11">
        <f t="shared" si="17"/>
        <v>134</v>
      </c>
      <c r="AK124" s="11">
        <f t="shared" si="18"/>
        <v>9.3135650887365376E-2</v>
      </c>
      <c r="AL124" s="42">
        <f t="shared" si="19"/>
        <v>9.2289142428524734E-2</v>
      </c>
      <c r="AM124" s="14" t="str">
        <f t="shared" si="21"/>
        <v>*</v>
      </c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</row>
    <row r="125" spans="1:56" ht="27" customHeight="1" x14ac:dyDescent="0.2">
      <c r="A125" s="9" t="s">
        <v>356</v>
      </c>
      <c r="B125" s="11">
        <v>204</v>
      </c>
      <c r="C125" s="2">
        <v>850.55852551049895</v>
      </c>
      <c r="D125" s="2">
        <v>7.5708041666666803</v>
      </c>
      <c r="E125" s="2">
        <v>-1</v>
      </c>
      <c r="F125" s="12" t="s">
        <v>124</v>
      </c>
      <c r="G125" s="12" t="s">
        <v>9</v>
      </c>
      <c r="H125" s="5"/>
      <c r="I125" s="11">
        <v>7289</v>
      </c>
      <c r="J125" s="11">
        <v>14099</v>
      </c>
      <c r="K125" s="11">
        <v>19265</v>
      </c>
      <c r="L125" s="11">
        <v>17694</v>
      </c>
      <c r="M125" s="11">
        <v>18110</v>
      </c>
      <c r="N125" s="11">
        <v>11951</v>
      </c>
      <c r="O125" s="11">
        <v>15489</v>
      </c>
      <c r="P125" s="11"/>
      <c r="Q125" s="11">
        <v>8631</v>
      </c>
      <c r="R125" s="11">
        <v>15296</v>
      </c>
      <c r="S125" s="11">
        <v>10003</v>
      </c>
      <c r="T125" s="11">
        <v>16245</v>
      </c>
      <c r="U125" s="11">
        <v>15100</v>
      </c>
      <c r="V125" s="11">
        <v>15288</v>
      </c>
      <c r="W125" s="11">
        <v>18375</v>
      </c>
      <c r="X125" s="11"/>
      <c r="Y125" s="11">
        <v>0</v>
      </c>
      <c r="Z125" s="11">
        <v>13752</v>
      </c>
      <c r="AA125" s="11">
        <v>14488</v>
      </c>
      <c r="AB125" s="11">
        <v>19067</v>
      </c>
      <c r="AC125" s="17">
        <f t="shared" si="11"/>
        <v>0.18262170220554005</v>
      </c>
      <c r="AD125" s="11">
        <f t="shared" si="12"/>
        <v>14842.428571428571</v>
      </c>
      <c r="AE125" s="11">
        <f t="shared" si="13"/>
        <v>14134</v>
      </c>
      <c r="AF125" s="28">
        <f t="shared" si="20"/>
        <v>0.95227003667093379</v>
      </c>
      <c r="AG125" s="42">
        <f t="shared" si="14"/>
        <v>0.73700467333821096</v>
      </c>
      <c r="AH125" s="14" t="str">
        <f t="shared" si="15"/>
        <v>-</v>
      </c>
      <c r="AI125" s="11">
        <f t="shared" si="16"/>
        <v>354</v>
      </c>
      <c r="AJ125" s="11">
        <f t="shared" si="17"/>
        <v>354</v>
      </c>
      <c r="AK125" s="11">
        <f t="shared" si="18"/>
        <v>0.80570849881889162</v>
      </c>
      <c r="AL125" s="42">
        <f t="shared" si="19"/>
        <v>0.80570849881889162</v>
      </c>
      <c r="AM125" s="14" t="str">
        <f t="shared" si="21"/>
        <v/>
      </c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</row>
    <row r="126" spans="1:56" ht="27" customHeight="1" x14ac:dyDescent="0.2">
      <c r="A126" s="9" t="s">
        <v>356</v>
      </c>
      <c r="B126" s="11">
        <v>286</v>
      </c>
      <c r="C126" s="2">
        <v>876.57201274542604</v>
      </c>
      <c r="D126" s="2">
        <v>7.6678802083335</v>
      </c>
      <c r="E126" s="2">
        <v>-1</v>
      </c>
      <c r="F126" s="12" t="s">
        <v>168</v>
      </c>
      <c r="G126" s="12" t="s">
        <v>9</v>
      </c>
      <c r="H126" s="5"/>
      <c r="I126" s="11">
        <v>2048</v>
      </c>
      <c r="J126" s="11">
        <v>5250</v>
      </c>
      <c r="K126" s="11">
        <v>10565</v>
      </c>
      <c r="L126" s="11">
        <v>6483</v>
      </c>
      <c r="M126" s="11">
        <v>9259</v>
      </c>
      <c r="N126" s="11">
        <v>7758</v>
      </c>
      <c r="O126" s="11">
        <v>9809</v>
      </c>
      <c r="P126" s="11"/>
      <c r="Q126" s="11">
        <v>7908</v>
      </c>
      <c r="R126" s="11">
        <v>10734</v>
      </c>
      <c r="S126" s="11">
        <v>6830</v>
      </c>
      <c r="T126" s="11">
        <v>12696</v>
      </c>
      <c r="U126" s="11">
        <v>13319</v>
      </c>
      <c r="V126" s="11">
        <v>11987</v>
      </c>
      <c r="W126" s="11">
        <v>12261</v>
      </c>
      <c r="X126" s="11"/>
      <c r="Y126" s="11">
        <v>0</v>
      </c>
      <c r="Z126" s="11">
        <v>9535</v>
      </c>
      <c r="AA126" s="11">
        <v>9735</v>
      </c>
      <c r="AB126" s="11">
        <v>11985</v>
      </c>
      <c r="AC126" s="17">
        <f t="shared" si="11"/>
        <v>0.13058262893708253</v>
      </c>
      <c r="AD126" s="11">
        <f t="shared" si="12"/>
        <v>7310.2857142857147</v>
      </c>
      <c r="AE126" s="11">
        <f t="shared" si="13"/>
        <v>10819.285714285714</v>
      </c>
      <c r="AF126" s="28">
        <f t="shared" si="20"/>
        <v>1.4800085984522784</v>
      </c>
      <c r="AG126" s="42">
        <f t="shared" si="14"/>
        <v>3.5146413099219259E-2</v>
      </c>
      <c r="AH126" s="14" t="str">
        <f t="shared" si="15"/>
        <v>*</v>
      </c>
      <c r="AI126" s="11">
        <f t="shared" si="16"/>
        <v>141</v>
      </c>
      <c r="AJ126" s="11">
        <f t="shared" si="17"/>
        <v>141</v>
      </c>
      <c r="AK126" s="11">
        <f t="shared" si="18"/>
        <v>9.6465687017006058E-2</v>
      </c>
      <c r="AL126" s="42">
        <f t="shared" si="19"/>
        <v>9.6465687017006058E-2</v>
      </c>
      <c r="AM126" s="14" t="str">
        <f t="shared" si="21"/>
        <v>*</v>
      </c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</row>
    <row r="127" spans="1:56" ht="27" customHeight="1" x14ac:dyDescent="0.2">
      <c r="A127" s="9" t="s">
        <v>356</v>
      </c>
      <c r="B127" s="11">
        <v>314</v>
      </c>
      <c r="C127" s="2">
        <v>830.59079512167898</v>
      </c>
      <c r="D127" s="2">
        <v>8.1476196078431098</v>
      </c>
      <c r="E127" s="2">
        <v>-1</v>
      </c>
      <c r="F127" s="12" t="s">
        <v>545</v>
      </c>
      <c r="G127" s="12" t="s">
        <v>9</v>
      </c>
      <c r="H127" s="5"/>
      <c r="I127" s="11">
        <v>5556</v>
      </c>
      <c r="J127" s="11">
        <v>5460</v>
      </c>
      <c r="K127" s="11">
        <v>7925</v>
      </c>
      <c r="L127" s="11">
        <v>5390</v>
      </c>
      <c r="M127" s="11">
        <v>5870</v>
      </c>
      <c r="N127" s="11">
        <v>6238</v>
      </c>
      <c r="O127" s="11">
        <v>8578</v>
      </c>
      <c r="P127" s="11"/>
      <c r="Q127" s="11">
        <v>5954</v>
      </c>
      <c r="R127" s="11">
        <v>7510</v>
      </c>
      <c r="S127" s="11">
        <v>5581</v>
      </c>
      <c r="T127" s="11">
        <v>7048</v>
      </c>
      <c r="U127" s="11">
        <v>8582</v>
      </c>
      <c r="V127" s="11">
        <v>5320</v>
      </c>
      <c r="W127" s="11">
        <v>11709</v>
      </c>
      <c r="X127" s="11"/>
      <c r="Y127" s="11">
        <v>0</v>
      </c>
      <c r="Z127" s="11">
        <v>7012</v>
      </c>
      <c r="AA127" s="11">
        <v>8104</v>
      </c>
      <c r="AB127" s="11">
        <v>7719</v>
      </c>
      <c r="AC127" s="17">
        <f t="shared" si="11"/>
        <v>7.2764074153313901E-2</v>
      </c>
      <c r="AD127" s="11">
        <f t="shared" si="12"/>
        <v>6431</v>
      </c>
      <c r="AE127" s="11">
        <f t="shared" si="13"/>
        <v>7386.2857142857147</v>
      </c>
      <c r="AF127" s="28">
        <f t="shared" si="20"/>
        <v>1.1485438834218185</v>
      </c>
      <c r="AG127" s="42">
        <f t="shared" si="14"/>
        <v>0.35054521622043644</v>
      </c>
      <c r="AH127" s="14" t="str">
        <f t="shared" si="15"/>
        <v>-</v>
      </c>
      <c r="AI127" s="11">
        <f t="shared" si="16"/>
        <v>281</v>
      </c>
      <c r="AJ127" s="11">
        <f t="shared" si="17"/>
        <v>281</v>
      </c>
      <c r="AK127" s="11">
        <f t="shared" si="18"/>
        <v>0.48277935472351918</v>
      </c>
      <c r="AL127" s="42">
        <f t="shared" si="19"/>
        <v>0.48277935472351918</v>
      </c>
      <c r="AM127" s="14" t="str">
        <f t="shared" si="21"/>
        <v/>
      </c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</row>
    <row r="128" spans="1:56" ht="27" customHeight="1" x14ac:dyDescent="0.2">
      <c r="A128" s="9" t="s">
        <v>356</v>
      </c>
      <c r="B128" s="11">
        <v>325</v>
      </c>
      <c r="C128" s="2">
        <v>814.55922992359604</v>
      </c>
      <c r="D128" s="2">
        <v>7.48507424242427</v>
      </c>
      <c r="E128" s="2">
        <v>-1</v>
      </c>
      <c r="F128" s="12" t="s">
        <v>153</v>
      </c>
      <c r="G128" s="12" t="s">
        <v>9</v>
      </c>
      <c r="H128" s="5"/>
      <c r="I128" s="11">
        <v>6305</v>
      </c>
      <c r="J128" s="11">
        <v>5259</v>
      </c>
      <c r="K128" s="11">
        <v>7145</v>
      </c>
      <c r="L128" s="11">
        <v>5901</v>
      </c>
      <c r="M128" s="11">
        <v>5615</v>
      </c>
      <c r="N128" s="11">
        <v>7373</v>
      </c>
      <c r="O128" s="11">
        <v>8930</v>
      </c>
      <c r="P128" s="11"/>
      <c r="Q128" s="11">
        <v>7735</v>
      </c>
      <c r="R128" s="11">
        <v>7505</v>
      </c>
      <c r="S128" s="11">
        <v>4439</v>
      </c>
      <c r="T128" s="11">
        <v>9368</v>
      </c>
      <c r="U128" s="11">
        <v>10589</v>
      </c>
      <c r="V128" s="11">
        <v>7095</v>
      </c>
      <c r="W128" s="11">
        <v>11268</v>
      </c>
      <c r="X128" s="11"/>
      <c r="Y128" s="11">
        <v>0</v>
      </c>
      <c r="Z128" s="11">
        <v>8962</v>
      </c>
      <c r="AA128" s="11">
        <v>6712</v>
      </c>
      <c r="AB128" s="11">
        <v>9332</v>
      </c>
      <c r="AC128" s="17">
        <f t="shared" si="11"/>
        <v>0.17011533588685809</v>
      </c>
      <c r="AD128" s="11">
        <f t="shared" si="12"/>
        <v>6646.8571428571431</v>
      </c>
      <c r="AE128" s="11">
        <f t="shared" si="13"/>
        <v>8285.5714285714294</v>
      </c>
      <c r="AF128" s="28">
        <f t="shared" si="20"/>
        <v>1.2465397180192572</v>
      </c>
      <c r="AG128" s="42">
        <f t="shared" si="14"/>
        <v>0.1353106625504506</v>
      </c>
      <c r="AH128" s="14" t="str">
        <f t="shared" si="15"/>
        <v>-</v>
      </c>
      <c r="AI128" s="11">
        <f t="shared" si="16"/>
        <v>221</v>
      </c>
      <c r="AJ128" s="11">
        <f t="shared" si="17"/>
        <v>221</v>
      </c>
      <c r="AK128" s="11">
        <f t="shared" si="18"/>
        <v>0.23694672582363974</v>
      </c>
      <c r="AL128" s="42">
        <f t="shared" si="19"/>
        <v>0.23694672582363974</v>
      </c>
      <c r="AM128" s="14" t="str">
        <f t="shared" si="21"/>
        <v/>
      </c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</row>
    <row r="129" spans="1:56" ht="27" customHeight="1" x14ac:dyDescent="0.2">
      <c r="A129" s="9" t="s">
        <v>356</v>
      </c>
      <c r="B129" s="11">
        <v>355</v>
      </c>
      <c r="C129" s="2">
        <v>872.63786879561997</v>
      </c>
      <c r="D129" s="2">
        <v>9.0491589743590701</v>
      </c>
      <c r="E129" s="2">
        <v>-1</v>
      </c>
      <c r="F129" s="12" t="s">
        <v>180</v>
      </c>
      <c r="G129" s="12" t="s">
        <v>9</v>
      </c>
      <c r="H129" s="5"/>
      <c r="I129" s="11">
        <v>3236</v>
      </c>
      <c r="J129" s="11">
        <v>3613</v>
      </c>
      <c r="K129" s="11">
        <v>5875</v>
      </c>
      <c r="L129" s="11">
        <v>2620</v>
      </c>
      <c r="M129" s="11">
        <v>5021</v>
      </c>
      <c r="N129" s="11">
        <v>3695</v>
      </c>
      <c r="O129" s="11">
        <v>6251</v>
      </c>
      <c r="P129" s="11"/>
      <c r="Q129" s="11">
        <v>5781</v>
      </c>
      <c r="R129" s="11">
        <v>6027</v>
      </c>
      <c r="S129" s="11">
        <v>5839</v>
      </c>
      <c r="T129" s="11">
        <v>8384</v>
      </c>
      <c r="U129" s="11">
        <v>10300</v>
      </c>
      <c r="V129" s="11">
        <v>8323</v>
      </c>
      <c r="W129" s="11">
        <v>9113</v>
      </c>
      <c r="X129" s="11"/>
      <c r="Y129" s="11">
        <v>0</v>
      </c>
      <c r="Z129" s="11">
        <v>6812</v>
      </c>
      <c r="AA129" s="11">
        <v>6134</v>
      </c>
      <c r="AB129" s="11">
        <v>6434</v>
      </c>
      <c r="AC129" s="17">
        <f t="shared" si="11"/>
        <v>5.2592409391076289E-2</v>
      </c>
      <c r="AD129" s="11">
        <f t="shared" si="12"/>
        <v>4330.1428571428569</v>
      </c>
      <c r="AE129" s="11">
        <f t="shared" si="13"/>
        <v>7681</v>
      </c>
      <c r="AF129" s="28">
        <f t="shared" si="20"/>
        <v>1.7738444789020489</v>
      </c>
      <c r="AG129" s="42">
        <f t="shared" si="14"/>
        <v>2.4074068508575636E-3</v>
      </c>
      <c r="AH129" s="14" t="str">
        <f t="shared" si="15"/>
        <v>**</v>
      </c>
      <c r="AI129" s="11">
        <f t="shared" si="16"/>
        <v>32</v>
      </c>
      <c r="AJ129" s="11">
        <f t="shared" si="17"/>
        <v>32</v>
      </c>
      <c r="AK129" s="11">
        <f t="shared" si="18"/>
        <v>2.9114576602558659E-2</v>
      </c>
      <c r="AL129" s="42">
        <f t="shared" si="19"/>
        <v>2.8264250137547287E-2</v>
      </c>
      <c r="AM129" s="14" t="str">
        <f t="shared" si="21"/>
        <v>**</v>
      </c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</row>
    <row r="130" spans="1:56" ht="27" customHeight="1" x14ac:dyDescent="0.2">
      <c r="A130" s="9" t="s">
        <v>356</v>
      </c>
      <c r="B130" s="11">
        <v>382</v>
      </c>
      <c r="C130" s="2">
        <v>920.63804969948603</v>
      </c>
      <c r="D130" s="2">
        <v>9.0538431372549404</v>
      </c>
      <c r="E130" s="2">
        <v>-1</v>
      </c>
      <c r="F130" s="12" t="s">
        <v>154</v>
      </c>
      <c r="G130" s="12" t="s">
        <v>9</v>
      </c>
      <c r="H130" s="5"/>
      <c r="I130" s="11">
        <v>4565</v>
      </c>
      <c r="J130" s="11">
        <v>5470</v>
      </c>
      <c r="K130" s="11">
        <v>8457</v>
      </c>
      <c r="L130" s="11">
        <v>6440</v>
      </c>
      <c r="M130" s="11">
        <v>8169</v>
      </c>
      <c r="N130" s="11">
        <v>6938</v>
      </c>
      <c r="O130" s="11">
        <v>9612</v>
      </c>
      <c r="P130" s="11"/>
      <c r="Q130" s="11">
        <v>8093</v>
      </c>
      <c r="R130" s="11">
        <v>5647</v>
      </c>
      <c r="S130" s="11">
        <v>5539</v>
      </c>
      <c r="T130" s="11">
        <v>8439</v>
      </c>
      <c r="U130" s="11">
        <v>9465</v>
      </c>
      <c r="V130" s="11">
        <v>7351</v>
      </c>
      <c r="W130" s="11">
        <v>9102</v>
      </c>
      <c r="X130" s="11"/>
      <c r="Y130" s="11">
        <v>0</v>
      </c>
      <c r="Z130" s="11">
        <v>7068</v>
      </c>
      <c r="AA130" s="11">
        <v>7899</v>
      </c>
      <c r="AB130" s="11">
        <v>7998</v>
      </c>
      <c r="AC130" s="17">
        <f t="shared" si="11"/>
        <v>6.672255997997785E-2</v>
      </c>
      <c r="AD130" s="11">
        <f t="shared" si="12"/>
        <v>7093</v>
      </c>
      <c r="AE130" s="11">
        <f t="shared" si="13"/>
        <v>7662.2857142857147</v>
      </c>
      <c r="AF130" s="28">
        <f t="shared" si="20"/>
        <v>1.0802602163098427</v>
      </c>
      <c r="AG130" s="42">
        <f t="shared" si="14"/>
        <v>0.53668783555892374</v>
      </c>
      <c r="AH130" s="14" t="str">
        <f t="shared" si="15"/>
        <v>-</v>
      </c>
      <c r="AI130" s="11">
        <f t="shared" si="16"/>
        <v>331</v>
      </c>
      <c r="AJ130" s="11">
        <f t="shared" si="17"/>
        <v>331</v>
      </c>
      <c r="AK130" s="11">
        <f t="shared" si="18"/>
        <v>0.6274869859858111</v>
      </c>
      <c r="AL130" s="42">
        <f t="shared" si="19"/>
        <v>0.6274869859858111</v>
      </c>
      <c r="AM130" s="14" t="str">
        <f t="shared" si="21"/>
        <v/>
      </c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</row>
    <row r="131" spans="1:56" ht="27" customHeight="1" x14ac:dyDescent="0.2">
      <c r="A131" s="9" t="s">
        <v>356</v>
      </c>
      <c r="B131" s="11">
        <v>588</v>
      </c>
      <c r="C131" s="2">
        <v>882.60989378562499</v>
      </c>
      <c r="D131" s="2">
        <v>8.7657979166666191</v>
      </c>
      <c r="E131" s="2">
        <v>-1</v>
      </c>
      <c r="F131" s="12" t="s">
        <v>201</v>
      </c>
      <c r="G131" s="12" t="s">
        <v>9</v>
      </c>
      <c r="H131" s="5"/>
      <c r="I131" s="11">
        <v>4314</v>
      </c>
      <c r="J131" s="11">
        <v>3145</v>
      </c>
      <c r="K131" s="11">
        <v>5186</v>
      </c>
      <c r="L131" s="11">
        <v>4702</v>
      </c>
      <c r="M131" s="11">
        <v>4824</v>
      </c>
      <c r="N131" s="11">
        <v>5261</v>
      </c>
      <c r="O131" s="11">
        <v>4638</v>
      </c>
      <c r="P131" s="11"/>
      <c r="Q131" s="11">
        <v>3394</v>
      </c>
      <c r="R131" s="11">
        <v>4303</v>
      </c>
      <c r="S131" s="11">
        <v>3134</v>
      </c>
      <c r="T131" s="11">
        <v>4968</v>
      </c>
      <c r="U131" s="11">
        <v>5966</v>
      </c>
      <c r="V131" s="11">
        <v>4124</v>
      </c>
      <c r="W131" s="11">
        <v>3980</v>
      </c>
      <c r="X131" s="11"/>
      <c r="Y131" s="11">
        <v>0</v>
      </c>
      <c r="Z131" s="11">
        <v>4184</v>
      </c>
      <c r="AA131" s="11">
        <v>4666</v>
      </c>
      <c r="AB131" s="11">
        <v>4600</v>
      </c>
      <c r="AC131" s="17">
        <f t="shared" si="11"/>
        <v>5.8287497102844588E-2</v>
      </c>
      <c r="AD131" s="11">
        <f t="shared" si="12"/>
        <v>4581.4285714285716</v>
      </c>
      <c r="AE131" s="11">
        <f t="shared" si="13"/>
        <v>4267</v>
      </c>
      <c r="AF131" s="28">
        <f t="shared" si="20"/>
        <v>0.9313688805737449</v>
      </c>
      <c r="AG131" s="42">
        <f t="shared" si="14"/>
        <v>0.5006592755300906</v>
      </c>
      <c r="AH131" s="14" t="str">
        <f t="shared" si="15"/>
        <v>-</v>
      </c>
      <c r="AI131" s="11">
        <f t="shared" si="16"/>
        <v>320</v>
      </c>
      <c r="AJ131" s="11">
        <f t="shared" si="17"/>
        <v>320</v>
      </c>
      <c r="AK131" s="11">
        <f t="shared" si="18"/>
        <v>0.60548481134420329</v>
      </c>
      <c r="AL131" s="42">
        <f t="shared" si="19"/>
        <v>0.60548481134420329</v>
      </c>
      <c r="AM131" s="14" t="str">
        <f t="shared" si="21"/>
        <v/>
      </c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</row>
    <row r="132" spans="1:56" ht="27" customHeight="1" x14ac:dyDescent="0.2">
      <c r="A132" s="9" t="s">
        <v>356</v>
      </c>
      <c r="B132" s="11">
        <v>605</v>
      </c>
      <c r="C132" s="2">
        <v>872.64538071237803</v>
      </c>
      <c r="D132" s="2">
        <v>8.9864766666665901</v>
      </c>
      <c r="E132" s="2">
        <v>-1</v>
      </c>
      <c r="F132" s="12" t="s">
        <v>556</v>
      </c>
      <c r="G132" s="12" t="s">
        <v>9</v>
      </c>
      <c r="H132" s="5"/>
      <c r="I132" s="11">
        <v>3213</v>
      </c>
      <c r="J132" s="11">
        <v>3395</v>
      </c>
      <c r="K132" s="11">
        <v>5769</v>
      </c>
      <c r="L132" s="11">
        <v>4964</v>
      </c>
      <c r="M132" s="11">
        <v>4836</v>
      </c>
      <c r="N132" s="11">
        <v>4591</v>
      </c>
      <c r="O132" s="11">
        <v>6268</v>
      </c>
      <c r="P132" s="11"/>
      <c r="Q132" s="11">
        <v>4091</v>
      </c>
      <c r="R132" s="11">
        <v>5630</v>
      </c>
      <c r="S132" s="11">
        <v>3465</v>
      </c>
      <c r="T132" s="11">
        <v>5871</v>
      </c>
      <c r="U132" s="11">
        <v>5037</v>
      </c>
      <c r="V132" s="11">
        <v>5676</v>
      </c>
      <c r="W132" s="11">
        <v>5491</v>
      </c>
      <c r="X132" s="11"/>
      <c r="Y132" s="11">
        <v>0</v>
      </c>
      <c r="Z132" s="11">
        <v>3489</v>
      </c>
      <c r="AA132" s="11">
        <v>5418</v>
      </c>
      <c r="AB132" s="11">
        <v>4341</v>
      </c>
      <c r="AC132" s="17">
        <f t="shared" ref="AC132:AC195" si="22">IFERROR(STDEV(Z132:AB132)/AVERAGE(Z132:AB132),0)</f>
        <v>0.218905013601596</v>
      </c>
      <c r="AD132" s="11">
        <f t="shared" ref="AD132:AD195" si="23">AVERAGE(I132:O132)</f>
        <v>4719.4285714285716</v>
      </c>
      <c r="AE132" s="11">
        <f t="shared" ref="AE132:AE195" si="24">AVERAGE(Q132:W132)</f>
        <v>5037.2857142857147</v>
      </c>
      <c r="AF132" s="28">
        <f t="shared" si="20"/>
        <v>1.0673507688582153</v>
      </c>
      <c r="AG132" s="42">
        <f t="shared" ref="AG132:AG195" si="25">TTEST(I132:O132,Q132:W132,2,3)</f>
        <v>0.57348413658517716</v>
      </c>
      <c r="AH132" s="14" t="str">
        <f t="shared" ref="AH132:AH195" si="26">IF(AG132&lt;0.001,"***",IF(AG132&lt;0.01,"**",IF(AG132&lt;0.05,"*","-")))</f>
        <v>-</v>
      </c>
      <c r="AI132" s="11">
        <f t="shared" ref="AI132:AI195" si="27">_xlfn.RANK.EQ(AG132,$AG$4:$AG$390,1)</f>
        <v>333</v>
      </c>
      <c r="AJ132" s="11">
        <f t="shared" ref="AJ132:AJ195" si="28">COUNTIF($AI$4:$AI$390,AI132)+AI132-1</f>
        <v>333</v>
      </c>
      <c r="AK132" s="11">
        <f t="shared" ref="AK132:AK195" si="29">MIN(AG132*$AJ$3/AJ132,1)</f>
        <v>0.66648156413953019</v>
      </c>
      <c r="AL132" s="42">
        <f t="shared" ref="AL132:AL195" si="30">MIN(AK132,IFERROR(VLOOKUP(AJ132+1,$AJ$4:$AL$390,3,FALSE),1))</f>
        <v>0.66635481442952693</v>
      </c>
      <c r="AM132" s="14" t="str">
        <f t="shared" si="21"/>
        <v/>
      </c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</row>
    <row r="133" spans="1:56" ht="27" customHeight="1" x14ac:dyDescent="0.2">
      <c r="A133" s="9" t="s">
        <v>356</v>
      </c>
      <c r="B133" s="11">
        <v>607</v>
      </c>
      <c r="C133" s="2">
        <v>778.55868392674699</v>
      </c>
      <c r="D133" s="2">
        <v>7.8692513888888298</v>
      </c>
      <c r="E133" s="2">
        <v>-1</v>
      </c>
      <c r="F133" s="12" t="s">
        <v>231</v>
      </c>
      <c r="G133" s="12" t="s">
        <v>9</v>
      </c>
      <c r="H133" s="5"/>
      <c r="I133" s="11">
        <v>2644</v>
      </c>
      <c r="J133" s="11">
        <v>2311</v>
      </c>
      <c r="K133" s="11">
        <v>4624</v>
      </c>
      <c r="L133" s="11">
        <v>1954</v>
      </c>
      <c r="M133" s="11">
        <v>5851</v>
      </c>
      <c r="N133" s="11">
        <v>4201</v>
      </c>
      <c r="O133" s="11">
        <v>4573</v>
      </c>
      <c r="P133" s="11"/>
      <c r="Q133" s="11">
        <v>2508</v>
      </c>
      <c r="R133" s="11">
        <v>4469</v>
      </c>
      <c r="S133" s="11">
        <v>3328</v>
      </c>
      <c r="T133" s="11">
        <v>2663</v>
      </c>
      <c r="U133" s="11">
        <v>4909</v>
      </c>
      <c r="V133" s="11">
        <v>3810</v>
      </c>
      <c r="W133" s="11">
        <v>5589</v>
      </c>
      <c r="X133" s="11"/>
      <c r="Y133" s="11">
        <v>36</v>
      </c>
      <c r="Z133" s="11">
        <v>2905</v>
      </c>
      <c r="AA133" s="11">
        <v>2773</v>
      </c>
      <c r="AB133" s="11">
        <v>3384</v>
      </c>
      <c r="AC133" s="17">
        <f t="shared" si="22"/>
        <v>0.10643453101006735</v>
      </c>
      <c r="AD133" s="11">
        <f t="shared" si="23"/>
        <v>3736.8571428571427</v>
      </c>
      <c r="AE133" s="11">
        <f t="shared" si="24"/>
        <v>3896.5714285714284</v>
      </c>
      <c r="AF133" s="28">
        <f t="shared" ref="AF133:AF196" si="31">AE133/AD133</f>
        <v>1.0427402706628948</v>
      </c>
      <c r="AG133" s="42">
        <f t="shared" si="25"/>
        <v>0.823526629459714</v>
      </c>
      <c r="AH133" s="14" t="str">
        <f t="shared" si="26"/>
        <v>-</v>
      </c>
      <c r="AI133" s="11">
        <f t="shared" si="27"/>
        <v>369</v>
      </c>
      <c r="AJ133" s="11">
        <f t="shared" si="28"/>
        <v>369</v>
      </c>
      <c r="AK133" s="11">
        <f t="shared" si="29"/>
        <v>0.86369866016506591</v>
      </c>
      <c r="AL133" s="42">
        <f t="shared" si="30"/>
        <v>0.86369866016506591</v>
      </c>
      <c r="AM133" s="14" t="str">
        <f t="shared" ref="AM133:AM196" si="32">IF(AL133&lt;0.05,"**",IF(AL133&lt;0.1,"*",""))</f>
        <v/>
      </c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</row>
    <row r="134" spans="1:56" ht="27" customHeight="1" x14ac:dyDescent="0.2">
      <c r="A134" s="9" t="s">
        <v>356</v>
      </c>
      <c r="B134" s="11">
        <v>672</v>
      </c>
      <c r="C134" s="2">
        <v>858.62213083486199</v>
      </c>
      <c r="D134" s="2">
        <v>8.7878176470588194</v>
      </c>
      <c r="E134" s="2">
        <v>-1</v>
      </c>
      <c r="F134" s="12" t="s">
        <v>206</v>
      </c>
      <c r="G134" s="12" t="s">
        <v>9</v>
      </c>
      <c r="H134" s="5"/>
      <c r="I134" s="11">
        <v>3400</v>
      </c>
      <c r="J134" s="11">
        <v>2941</v>
      </c>
      <c r="K134" s="11">
        <v>4874</v>
      </c>
      <c r="L134" s="11">
        <v>3906</v>
      </c>
      <c r="M134" s="11">
        <v>3891</v>
      </c>
      <c r="N134" s="11">
        <v>4107</v>
      </c>
      <c r="O134" s="11">
        <v>5280</v>
      </c>
      <c r="P134" s="11"/>
      <c r="Q134" s="11">
        <v>3061</v>
      </c>
      <c r="R134" s="11">
        <v>4361</v>
      </c>
      <c r="S134" s="11">
        <v>2656</v>
      </c>
      <c r="T134" s="11">
        <v>4225</v>
      </c>
      <c r="U134" s="11">
        <v>3174</v>
      </c>
      <c r="V134" s="11">
        <v>3748</v>
      </c>
      <c r="W134" s="11">
        <v>4026</v>
      </c>
      <c r="X134" s="11"/>
      <c r="Y134" s="11">
        <v>0</v>
      </c>
      <c r="Z134" s="11">
        <v>3861</v>
      </c>
      <c r="AA134" s="11">
        <v>4773</v>
      </c>
      <c r="AB134" s="11">
        <v>5253</v>
      </c>
      <c r="AC134" s="17">
        <f t="shared" si="22"/>
        <v>0.15275095126539195</v>
      </c>
      <c r="AD134" s="11">
        <f t="shared" si="23"/>
        <v>4057</v>
      </c>
      <c r="AE134" s="11">
        <f t="shared" si="24"/>
        <v>3607.2857142857142</v>
      </c>
      <c r="AF134" s="28">
        <f t="shared" si="31"/>
        <v>0.8891510264445931</v>
      </c>
      <c r="AG134" s="42">
        <f t="shared" si="25"/>
        <v>0.2737416147381313</v>
      </c>
      <c r="AH134" s="14" t="str">
        <f t="shared" si="26"/>
        <v>-</v>
      </c>
      <c r="AI134" s="11">
        <f t="shared" si="27"/>
        <v>264</v>
      </c>
      <c r="AJ134" s="11">
        <f t="shared" si="28"/>
        <v>264</v>
      </c>
      <c r="AK134" s="11">
        <f t="shared" si="29"/>
        <v>0.40128032160476068</v>
      </c>
      <c r="AL134" s="42">
        <f t="shared" si="30"/>
        <v>0.40014070671414992</v>
      </c>
      <c r="AM134" s="14" t="str">
        <f t="shared" si="32"/>
        <v/>
      </c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</row>
    <row r="135" spans="1:56" ht="27" customHeight="1" x14ac:dyDescent="0.2">
      <c r="A135" s="9" t="s">
        <v>356</v>
      </c>
      <c r="B135" s="11">
        <v>744</v>
      </c>
      <c r="C135" s="2">
        <v>914.59321715804197</v>
      </c>
      <c r="D135" s="2">
        <v>7.7089924242423598</v>
      </c>
      <c r="E135" s="2">
        <v>-1</v>
      </c>
      <c r="F135" s="12" t="s">
        <v>236</v>
      </c>
      <c r="G135" s="12" t="s">
        <v>9</v>
      </c>
      <c r="H135" s="5"/>
      <c r="I135" s="11">
        <v>2650</v>
      </c>
      <c r="J135" s="11">
        <v>3912</v>
      </c>
      <c r="K135" s="11">
        <v>4411</v>
      </c>
      <c r="L135" s="11">
        <v>3334</v>
      </c>
      <c r="M135" s="11">
        <v>3872</v>
      </c>
      <c r="N135" s="11">
        <v>4444</v>
      </c>
      <c r="O135" s="11">
        <v>4674</v>
      </c>
      <c r="P135" s="11"/>
      <c r="Q135" s="11">
        <v>2307</v>
      </c>
      <c r="R135" s="11">
        <v>2952</v>
      </c>
      <c r="S135" s="11">
        <v>2008</v>
      </c>
      <c r="T135" s="11">
        <v>2844</v>
      </c>
      <c r="U135" s="11">
        <v>3616</v>
      </c>
      <c r="V135" s="11">
        <v>3053</v>
      </c>
      <c r="W135" s="11">
        <v>3595</v>
      </c>
      <c r="X135" s="11"/>
      <c r="Y135" s="11">
        <v>339</v>
      </c>
      <c r="Z135" s="11">
        <v>3726</v>
      </c>
      <c r="AA135" s="11">
        <v>2832</v>
      </c>
      <c r="AB135" s="11">
        <v>3591</v>
      </c>
      <c r="AC135" s="17">
        <f t="shared" si="22"/>
        <v>0.14245654534840571</v>
      </c>
      <c r="AD135" s="11">
        <f t="shared" si="23"/>
        <v>3899.5714285714284</v>
      </c>
      <c r="AE135" s="11">
        <f t="shared" si="24"/>
        <v>2910.7142857142858</v>
      </c>
      <c r="AF135" s="28">
        <f t="shared" si="31"/>
        <v>0.74641902040517272</v>
      </c>
      <c r="AG135" s="42">
        <f t="shared" si="25"/>
        <v>1.6199419768512302E-2</v>
      </c>
      <c r="AH135" s="14" t="str">
        <f t="shared" si="26"/>
        <v>*</v>
      </c>
      <c r="AI135" s="11">
        <f t="shared" si="27"/>
        <v>99</v>
      </c>
      <c r="AJ135" s="11">
        <f t="shared" si="28"/>
        <v>99</v>
      </c>
      <c r="AK135" s="11">
        <f t="shared" si="29"/>
        <v>6.3325004549639005E-2</v>
      </c>
      <c r="AL135" s="42">
        <f t="shared" si="30"/>
        <v>6.1851950472227211E-2</v>
      </c>
      <c r="AM135" s="14" t="str">
        <f t="shared" si="32"/>
        <v>*</v>
      </c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</row>
    <row r="136" spans="1:56" ht="27" customHeight="1" x14ac:dyDescent="0.2">
      <c r="A136" s="9" t="s">
        <v>356</v>
      </c>
      <c r="B136" s="11">
        <v>1152</v>
      </c>
      <c r="C136" s="2">
        <v>920.63732834975394</v>
      </c>
      <c r="D136" s="2">
        <v>8.8084027777778307</v>
      </c>
      <c r="E136" s="2">
        <v>-1</v>
      </c>
      <c r="F136" s="12" t="s">
        <v>571</v>
      </c>
      <c r="G136" s="12" t="s">
        <v>9</v>
      </c>
      <c r="H136" s="5"/>
      <c r="I136" s="11">
        <v>1794</v>
      </c>
      <c r="J136" s="11">
        <v>1794</v>
      </c>
      <c r="K136" s="11">
        <v>2366</v>
      </c>
      <c r="L136" s="11">
        <v>2501</v>
      </c>
      <c r="M136" s="11">
        <v>2151</v>
      </c>
      <c r="N136" s="11">
        <v>2572</v>
      </c>
      <c r="O136" s="11">
        <v>3287</v>
      </c>
      <c r="P136" s="11"/>
      <c r="Q136" s="11">
        <v>1131</v>
      </c>
      <c r="R136" s="11">
        <v>2837</v>
      </c>
      <c r="S136" s="11">
        <v>1294</v>
      </c>
      <c r="T136" s="11">
        <v>1882</v>
      </c>
      <c r="U136" s="11">
        <v>1930</v>
      </c>
      <c r="V136" s="11">
        <v>2092</v>
      </c>
      <c r="W136" s="11">
        <v>2802</v>
      </c>
      <c r="X136" s="11"/>
      <c r="Y136" s="11">
        <v>0</v>
      </c>
      <c r="Z136" s="11">
        <v>1844</v>
      </c>
      <c r="AA136" s="11">
        <v>2738</v>
      </c>
      <c r="AB136" s="11">
        <v>2401</v>
      </c>
      <c r="AC136" s="17">
        <f t="shared" si="22"/>
        <v>0.19396635455576153</v>
      </c>
      <c r="AD136" s="11">
        <f t="shared" si="23"/>
        <v>2352.1428571428573</v>
      </c>
      <c r="AE136" s="11">
        <f t="shared" si="24"/>
        <v>1995.4285714285713</v>
      </c>
      <c r="AF136" s="28">
        <f t="shared" si="31"/>
        <v>0.84834497418767074</v>
      </c>
      <c r="AG136" s="42">
        <f t="shared" si="25"/>
        <v>0.28436684118094235</v>
      </c>
      <c r="AH136" s="14" t="str">
        <f t="shared" si="26"/>
        <v>-</v>
      </c>
      <c r="AI136" s="11">
        <f t="shared" si="27"/>
        <v>270</v>
      </c>
      <c r="AJ136" s="11">
        <f t="shared" si="28"/>
        <v>270</v>
      </c>
      <c r="AK136" s="11">
        <f t="shared" si="29"/>
        <v>0.4075924723593507</v>
      </c>
      <c r="AL136" s="42">
        <f t="shared" si="30"/>
        <v>0.40704668595738508</v>
      </c>
      <c r="AM136" s="14" t="str">
        <f t="shared" si="32"/>
        <v/>
      </c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</row>
    <row r="137" spans="1:56" ht="27" customHeight="1" x14ac:dyDescent="0.2">
      <c r="A137" s="9" t="s">
        <v>356</v>
      </c>
      <c r="B137" s="11">
        <v>1363</v>
      </c>
      <c r="C137" s="2">
        <v>860.64170682687302</v>
      </c>
      <c r="D137" s="2">
        <v>9.2396642857142801</v>
      </c>
      <c r="E137" s="2">
        <v>-1</v>
      </c>
      <c r="F137" s="12" t="s">
        <v>269</v>
      </c>
      <c r="G137" s="12" t="s">
        <v>9</v>
      </c>
      <c r="H137" s="5"/>
      <c r="I137" s="11">
        <v>1723</v>
      </c>
      <c r="J137" s="11">
        <v>1788</v>
      </c>
      <c r="K137" s="11">
        <v>2954</v>
      </c>
      <c r="L137" s="11">
        <v>1837</v>
      </c>
      <c r="M137" s="11">
        <v>2504</v>
      </c>
      <c r="N137" s="11">
        <v>2247</v>
      </c>
      <c r="O137" s="11">
        <v>2470</v>
      </c>
      <c r="P137" s="11"/>
      <c r="Q137" s="11">
        <v>1624</v>
      </c>
      <c r="R137" s="11">
        <v>1976</v>
      </c>
      <c r="S137" s="11">
        <v>1358</v>
      </c>
      <c r="T137" s="11">
        <v>2368</v>
      </c>
      <c r="U137" s="11">
        <v>2265</v>
      </c>
      <c r="V137" s="11">
        <v>2022</v>
      </c>
      <c r="W137" s="11">
        <v>2126</v>
      </c>
      <c r="X137" s="11"/>
      <c r="Y137" s="11">
        <v>0</v>
      </c>
      <c r="Z137" s="11">
        <v>2385</v>
      </c>
      <c r="AA137" s="11">
        <v>2537</v>
      </c>
      <c r="AB137" s="11">
        <v>2508</v>
      </c>
      <c r="AC137" s="17">
        <f t="shared" si="22"/>
        <v>3.2583726509106348E-2</v>
      </c>
      <c r="AD137" s="11">
        <f t="shared" si="23"/>
        <v>2217.5714285714284</v>
      </c>
      <c r="AE137" s="11">
        <f t="shared" si="24"/>
        <v>1962.7142857142858</v>
      </c>
      <c r="AF137" s="28">
        <f t="shared" si="31"/>
        <v>0.88507376151517114</v>
      </c>
      <c r="AG137" s="42">
        <f t="shared" si="25"/>
        <v>0.27014620944223239</v>
      </c>
      <c r="AH137" s="14" t="str">
        <f t="shared" si="26"/>
        <v>-</v>
      </c>
      <c r="AI137" s="11">
        <f t="shared" si="27"/>
        <v>262</v>
      </c>
      <c r="AJ137" s="11">
        <f t="shared" si="28"/>
        <v>262</v>
      </c>
      <c r="AK137" s="11">
        <f t="shared" si="29"/>
        <v>0.399032759748641</v>
      </c>
      <c r="AL137" s="42">
        <f t="shared" si="30"/>
        <v>0.399032759748641</v>
      </c>
      <c r="AM137" s="14" t="str">
        <f t="shared" si="32"/>
        <v/>
      </c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</row>
    <row r="138" spans="1:56" ht="27" customHeight="1" x14ac:dyDescent="0.2">
      <c r="A138" s="9" t="s">
        <v>356</v>
      </c>
      <c r="B138" s="11">
        <v>1633</v>
      </c>
      <c r="C138" s="2">
        <v>898.65081926258404</v>
      </c>
      <c r="D138" s="2">
        <v>9.1709349999998899</v>
      </c>
      <c r="E138" s="2">
        <v>-1</v>
      </c>
      <c r="F138" s="12" t="s">
        <v>299</v>
      </c>
      <c r="G138" s="12" t="s">
        <v>9</v>
      </c>
      <c r="H138" s="5"/>
      <c r="I138" s="11">
        <v>1014</v>
      </c>
      <c r="J138" s="11">
        <v>937</v>
      </c>
      <c r="K138" s="11">
        <v>1942</v>
      </c>
      <c r="L138" s="11">
        <v>1546</v>
      </c>
      <c r="M138" s="11">
        <v>1667</v>
      </c>
      <c r="N138" s="11">
        <v>1659</v>
      </c>
      <c r="O138" s="11">
        <v>1636</v>
      </c>
      <c r="P138" s="11"/>
      <c r="Q138" s="11">
        <v>854</v>
      </c>
      <c r="R138" s="11">
        <v>1373</v>
      </c>
      <c r="S138" s="11">
        <v>821</v>
      </c>
      <c r="T138" s="11">
        <v>1129</v>
      </c>
      <c r="U138" s="11">
        <v>1304</v>
      </c>
      <c r="V138" s="11">
        <v>943</v>
      </c>
      <c r="W138" s="11">
        <v>1435</v>
      </c>
      <c r="X138" s="11"/>
      <c r="Y138" s="11">
        <v>0</v>
      </c>
      <c r="Z138" s="11">
        <v>1394</v>
      </c>
      <c r="AA138" s="11">
        <v>1163</v>
      </c>
      <c r="AB138" s="11">
        <v>1662</v>
      </c>
      <c r="AC138" s="17">
        <f t="shared" si="22"/>
        <v>0.17757420189363782</v>
      </c>
      <c r="AD138" s="11">
        <f t="shared" si="23"/>
        <v>1485.8571428571429</v>
      </c>
      <c r="AE138" s="11">
        <f t="shared" si="24"/>
        <v>1122.7142857142858</v>
      </c>
      <c r="AF138" s="28">
        <f t="shared" si="31"/>
        <v>0.75560042303624653</v>
      </c>
      <c r="AG138" s="42">
        <f t="shared" si="25"/>
        <v>5.6432686024701764E-2</v>
      </c>
      <c r="AH138" s="14" t="str">
        <f t="shared" si="26"/>
        <v>-</v>
      </c>
      <c r="AI138" s="11">
        <f t="shared" si="27"/>
        <v>165</v>
      </c>
      <c r="AJ138" s="11">
        <f t="shared" si="28"/>
        <v>165</v>
      </c>
      <c r="AK138" s="11">
        <f t="shared" si="29"/>
        <v>0.13236029994884596</v>
      </c>
      <c r="AL138" s="42">
        <f t="shared" si="30"/>
        <v>0.13236029994884596</v>
      </c>
      <c r="AM138" s="14" t="str">
        <f t="shared" si="32"/>
        <v/>
      </c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</row>
    <row r="139" spans="1:56" ht="27" customHeight="1" x14ac:dyDescent="0.2">
      <c r="A139" s="9" t="s">
        <v>356</v>
      </c>
      <c r="B139" s="11">
        <v>10122</v>
      </c>
      <c r="C139" s="2">
        <v>1114.8359657747501</v>
      </c>
      <c r="D139" s="2">
        <v>13.994611904761801</v>
      </c>
      <c r="E139" s="2">
        <v>-1</v>
      </c>
      <c r="F139" s="12" t="s">
        <v>354</v>
      </c>
      <c r="G139" s="12" t="s">
        <v>9</v>
      </c>
      <c r="H139" s="5"/>
      <c r="I139" s="11">
        <v>126</v>
      </c>
      <c r="J139" s="11">
        <v>138</v>
      </c>
      <c r="K139" s="11">
        <v>402</v>
      </c>
      <c r="L139" s="11">
        <v>281</v>
      </c>
      <c r="M139" s="11">
        <v>313</v>
      </c>
      <c r="N139" s="11">
        <v>425</v>
      </c>
      <c r="O139" s="11">
        <v>275</v>
      </c>
      <c r="P139" s="11"/>
      <c r="Q139" s="11">
        <v>215</v>
      </c>
      <c r="R139" s="11">
        <v>227</v>
      </c>
      <c r="S139" s="11">
        <v>140</v>
      </c>
      <c r="T139" s="11">
        <v>142</v>
      </c>
      <c r="U139" s="11">
        <v>114</v>
      </c>
      <c r="V139" s="11">
        <v>66</v>
      </c>
      <c r="W139" s="11">
        <v>116</v>
      </c>
      <c r="X139" s="11"/>
      <c r="Y139" s="11">
        <v>0</v>
      </c>
      <c r="Z139" s="11">
        <v>189</v>
      </c>
      <c r="AA139" s="11">
        <v>163</v>
      </c>
      <c r="AB139" s="11">
        <v>141</v>
      </c>
      <c r="AC139" s="17">
        <f t="shared" si="22"/>
        <v>0.14621356016989967</v>
      </c>
      <c r="AD139" s="11">
        <f t="shared" si="23"/>
        <v>280</v>
      </c>
      <c r="AE139" s="11">
        <f t="shared" si="24"/>
        <v>145.71428571428572</v>
      </c>
      <c r="AF139" s="28">
        <f t="shared" si="31"/>
        <v>0.52040816326530615</v>
      </c>
      <c r="AG139" s="42">
        <f t="shared" si="25"/>
        <v>2.3271431314497045E-2</v>
      </c>
      <c r="AH139" s="14" t="str">
        <f t="shared" si="26"/>
        <v>*</v>
      </c>
      <c r="AI139" s="11">
        <f t="shared" si="27"/>
        <v>118</v>
      </c>
      <c r="AJ139" s="11">
        <f t="shared" si="28"/>
        <v>118</v>
      </c>
      <c r="AK139" s="11">
        <f t="shared" si="29"/>
        <v>7.6322406090765724E-2</v>
      </c>
      <c r="AL139" s="42">
        <f t="shared" si="30"/>
        <v>7.6322406090765724E-2</v>
      </c>
      <c r="AM139" s="14" t="str">
        <f t="shared" si="32"/>
        <v>*</v>
      </c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</row>
    <row r="140" spans="1:56" ht="27" customHeight="1" x14ac:dyDescent="0.2">
      <c r="A140" s="9" t="s">
        <v>356</v>
      </c>
      <c r="B140" s="11">
        <v>1280</v>
      </c>
      <c r="C140" s="2">
        <v>594.33912163782395</v>
      </c>
      <c r="D140" s="2">
        <v>4.3658754901961103</v>
      </c>
      <c r="E140" s="2">
        <v>-1</v>
      </c>
      <c r="F140" s="12" t="s">
        <v>575</v>
      </c>
      <c r="G140" s="12" t="s">
        <v>576</v>
      </c>
      <c r="H140" s="5"/>
      <c r="I140" s="11">
        <v>1295</v>
      </c>
      <c r="J140" s="11">
        <v>1354</v>
      </c>
      <c r="K140" s="11">
        <v>1944</v>
      </c>
      <c r="L140" s="11">
        <v>1574</v>
      </c>
      <c r="M140" s="11">
        <v>1670</v>
      </c>
      <c r="N140" s="11">
        <v>2073</v>
      </c>
      <c r="O140" s="11">
        <v>2305</v>
      </c>
      <c r="P140" s="11"/>
      <c r="Q140" s="11">
        <v>1478</v>
      </c>
      <c r="R140" s="11">
        <v>2263</v>
      </c>
      <c r="S140" s="11">
        <v>1588</v>
      </c>
      <c r="T140" s="11">
        <v>1445</v>
      </c>
      <c r="U140" s="11">
        <v>2300</v>
      </c>
      <c r="V140" s="11">
        <v>2350</v>
      </c>
      <c r="W140" s="11">
        <v>2342</v>
      </c>
      <c r="X140" s="11"/>
      <c r="Y140" s="11">
        <v>0</v>
      </c>
      <c r="Z140" s="11">
        <v>2124</v>
      </c>
      <c r="AA140" s="11">
        <v>2536</v>
      </c>
      <c r="AB140" s="11">
        <v>1712</v>
      </c>
      <c r="AC140" s="17">
        <f t="shared" si="22"/>
        <v>0.19397363465160075</v>
      </c>
      <c r="AD140" s="11">
        <f t="shared" si="23"/>
        <v>1745</v>
      </c>
      <c r="AE140" s="11">
        <f t="shared" si="24"/>
        <v>1966.5714285714287</v>
      </c>
      <c r="AF140" s="28">
        <f t="shared" si="31"/>
        <v>1.1269750306999591</v>
      </c>
      <c r="AG140" s="42">
        <f t="shared" si="25"/>
        <v>0.32946262947374882</v>
      </c>
      <c r="AH140" s="14" t="str">
        <f t="shared" si="26"/>
        <v>-</v>
      </c>
      <c r="AI140" s="11">
        <f t="shared" si="27"/>
        <v>277</v>
      </c>
      <c r="AJ140" s="11">
        <f t="shared" si="28"/>
        <v>277</v>
      </c>
      <c r="AK140" s="11">
        <f t="shared" si="29"/>
        <v>0.46029616464382955</v>
      </c>
      <c r="AL140" s="42">
        <f t="shared" si="30"/>
        <v>0.46029616464382955</v>
      </c>
      <c r="AM140" s="14" t="str">
        <f t="shared" si="32"/>
        <v/>
      </c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</row>
    <row r="141" spans="1:56" ht="27" customHeight="1" x14ac:dyDescent="0.2">
      <c r="A141" s="9" t="s">
        <v>356</v>
      </c>
      <c r="B141" s="11">
        <v>62</v>
      </c>
      <c r="C141" s="2">
        <v>850.59542335649701</v>
      </c>
      <c r="D141" s="2">
        <v>8.1476196078431098</v>
      </c>
      <c r="E141" s="2">
        <v>-1</v>
      </c>
      <c r="F141" s="12" t="s">
        <v>69</v>
      </c>
      <c r="G141" s="12" t="s">
        <v>70</v>
      </c>
      <c r="H141" s="5"/>
      <c r="I141" s="11">
        <v>37115</v>
      </c>
      <c r="J141" s="11">
        <v>44260</v>
      </c>
      <c r="K141" s="11">
        <v>50930</v>
      </c>
      <c r="L141" s="11">
        <v>45126</v>
      </c>
      <c r="M141" s="11">
        <v>59455</v>
      </c>
      <c r="N141" s="11">
        <v>49549</v>
      </c>
      <c r="O141" s="11">
        <v>76720</v>
      </c>
      <c r="P141" s="11"/>
      <c r="Q141" s="11">
        <v>27498</v>
      </c>
      <c r="R141" s="11">
        <v>33255</v>
      </c>
      <c r="S141" s="11">
        <v>30732</v>
      </c>
      <c r="T141" s="11">
        <v>37207</v>
      </c>
      <c r="U141" s="11">
        <v>41682</v>
      </c>
      <c r="V141" s="11">
        <v>30350</v>
      </c>
      <c r="W141" s="11">
        <v>41889</v>
      </c>
      <c r="X141" s="11"/>
      <c r="Y141" s="11">
        <v>14</v>
      </c>
      <c r="Z141" s="11">
        <v>41587</v>
      </c>
      <c r="AA141" s="11">
        <v>45083</v>
      </c>
      <c r="AB141" s="11">
        <v>50486</v>
      </c>
      <c r="AC141" s="17">
        <f t="shared" si="22"/>
        <v>9.8065535156376824E-2</v>
      </c>
      <c r="AD141" s="11">
        <f t="shared" si="23"/>
        <v>51879.285714285717</v>
      </c>
      <c r="AE141" s="11">
        <f t="shared" si="24"/>
        <v>34659</v>
      </c>
      <c r="AF141" s="28">
        <f t="shared" si="31"/>
        <v>0.66807010780520715</v>
      </c>
      <c r="AG141" s="42">
        <f t="shared" si="25"/>
        <v>1.1662538501697874E-2</v>
      </c>
      <c r="AH141" s="14" t="str">
        <f t="shared" si="26"/>
        <v>*</v>
      </c>
      <c r="AI141" s="11">
        <f t="shared" si="27"/>
        <v>81</v>
      </c>
      <c r="AJ141" s="11">
        <f t="shared" si="28"/>
        <v>81</v>
      </c>
      <c r="AK141" s="11">
        <f t="shared" si="29"/>
        <v>5.5721017285889844E-2</v>
      </c>
      <c r="AL141" s="42">
        <f t="shared" si="30"/>
        <v>5.5721017285889844E-2</v>
      </c>
      <c r="AM141" s="14" t="str">
        <f t="shared" si="32"/>
        <v>*</v>
      </c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</row>
    <row r="142" spans="1:56" ht="27" customHeight="1" x14ac:dyDescent="0.2">
      <c r="A142" s="9" t="s">
        <v>356</v>
      </c>
      <c r="B142" s="11">
        <v>316</v>
      </c>
      <c r="C142" s="2">
        <v>778.59618558372199</v>
      </c>
      <c r="D142" s="2">
        <v>8.5044464285714199</v>
      </c>
      <c r="E142" s="2">
        <v>-1</v>
      </c>
      <c r="F142" s="12" t="s">
        <v>182</v>
      </c>
      <c r="G142" s="12" t="s">
        <v>70</v>
      </c>
      <c r="H142" s="5"/>
      <c r="I142" s="11">
        <v>4445</v>
      </c>
      <c r="J142" s="11">
        <v>4567</v>
      </c>
      <c r="K142" s="11">
        <v>7725</v>
      </c>
      <c r="L142" s="11">
        <v>5029</v>
      </c>
      <c r="M142" s="11">
        <v>11668</v>
      </c>
      <c r="N142" s="11">
        <v>4498</v>
      </c>
      <c r="O142" s="11">
        <v>4213</v>
      </c>
      <c r="P142" s="11"/>
      <c r="Q142" s="11">
        <v>2550</v>
      </c>
      <c r="R142" s="11">
        <v>2913</v>
      </c>
      <c r="S142" s="11">
        <v>1713</v>
      </c>
      <c r="T142" s="11">
        <v>2827</v>
      </c>
      <c r="U142" s="11">
        <v>2503</v>
      </c>
      <c r="V142" s="11">
        <v>1282</v>
      </c>
      <c r="W142" s="11">
        <v>3082</v>
      </c>
      <c r="X142" s="11"/>
      <c r="Y142" s="11">
        <v>0</v>
      </c>
      <c r="Z142" s="11">
        <v>3664</v>
      </c>
      <c r="AA142" s="11">
        <v>4595</v>
      </c>
      <c r="AB142" s="11">
        <v>4006</v>
      </c>
      <c r="AC142" s="17">
        <f t="shared" si="22"/>
        <v>0.11518855848525225</v>
      </c>
      <c r="AD142" s="11">
        <f t="shared" si="23"/>
        <v>6020.7142857142853</v>
      </c>
      <c r="AE142" s="11">
        <f t="shared" si="24"/>
        <v>2410</v>
      </c>
      <c r="AF142" s="28">
        <f t="shared" si="31"/>
        <v>0.40028473128484993</v>
      </c>
      <c r="AG142" s="42">
        <f t="shared" si="25"/>
        <v>1.2993269421927193E-2</v>
      </c>
      <c r="AH142" s="14" t="str">
        <f t="shared" si="26"/>
        <v>*</v>
      </c>
      <c r="AI142" s="11">
        <f t="shared" si="27"/>
        <v>86</v>
      </c>
      <c r="AJ142" s="11">
        <f t="shared" si="28"/>
        <v>86</v>
      </c>
      <c r="AK142" s="11">
        <f t="shared" si="29"/>
        <v>5.8469712398672366E-2</v>
      </c>
      <c r="AL142" s="42">
        <f t="shared" si="30"/>
        <v>5.8469712398672366E-2</v>
      </c>
      <c r="AM142" s="14" t="str">
        <f t="shared" si="32"/>
        <v>*</v>
      </c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</row>
    <row r="143" spans="1:56" ht="27" customHeight="1" x14ac:dyDescent="0.2">
      <c r="A143" s="9" t="s">
        <v>356</v>
      </c>
      <c r="B143" s="11">
        <v>350</v>
      </c>
      <c r="C143" s="2">
        <v>876.61009394040002</v>
      </c>
      <c r="D143" s="2">
        <v>8.2020541666666595</v>
      </c>
      <c r="E143" s="2">
        <v>-1</v>
      </c>
      <c r="F143" s="12" t="s">
        <v>169</v>
      </c>
      <c r="G143" s="12" t="s">
        <v>70</v>
      </c>
      <c r="H143" s="5"/>
      <c r="I143" s="11">
        <v>5265</v>
      </c>
      <c r="J143" s="11">
        <v>7228</v>
      </c>
      <c r="K143" s="11">
        <v>8280</v>
      </c>
      <c r="L143" s="11">
        <v>7808</v>
      </c>
      <c r="M143" s="11">
        <v>8573</v>
      </c>
      <c r="N143" s="11">
        <v>9458</v>
      </c>
      <c r="O143" s="11">
        <v>12384</v>
      </c>
      <c r="P143" s="11"/>
      <c r="Q143" s="11">
        <v>4260</v>
      </c>
      <c r="R143" s="11">
        <v>10350</v>
      </c>
      <c r="S143" s="11">
        <v>5670</v>
      </c>
      <c r="T143" s="11">
        <v>7013</v>
      </c>
      <c r="U143" s="11">
        <v>6593</v>
      </c>
      <c r="V143" s="11">
        <v>5631</v>
      </c>
      <c r="W143" s="11">
        <v>7049</v>
      </c>
      <c r="X143" s="11"/>
      <c r="Y143" s="11">
        <v>0</v>
      </c>
      <c r="Z143" s="11">
        <v>8016</v>
      </c>
      <c r="AA143" s="11">
        <v>8470</v>
      </c>
      <c r="AB143" s="11">
        <v>7505</v>
      </c>
      <c r="AC143" s="17">
        <f t="shared" si="22"/>
        <v>6.0370199877576594E-2</v>
      </c>
      <c r="AD143" s="11">
        <f t="shared" si="23"/>
        <v>8428</v>
      </c>
      <c r="AE143" s="11">
        <f t="shared" si="24"/>
        <v>6652.2857142857147</v>
      </c>
      <c r="AF143" s="28">
        <f t="shared" si="31"/>
        <v>0.78930774967794426</v>
      </c>
      <c r="AG143" s="42">
        <f t="shared" si="25"/>
        <v>0.13103729989818727</v>
      </c>
      <c r="AH143" s="14" t="str">
        <f t="shared" si="26"/>
        <v>-</v>
      </c>
      <c r="AI143" s="11">
        <f t="shared" si="27"/>
        <v>217</v>
      </c>
      <c r="AJ143" s="11">
        <f t="shared" si="28"/>
        <v>217</v>
      </c>
      <c r="AK143" s="11">
        <f t="shared" si="29"/>
        <v>0.23369324912718192</v>
      </c>
      <c r="AL143" s="42">
        <f t="shared" si="30"/>
        <v>0.2334936434615778</v>
      </c>
      <c r="AM143" s="14" t="str">
        <f t="shared" si="32"/>
        <v/>
      </c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</row>
    <row r="144" spans="1:56" ht="27" customHeight="1" x14ac:dyDescent="0.2">
      <c r="A144" s="9" t="s">
        <v>356</v>
      </c>
      <c r="B144" s="11">
        <v>460</v>
      </c>
      <c r="C144" s="2">
        <v>852.61194905917205</v>
      </c>
      <c r="D144" s="2">
        <v>8.3045399999999994</v>
      </c>
      <c r="E144" s="2">
        <v>-1</v>
      </c>
      <c r="F144" s="12" t="s">
        <v>156</v>
      </c>
      <c r="G144" s="12" t="s">
        <v>70</v>
      </c>
      <c r="H144" s="5"/>
      <c r="I144" s="11">
        <v>4395</v>
      </c>
      <c r="J144" s="11">
        <v>4543</v>
      </c>
      <c r="K144" s="11">
        <v>7809</v>
      </c>
      <c r="L144" s="11">
        <v>5236</v>
      </c>
      <c r="M144" s="11">
        <v>8059</v>
      </c>
      <c r="N144" s="11">
        <v>8518</v>
      </c>
      <c r="O144" s="11">
        <v>9040</v>
      </c>
      <c r="P144" s="11"/>
      <c r="Q144" s="11">
        <v>6778</v>
      </c>
      <c r="R144" s="11">
        <v>6752</v>
      </c>
      <c r="S144" s="11">
        <v>4608</v>
      </c>
      <c r="T144" s="11">
        <v>3908</v>
      </c>
      <c r="U144" s="11">
        <v>5046</v>
      </c>
      <c r="V144" s="11">
        <v>3515</v>
      </c>
      <c r="W144" s="11">
        <v>6076</v>
      </c>
      <c r="X144" s="11"/>
      <c r="Y144" s="11">
        <v>0</v>
      </c>
      <c r="Z144" s="11">
        <v>6342</v>
      </c>
      <c r="AA144" s="11">
        <v>5782</v>
      </c>
      <c r="AB144" s="11">
        <v>6430</v>
      </c>
      <c r="AC144" s="17">
        <f t="shared" si="22"/>
        <v>5.6831594961257045E-2</v>
      </c>
      <c r="AD144" s="11">
        <f t="shared" si="23"/>
        <v>6800</v>
      </c>
      <c r="AE144" s="11">
        <f t="shared" si="24"/>
        <v>5240.4285714285716</v>
      </c>
      <c r="AF144" s="28">
        <f t="shared" si="31"/>
        <v>0.77065126050420174</v>
      </c>
      <c r="AG144" s="42">
        <f t="shared" si="25"/>
        <v>0.11446736700313354</v>
      </c>
      <c r="AH144" s="14" t="str">
        <f t="shared" si="26"/>
        <v>-</v>
      </c>
      <c r="AI144" s="11">
        <f t="shared" si="27"/>
        <v>206</v>
      </c>
      <c r="AJ144" s="11">
        <f t="shared" si="28"/>
        <v>206</v>
      </c>
      <c r="AK144" s="11">
        <f t="shared" si="29"/>
        <v>0.21504306325345962</v>
      </c>
      <c r="AL144" s="42">
        <f t="shared" si="30"/>
        <v>0.21439876191150142</v>
      </c>
      <c r="AM144" s="14" t="str">
        <f t="shared" si="32"/>
        <v/>
      </c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</row>
    <row r="145" spans="1:56" ht="27" customHeight="1" x14ac:dyDescent="0.2">
      <c r="A145" s="9" t="s">
        <v>356</v>
      </c>
      <c r="B145" s="11">
        <v>37</v>
      </c>
      <c r="C145" s="2">
        <v>848.58046063270797</v>
      </c>
      <c r="D145" s="2">
        <v>8.0663686274509896</v>
      </c>
      <c r="E145" s="2">
        <v>-1</v>
      </c>
      <c r="F145" s="12" t="s">
        <v>42</v>
      </c>
      <c r="G145" s="12" t="s">
        <v>43</v>
      </c>
      <c r="H145" s="5"/>
      <c r="I145" s="11">
        <v>104167</v>
      </c>
      <c r="J145" s="11">
        <v>100838</v>
      </c>
      <c r="K145" s="11">
        <v>136202</v>
      </c>
      <c r="L145" s="11">
        <v>108198</v>
      </c>
      <c r="M145" s="11">
        <v>141715</v>
      </c>
      <c r="N145" s="11">
        <v>159762</v>
      </c>
      <c r="O145" s="11">
        <v>171946</v>
      </c>
      <c r="P145" s="11"/>
      <c r="Q145" s="11">
        <v>85054</v>
      </c>
      <c r="R145" s="11">
        <v>87680</v>
      </c>
      <c r="S145" s="11">
        <v>76242</v>
      </c>
      <c r="T145" s="11">
        <v>105504</v>
      </c>
      <c r="U145" s="11">
        <v>97989</v>
      </c>
      <c r="V145" s="11">
        <v>100701</v>
      </c>
      <c r="W145" s="11">
        <v>114575</v>
      </c>
      <c r="X145" s="11"/>
      <c r="Y145" s="11">
        <v>600</v>
      </c>
      <c r="Z145" s="11">
        <v>108176</v>
      </c>
      <c r="AA145" s="11">
        <v>115937</v>
      </c>
      <c r="AB145" s="11">
        <v>147689</v>
      </c>
      <c r="AC145" s="17">
        <f t="shared" si="22"/>
        <v>0.16892230313951312</v>
      </c>
      <c r="AD145" s="11">
        <f t="shared" si="23"/>
        <v>131832.57142857142</v>
      </c>
      <c r="AE145" s="11">
        <f t="shared" si="24"/>
        <v>95392.142857142855</v>
      </c>
      <c r="AF145" s="28">
        <f t="shared" si="31"/>
        <v>0.72358554356824889</v>
      </c>
      <c r="AG145" s="42">
        <f t="shared" si="25"/>
        <v>1.3798134299820217E-2</v>
      </c>
      <c r="AH145" s="14" t="str">
        <f t="shared" si="26"/>
        <v>*</v>
      </c>
      <c r="AI145" s="11">
        <f t="shared" si="27"/>
        <v>89</v>
      </c>
      <c r="AJ145" s="11">
        <f t="shared" si="28"/>
        <v>89</v>
      </c>
      <c r="AK145" s="11">
        <f t="shared" si="29"/>
        <v>5.9998628921690153E-2</v>
      </c>
      <c r="AL145" s="42">
        <f t="shared" si="30"/>
        <v>5.988930949268257E-2</v>
      </c>
      <c r="AM145" s="14" t="str">
        <f t="shared" si="32"/>
        <v>*</v>
      </c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</row>
    <row r="146" spans="1:56" ht="27" customHeight="1" x14ac:dyDescent="0.2">
      <c r="A146" s="9" t="s">
        <v>356</v>
      </c>
      <c r="B146" s="11">
        <v>152</v>
      </c>
      <c r="C146" s="2">
        <v>874.59656683193498</v>
      </c>
      <c r="D146" s="2">
        <v>8.15448444444446</v>
      </c>
      <c r="E146" s="2">
        <v>-1</v>
      </c>
      <c r="F146" s="12" t="s">
        <v>117</v>
      </c>
      <c r="G146" s="12" t="s">
        <v>43</v>
      </c>
      <c r="H146" s="5"/>
      <c r="I146" s="11">
        <v>14214</v>
      </c>
      <c r="J146" s="11">
        <v>12397</v>
      </c>
      <c r="K146" s="11">
        <v>15861</v>
      </c>
      <c r="L146" s="11">
        <v>16599</v>
      </c>
      <c r="M146" s="11">
        <v>18284</v>
      </c>
      <c r="N146" s="11">
        <v>20344</v>
      </c>
      <c r="O146" s="11">
        <v>25709</v>
      </c>
      <c r="P146" s="11"/>
      <c r="Q146" s="11">
        <v>11587</v>
      </c>
      <c r="R146" s="11">
        <v>10375</v>
      </c>
      <c r="S146" s="11">
        <v>10649</v>
      </c>
      <c r="T146" s="11">
        <v>11479</v>
      </c>
      <c r="U146" s="11">
        <v>14289</v>
      </c>
      <c r="V146" s="11">
        <v>13392</v>
      </c>
      <c r="W146" s="11">
        <v>20391</v>
      </c>
      <c r="X146" s="11"/>
      <c r="Y146" s="11">
        <v>182</v>
      </c>
      <c r="Z146" s="11">
        <v>18637</v>
      </c>
      <c r="AA146" s="11">
        <v>13739</v>
      </c>
      <c r="AB146" s="11">
        <v>19158</v>
      </c>
      <c r="AC146" s="17">
        <f t="shared" si="22"/>
        <v>0.17403843588498646</v>
      </c>
      <c r="AD146" s="11">
        <f t="shared" si="23"/>
        <v>17629.714285714286</v>
      </c>
      <c r="AE146" s="11">
        <f t="shared" si="24"/>
        <v>13166</v>
      </c>
      <c r="AF146" s="28">
        <f t="shared" si="31"/>
        <v>0.74680733826008039</v>
      </c>
      <c r="AG146" s="42">
        <f t="shared" si="25"/>
        <v>5.8459874764262988E-2</v>
      </c>
      <c r="AH146" s="14" t="str">
        <f t="shared" si="26"/>
        <v>-</v>
      </c>
      <c r="AI146" s="11">
        <f t="shared" si="27"/>
        <v>168</v>
      </c>
      <c r="AJ146" s="11">
        <f t="shared" si="28"/>
        <v>168</v>
      </c>
      <c r="AK146" s="11">
        <f t="shared" si="29"/>
        <v>0.1346664972248201</v>
      </c>
      <c r="AL146" s="42">
        <f t="shared" si="30"/>
        <v>0.1346664972248201</v>
      </c>
      <c r="AM146" s="14" t="str">
        <f t="shared" si="32"/>
        <v/>
      </c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</row>
    <row r="147" spans="1:56" ht="27" customHeight="1" x14ac:dyDescent="0.2">
      <c r="A147" s="9" t="s">
        <v>356</v>
      </c>
      <c r="B147" s="11">
        <v>280</v>
      </c>
      <c r="C147" s="2">
        <v>876.61103769788303</v>
      </c>
      <c r="D147" s="2">
        <v>8.6874654761904999</v>
      </c>
      <c r="E147" s="2">
        <v>-1</v>
      </c>
      <c r="F147" s="12" t="s">
        <v>150</v>
      </c>
      <c r="G147" s="12" t="s">
        <v>43</v>
      </c>
      <c r="H147" s="5"/>
      <c r="I147" s="11">
        <v>7498</v>
      </c>
      <c r="J147" s="11">
        <v>9811</v>
      </c>
      <c r="K147" s="11">
        <v>11246</v>
      </c>
      <c r="L147" s="11">
        <v>10485</v>
      </c>
      <c r="M147" s="11">
        <v>12417</v>
      </c>
      <c r="N147" s="11">
        <v>12998</v>
      </c>
      <c r="O147" s="11">
        <v>13578</v>
      </c>
      <c r="P147" s="11"/>
      <c r="Q147" s="11">
        <v>6387</v>
      </c>
      <c r="R147" s="11">
        <v>6817</v>
      </c>
      <c r="S147" s="11">
        <v>5215</v>
      </c>
      <c r="T147" s="11">
        <v>9115</v>
      </c>
      <c r="U147" s="11">
        <v>9058</v>
      </c>
      <c r="V147" s="11">
        <v>7643</v>
      </c>
      <c r="W147" s="11">
        <v>9064</v>
      </c>
      <c r="X147" s="11"/>
      <c r="Y147" s="11">
        <v>0</v>
      </c>
      <c r="Z147" s="11">
        <v>8333</v>
      </c>
      <c r="AA147" s="11">
        <v>10347</v>
      </c>
      <c r="AB147" s="11">
        <v>10226</v>
      </c>
      <c r="AC147" s="17">
        <f t="shared" si="22"/>
        <v>0.1172222286260579</v>
      </c>
      <c r="AD147" s="11">
        <f t="shared" si="23"/>
        <v>11147.571428571429</v>
      </c>
      <c r="AE147" s="11">
        <f t="shared" si="24"/>
        <v>7614.1428571428569</v>
      </c>
      <c r="AF147" s="28">
        <f t="shared" si="31"/>
        <v>0.683031537939077</v>
      </c>
      <c r="AG147" s="42">
        <f t="shared" si="25"/>
        <v>4.2786215622708365E-3</v>
      </c>
      <c r="AH147" s="14" t="str">
        <f t="shared" si="26"/>
        <v>**</v>
      </c>
      <c r="AI147" s="11">
        <f t="shared" si="27"/>
        <v>48</v>
      </c>
      <c r="AJ147" s="11">
        <f t="shared" si="28"/>
        <v>48</v>
      </c>
      <c r="AK147" s="11">
        <f t="shared" si="29"/>
        <v>3.4496386345808615E-2</v>
      </c>
      <c r="AL147" s="42">
        <f t="shared" si="30"/>
        <v>3.4496386345808615E-2</v>
      </c>
      <c r="AM147" s="14" t="str">
        <f t="shared" si="32"/>
        <v>**</v>
      </c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</row>
    <row r="148" spans="1:56" ht="27" customHeight="1" x14ac:dyDescent="0.2">
      <c r="A148" s="9" t="s">
        <v>356</v>
      </c>
      <c r="B148" s="11">
        <v>362</v>
      </c>
      <c r="C148" s="2">
        <v>800.581067431885</v>
      </c>
      <c r="D148" s="2">
        <v>8.1588074074075507</v>
      </c>
      <c r="E148" s="2">
        <v>-1</v>
      </c>
      <c r="F148" s="12" t="s">
        <v>174</v>
      </c>
      <c r="G148" s="12" t="s">
        <v>43</v>
      </c>
      <c r="H148" s="5"/>
      <c r="I148" s="11">
        <v>6594</v>
      </c>
      <c r="J148" s="11">
        <v>6130</v>
      </c>
      <c r="K148" s="11">
        <v>8965</v>
      </c>
      <c r="L148" s="11">
        <v>7376</v>
      </c>
      <c r="M148" s="11">
        <v>6725</v>
      </c>
      <c r="N148" s="11">
        <v>8549</v>
      </c>
      <c r="O148" s="11">
        <v>10084</v>
      </c>
      <c r="P148" s="11"/>
      <c r="Q148" s="11">
        <v>3644</v>
      </c>
      <c r="R148" s="11">
        <v>4552</v>
      </c>
      <c r="S148" s="11">
        <v>3538</v>
      </c>
      <c r="T148" s="11">
        <v>5547</v>
      </c>
      <c r="U148" s="11">
        <v>5701</v>
      </c>
      <c r="V148" s="11">
        <v>3034</v>
      </c>
      <c r="W148" s="11">
        <v>6875</v>
      </c>
      <c r="X148" s="11"/>
      <c r="Y148" s="11">
        <v>0</v>
      </c>
      <c r="Z148" s="11">
        <v>7268</v>
      </c>
      <c r="AA148" s="11">
        <v>6711</v>
      </c>
      <c r="AB148" s="11">
        <v>7266</v>
      </c>
      <c r="AC148" s="17">
        <f t="shared" si="22"/>
        <v>4.5329485610538962E-2</v>
      </c>
      <c r="AD148" s="11">
        <f t="shared" si="23"/>
        <v>7774.7142857142853</v>
      </c>
      <c r="AE148" s="11">
        <f t="shared" si="24"/>
        <v>4698.7142857142853</v>
      </c>
      <c r="AF148" s="28">
        <f t="shared" si="31"/>
        <v>0.6043584513900373</v>
      </c>
      <c r="AG148" s="42">
        <f t="shared" si="25"/>
        <v>1.6630952026910569E-3</v>
      </c>
      <c r="AH148" s="14" t="str">
        <f t="shared" si="26"/>
        <v>**</v>
      </c>
      <c r="AI148" s="11">
        <f t="shared" si="27"/>
        <v>28</v>
      </c>
      <c r="AJ148" s="11">
        <f t="shared" si="28"/>
        <v>28</v>
      </c>
      <c r="AK148" s="11">
        <f t="shared" si="29"/>
        <v>2.2986351551479964E-2</v>
      </c>
      <c r="AL148" s="42">
        <f t="shared" si="30"/>
        <v>2.2986351551479964E-2</v>
      </c>
      <c r="AM148" s="14" t="str">
        <f t="shared" si="32"/>
        <v>**</v>
      </c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</row>
    <row r="149" spans="1:56" ht="27" customHeight="1" x14ac:dyDescent="0.2">
      <c r="A149" s="9" t="s">
        <v>356</v>
      </c>
      <c r="B149" s="11">
        <v>3</v>
      </c>
      <c r="C149" s="2">
        <v>790.539180905845</v>
      </c>
      <c r="D149" s="2">
        <v>8.5407147058823494</v>
      </c>
      <c r="E149" s="2">
        <v>-1</v>
      </c>
      <c r="F149" s="12" t="s">
        <v>11</v>
      </c>
      <c r="G149" s="12" t="s">
        <v>12</v>
      </c>
      <c r="H149" s="5"/>
      <c r="I149" s="11">
        <v>1133144</v>
      </c>
      <c r="J149" s="11">
        <v>1055640</v>
      </c>
      <c r="K149" s="11">
        <v>1405571</v>
      </c>
      <c r="L149" s="11">
        <v>1374110</v>
      </c>
      <c r="M149" s="11">
        <v>1285394</v>
      </c>
      <c r="N149" s="11">
        <v>1329108</v>
      </c>
      <c r="O149" s="11">
        <v>1507651</v>
      </c>
      <c r="P149" s="11"/>
      <c r="Q149" s="11">
        <v>1422119</v>
      </c>
      <c r="R149" s="11">
        <v>1331745</v>
      </c>
      <c r="S149" s="11">
        <v>1169469</v>
      </c>
      <c r="T149" s="11">
        <v>1584477</v>
      </c>
      <c r="U149" s="11">
        <v>1608893</v>
      </c>
      <c r="V149" s="11">
        <v>1575951</v>
      </c>
      <c r="W149" s="11">
        <v>1706099</v>
      </c>
      <c r="X149" s="11"/>
      <c r="Y149" s="11">
        <v>0</v>
      </c>
      <c r="Z149" s="11">
        <v>1360981</v>
      </c>
      <c r="AA149" s="11">
        <v>1420908</v>
      </c>
      <c r="AB149" s="11">
        <v>1476362</v>
      </c>
      <c r="AC149" s="17">
        <f t="shared" si="22"/>
        <v>4.0653978830700523E-2</v>
      </c>
      <c r="AD149" s="11">
        <f t="shared" si="23"/>
        <v>1298659.7142857143</v>
      </c>
      <c r="AE149" s="11">
        <f t="shared" si="24"/>
        <v>1485536.142857143</v>
      </c>
      <c r="AF149" s="28">
        <f t="shared" si="31"/>
        <v>1.1438994576606343</v>
      </c>
      <c r="AG149" s="42">
        <f t="shared" si="25"/>
        <v>6.6406805814145251E-2</v>
      </c>
      <c r="AH149" s="14" t="str">
        <f t="shared" si="26"/>
        <v>-</v>
      </c>
      <c r="AI149" s="11">
        <f t="shared" si="27"/>
        <v>176</v>
      </c>
      <c r="AJ149" s="11">
        <f t="shared" si="28"/>
        <v>176</v>
      </c>
      <c r="AK149" s="11">
        <f t="shared" si="29"/>
        <v>0.1460195105117853</v>
      </c>
      <c r="AL149" s="42">
        <f t="shared" si="30"/>
        <v>0.14486585167607827</v>
      </c>
      <c r="AM149" s="14" t="str">
        <f t="shared" si="32"/>
        <v/>
      </c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</row>
    <row r="150" spans="1:56" ht="27" customHeight="1" x14ac:dyDescent="0.2">
      <c r="A150" s="9" t="s">
        <v>356</v>
      </c>
      <c r="B150" s="11">
        <v>5</v>
      </c>
      <c r="C150" s="2">
        <v>762.50839689415795</v>
      </c>
      <c r="D150" s="2">
        <v>7.9441697916666802</v>
      </c>
      <c r="E150" s="2">
        <v>-1</v>
      </c>
      <c r="F150" s="12" t="s">
        <v>16</v>
      </c>
      <c r="G150" s="12" t="s">
        <v>12</v>
      </c>
      <c r="H150" s="5"/>
      <c r="I150" s="11">
        <v>712948</v>
      </c>
      <c r="J150" s="11">
        <v>677132</v>
      </c>
      <c r="K150" s="11">
        <v>925389</v>
      </c>
      <c r="L150" s="11">
        <v>831496</v>
      </c>
      <c r="M150" s="11">
        <v>868220</v>
      </c>
      <c r="N150" s="11">
        <v>907582</v>
      </c>
      <c r="O150" s="11">
        <v>1079454</v>
      </c>
      <c r="P150" s="11"/>
      <c r="Q150" s="11">
        <v>946737</v>
      </c>
      <c r="R150" s="11">
        <v>985468</v>
      </c>
      <c r="S150" s="11">
        <v>879385</v>
      </c>
      <c r="T150" s="11">
        <v>1136555</v>
      </c>
      <c r="U150" s="11">
        <v>1159028</v>
      </c>
      <c r="V150" s="11">
        <v>1035726</v>
      </c>
      <c r="W150" s="11">
        <v>1184816</v>
      </c>
      <c r="X150" s="11"/>
      <c r="Y150" s="11">
        <v>0</v>
      </c>
      <c r="Z150" s="11">
        <v>886413</v>
      </c>
      <c r="AA150" s="11">
        <v>1052177</v>
      </c>
      <c r="AB150" s="11">
        <v>1064327</v>
      </c>
      <c r="AC150" s="17">
        <f t="shared" si="22"/>
        <v>9.9300560723623518E-2</v>
      </c>
      <c r="AD150" s="11">
        <f t="shared" si="23"/>
        <v>857460.14285714284</v>
      </c>
      <c r="AE150" s="11">
        <f t="shared" si="24"/>
        <v>1046816.4285714285</v>
      </c>
      <c r="AF150" s="28">
        <f t="shared" si="31"/>
        <v>1.2208339213101282</v>
      </c>
      <c r="AG150" s="42">
        <f t="shared" si="25"/>
        <v>1.6379146325088648E-2</v>
      </c>
      <c r="AH150" s="14" t="str">
        <f t="shared" si="26"/>
        <v>*</v>
      </c>
      <c r="AI150" s="11">
        <f t="shared" si="27"/>
        <v>101</v>
      </c>
      <c r="AJ150" s="11">
        <f t="shared" si="28"/>
        <v>101</v>
      </c>
      <c r="AK150" s="11">
        <f t="shared" si="29"/>
        <v>6.2759699285240653E-2</v>
      </c>
      <c r="AL150" s="42">
        <f t="shared" si="30"/>
        <v>6.1851950472227211E-2</v>
      </c>
      <c r="AM150" s="14" t="str">
        <f t="shared" si="32"/>
        <v>*</v>
      </c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</row>
    <row r="151" spans="1:56" ht="27" customHeight="1" x14ac:dyDescent="0.2">
      <c r="A151" s="9" t="s">
        <v>356</v>
      </c>
      <c r="B151" s="11">
        <v>8</v>
      </c>
      <c r="C151" s="2">
        <v>788.52370974123005</v>
      </c>
      <c r="D151" s="2">
        <v>8.02529411764705</v>
      </c>
      <c r="E151" s="2">
        <v>-1</v>
      </c>
      <c r="F151" s="12" t="s">
        <v>17</v>
      </c>
      <c r="G151" s="12" t="s">
        <v>12</v>
      </c>
      <c r="H151" s="5"/>
      <c r="I151" s="11">
        <v>492007</v>
      </c>
      <c r="J151" s="11">
        <v>463336</v>
      </c>
      <c r="K151" s="11">
        <v>752331</v>
      </c>
      <c r="L151" s="11">
        <v>578754</v>
      </c>
      <c r="M151" s="11">
        <v>681497</v>
      </c>
      <c r="N151" s="11">
        <v>728844</v>
      </c>
      <c r="O151" s="11">
        <v>699429</v>
      </c>
      <c r="P151" s="11"/>
      <c r="Q151" s="11">
        <v>520637</v>
      </c>
      <c r="R151" s="11">
        <v>570956</v>
      </c>
      <c r="S151" s="11">
        <v>404672</v>
      </c>
      <c r="T151" s="11">
        <v>630898</v>
      </c>
      <c r="U151" s="11">
        <v>591706</v>
      </c>
      <c r="V151" s="11">
        <v>594524</v>
      </c>
      <c r="W151" s="11">
        <v>648241</v>
      </c>
      <c r="X151" s="11"/>
      <c r="Y151" s="11">
        <v>868</v>
      </c>
      <c r="Z151" s="11">
        <v>582755</v>
      </c>
      <c r="AA151" s="11">
        <v>632198</v>
      </c>
      <c r="AB151" s="11">
        <v>671017</v>
      </c>
      <c r="AC151" s="17">
        <f t="shared" si="22"/>
        <v>7.036820030542397E-2</v>
      </c>
      <c r="AD151" s="11">
        <f t="shared" si="23"/>
        <v>628028.28571428568</v>
      </c>
      <c r="AE151" s="11">
        <f t="shared" si="24"/>
        <v>565947.71428571432</v>
      </c>
      <c r="AF151" s="28">
        <f t="shared" si="31"/>
        <v>0.90115003919295733</v>
      </c>
      <c r="AG151" s="42">
        <f t="shared" si="25"/>
        <v>0.27462056399847129</v>
      </c>
      <c r="AH151" s="14" t="str">
        <f t="shared" si="26"/>
        <v>-</v>
      </c>
      <c r="AI151" s="11">
        <f t="shared" si="27"/>
        <v>265</v>
      </c>
      <c r="AJ151" s="11">
        <f t="shared" si="28"/>
        <v>265</v>
      </c>
      <c r="AK151" s="11">
        <f t="shared" si="29"/>
        <v>0.40104965383927693</v>
      </c>
      <c r="AL151" s="42">
        <f t="shared" si="30"/>
        <v>0.40014070671414992</v>
      </c>
      <c r="AM151" s="14" t="str">
        <f t="shared" si="32"/>
        <v/>
      </c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</row>
    <row r="152" spans="1:56" ht="27" customHeight="1" x14ac:dyDescent="0.2">
      <c r="A152" s="9" t="s">
        <v>356</v>
      </c>
      <c r="B152" s="11">
        <v>13</v>
      </c>
      <c r="C152" s="2">
        <v>766.53947839218802</v>
      </c>
      <c r="D152" s="2">
        <v>8.6222970588235803</v>
      </c>
      <c r="E152" s="2">
        <v>-1</v>
      </c>
      <c r="F152" s="12" t="s">
        <v>23</v>
      </c>
      <c r="G152" s="12" t="s">
        <v>12</v>
      </c>
      <c r="H152" s="5"/>
      <c r="I152" s="11">
        <v>275841</v>
      </c>
      <c r="J152" s="11">
        <v>271900</v>
      </c>
      <c r="K152" s="11">
        <v>335190</v>
      </c>
      <c r="L152" s="11">
        <v>310713</v>
      </c>
      <c r="M152" s="11">
        <v>306348</v>
      </c>
      <c r="N152" s="11">
        <v>320025</v>
      </c>
      <c r="O152" s="11">
        <v>399258</v>
      </c>
      <c r="P152" s="11"/>
      <c r="Q152" s="11">
        <v>329258</v>
      </c>
      <c r="R152" s="11">
        <v>417118</v>
      </c>
      <c r="S152" s="11">
        <v>342723</v>
      </c>
      <c r="T152" s="11">
        <v>437941</v>
      </c>
      <c r="U152" s="11">
        <v>435464</v>
      </c>
      <c r="V152" s="11">
        <v>331476</v>
      </c>
      <c r="W152" s="11">
        <v>408983</v>
      </c>
      <c r="X152" s="11"/>
      <c r="Y152" s="11">
        <v>0</v>
      </c>
      <c r="Z152" s="11">
        <v>339928</v>
      </c>
      <c r="AA152" s="11">
        <v>330063</v>
      </c>
      <c r="AB152" s="11">
        <v>388331</v>
      </c>
      <c r="AC152" s="17">
        <f t="shared" si="22"/>
        <v>8.8401667816292606E-2</v>
      </c>
      <c r="AD152" s="11">
        <f t="shared" si="23"/>
        <v>317039.28571428574</v>
      </c>
      <c r="AE152" s="11">
        <f t="shared" si="24"/>
        <v>386137.57142857142</v>
      </c>
      <c r="AF152" s="28">
        <f t="shared" si="31"/>
        <v>1.2179486544029017</v>
      </c>
      <c r="AG152" s="42">
        <f t="shared" si="25"/>
        <v>1.6515532657301799E-2</v>
      </c>
      <c r="AH152" s="14" t="str">
        <f t="shared" si="26"/>
        <v>*</v>
      </c>
      <c r="AI152" s="11">
        <f t="shared" si="27"/>
        <v>103</v>
      </c>
      <c r="AJ152" s="11">
        <f t="shared" si="28"/>
        <v>103</v>
      </c>
      <c r="AK152" s="11">
        <f t="shared" si="29"/>
        <v>6.2053506197823266E-2</v>
      </c>
      <c r="AL152" s="42">
        <f t="shared" si="30"/>
        <v>6.1851950472227211E-2</v>
      </c>
      <c r="AM152" s="14" t="str">
        <f t="shared" si="32"/>
        <v>*</v>
      </c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</row>
    <row r="153" spans="1:56" ht="27" customHeight="1" x14ac:dyDescent="0.2">
      <c r="A153" s="9" t="s">
        <v>356</v>
      </c>
      <c r="B153" s="11">
        <v>21</v>
      </c>
      <c r="C153" s="2">
        <v>786.50754228233598</v>
      </c>
      <c r="D153" s="2">
        <v>7.6721558823529401</v>
      </c>
      <c r="E153" s="2">
        <v>-1</v>
      </c>
      <c r="F153" s="12" t="s">
        <v>26</v>
      </c>
      <c r="G153" s="12" t="s">
        <v>12</v>
      </c>
      <c r="H153" s="5"/>
      <c r="I153" s="11">
        <v>196927</v>
      </c>
      <c r="J153" s="11">
        <v>185065</v>
      </c>
      <c r="K153" s="11">
        <v>286312</v>
      </c>
      <c r="L153" s="11">
        <v>263423</v>
      </c>
      <c r="M153" s="11">
        <v>280655</v>
      </c>
      <c r="N153" s="11">
        <v>273973</v>
      </c>
      <c r="O153" s="11">
        <v>345134</v>
      </c>
      <c r="P153" s="11"/>
      <c r="Q153" s="11">
        <v>182180</v>
      </c>
      <c r="R153" s="11">
        <v>206396</v>
      </c>
      <c r="S153" s="11">
        <v>140666</v>
      </c>
      <c r="T153" s="11">
        <v>220805</v>
      </c>
      <c r="U153" s="11">
        <v>261342</v>
      </c>
      <c r="V153" s="11">
        <v>206061</v>
      </c>
      <c r="W153" s="11">
        <v>241501</v>
      </c>
      <c r="X153" s="11"/>
      <c r="Y153" s="11">
        <v>0</v>
      </c>
      <c r="Z153" s="11">
        <v>231035</v>
      </c>
      <c r="AA153" s="11">
        <v>244525</v>
      </c>
      <c r="AB153" s="11">
        <v>256767</v>
      </c>
      <c r="AC153" s="17">
        <f t="shared" si="22"/>
        <v>5.2726622138388093E-2</v>
      </c>
      <c r="AD153" s="11">
        <f t="shared" si="23"/>
        <v>261641.28571428571</v>
      </c>
      <c r="AE153" s="11">
        <f t="shared" si="24"/>
        <v>208421.57142857142</v>
      </c>
      <c r="AF153" s="28">
        <f t="shared" si="31"/>
        <v>0.79659282692934541</v>
      </c>
      <c r="AG153" s="42">
        <f t="shared" si="25"/>
        <v>6.1927751006031838E-2</v>
      </c>
      <c r="AH153" s="14" t="str">
        <f t="shared" si="26"/>
        <v>-</v>
      </c>
      <c r="AI153" s="11">
        <f t="shared" si="27"/>
        <v>170</v>
      </c>
      <c r="AJ153" s="11">
        <f t="shared" si="28"/>
        <v>170</v>
      </c>
      <c r="AK153" s="11">
        <f t="shared" si="29"/>
        <v>0.14097670376079013</v>
      </c>
      <c r="AL153" s="42">
        <f t="shared" si="30"/>
        <v>0.13999845224717955</v>
      </c>
      <c r="AM153" s="14" t="str">
        <f t="shared" si="32"/>
        <v/>
      </c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</row>
    <row r="154" spans="1:56" ht="27" customHeight="1" x14ac:dyDescent="0.2">
      <c r="A154" s="9" t="s">
        <v>356</v>
      </c>
      <c r="B154" s="11">
        <v>50</v>
      </c>
      <c r="C154" s="2">
        <v>742.53872628404804</v>
      </c>
      <c r="D154" s="2">
        <v>8.6289333333333502</v>
      </c>
      <c r="E154" s="2">
        <v>-1</v>
      </c>
      <c r="F154" s="12" t="s">
        <v>66</v>
      </c>
      <c r="G154" s="12" t="s">
        <v>12</v>
      </c>
      <c r="H154" s="5"/>
      <c r="I154" s="11">
        <v>54632</v>
      </c>
      <c r="J154" s="11">
        <v>49925</v>
      </c>
      <c r="K154" s="11">
        <v>82140</v>
      </c>
      <c r="L154" s="11">
        <v>69110</v>
      </c>
      <c r="M154" s="11">
        <v>79171</v>
      </c>
      <c r="N154" s="11">
        <v>79788</v>
      </c>
      <c r="O154" s="11">
        <v>80484</v>
      </c>
      <c r="P154" s="11"/>
      <c r="Q154" s="11">
        <v>83894</v>
      </c>
      <c r="R154" s="11">
        <v>76412</v>
      </c>
      <c r="S154" s="11">
        <v>57261</v>
      </c>
      <c r="T154" s="11">
        <v>104234</v>
      </c>
      <c r="U154" s="11">
        <v>100102</v>
      </c>
      <c r="V154" s="11">
        <v>74501</v>
      </c>
      <c r="W154" s="11">
        <v>106129</v>
      </c>
      <c r="X154" s="11"/>
      <c r="Y154" s="11">
        <v>0</v>
      </c>
      <c r="Z154" s="11">
        <v>77219</v>
      </c>
      <c r="AA154" s="11">
        <v>77597</v>
      </c>
      <c r="AB154" s="11">
        <v>83591</v>
      </c>
      <c r="AC154" s="17">
        <f t="shared" si="22"/>
        <v>4.4983031058696533E-2</v>
      </c>
      <c r="AD154" s="11">
        <f t="shared" si="23"/>
        <v>70750</v>
      </c>
      <c r="AE154" s="11">
        <f t="shared" si="24"/>
        <v>86076.142857142855</v>
      </c>
      <c r="AF154" s="28">
        <f t="shared" si="31"/>
        <v>1.2166239273094397</v>
      </c>
      <c r="AG154" s="42">
        <f t="shared" si="25"/>
        <v>0.10023382934711735</v>
      </c>
      <c r="AH154" s="14" t="str">
        <f t="shared" si="26"/>
        <v>-</v>
      </c>
      <c r="AI154" s="11">
        <f t="shared" si="27"/>
        <v>197</v>
      </c>
      <c r="AJ154" s="11">
        <f t="shared" si="28"/>
        <v>197</v>
      </c>
      <c r="AK154" s="11">
        <f t="shared" si="29"/>
        <v>0.19690605054484472</v>
      </c>
      <c r="AL154" s="42">
        <f t="shared" si="30"/>
        <v>0.19690605054484472</v>
      </c>
      <c r="AM154" s="14" t="str">
        <f t="shared" si="32"/>
        <v/>
      </c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</row>
    <row r="155" spans="1:56" ht="27" customHeight="1" x14ac:dyDescent="0.2">
      <c r="A155" s="9" t="s">
        <v>356</v>
      </c>
      <c r="B155" s="11">
        <v>54</v>
      </c>
      <c r="C155" s="2">
        <v>764.52314438410394</v>
      </c>
      <c r="D155" s="2">
        <v>8.0876137254902893</v>
      </c>
      <c r="E155" s="2">
        <v>-1</v>
      </c>
      <c r="F155" s="12" t="s">
        <v>67</v>
      </c>
      <c r="G155" s="12" t="s">
        <v>12</v>
      </c>
      <c r="H155" s="5"/>
      <c r="I155" s="11">
        <v>52570</v>
      </c>
      <c r="J155" s="11">
        <v>50974</v>
      </c>
      <c r="K155" s="11">
        <v>81622</v>
      </c>
      <c r="L155" s="11">
        <v>70314</v>
      </c>
      <c r="M155" s="11">
        <v>68528</v>
      </c>
      <c r="N155" s="11">
        <v>76332</v>
      </c>
      <c r="O155" s="11">
        <v>83960</v>
      </c>
      <c r="P155" s="11"/>
      <c r="Q155" s="11">
        <v>74992</v>
      </c>
      <c r="R155" s="11">
        <v>84903</v>
      </c>
      <c r="S155" s="11">
        <v>57878</v>
      </c>
      <c r="T155" s="11">
        <v>89759</v>
      </c>
      <c r="U155" s="11">
        <v>92239</v>
      </c>
      <c r="V155" s="11">
        <v>69237</v>
      </c>
      <c r="W155" s="11">
        <v>99789</v>
      </c>
      <c r="X155" s="11"/>
      <c r="Y155" s="11">
        <v>0</v>
      </c>
      <c r="Z155" s="11">
        <v>73741</v>
      </c>
      <c r="AA155" s="11">
        <v>81280</v>
      </c>
      <c r="AB155" s="11">
        <v>93232</v>
      </c>
      <c r="AC155" s="17">
        <f t="shared" si="22"/>
        <v>0.11877089582562868</v>
      </c>
      <c r="AD155" s="11">
        <f t="shared" si="23"/>
        <v>69185.71428571429</v>
      </c>
      <c r="AE155" s="11">
        <f t="shared" si="24"/>
        <v>81256.71428571429</v>
      </c>
      <c r="AF155" s="28">
        <f t="shared" si="31"/>
        <v>1.1744724344414619</v>
      </c>
      <c r="AG155" s="42">
        <f t="shared" si="25"/>
        <v>0.13009779327186397</v>
      </c>
      <c r="AH155" s="14" t="str">
        <f t="shared" si="26"/>
        <v>-</v>
      </c>
      <c r="AI155" s="11">
        <f t="shared" si="27"/>
        <v>216</v>
      </c>
      <c r="AJ155" s="11">
        <f t="shared" si="28"/>
        <v>216</v>
      </c>
      <c r="AK155" s="11">
        <f t="shared" si="29"/>
        <v>0.2330918796120896</v>
      </c>
      <c r="AL155" s="42">
        <f t="shared" si="30"/>
        <v>0.2330918796120896</v>
      </c>
      <c r="AM155" s="14" t="str">
        <f t="shared" si="32"/>
        <v/>
      </c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</row>
    <row r="156" spans="1:56" ht="27" customHeight="1" x14ac:dyDescent="0.2">
      <c r="A156" s="9" t="s">
        <v>356</v>
      </c>
      <c r="B156" s="11">
        <v>71</v>
      </c>
      <c r="C156" s="2">
        <v>738.50748774395902</v>
      </c>
      <c r="D156" s="2">
        <v>8.0000794117647605</v>
      </c>
      <c r="E156" s="2">
        <v>-1</v>
      </c>
      <c r="F156" s="12" t="s">
        <v>77</v>
      </c>
      <c r="G156" s="12" t="s">
        <v>12</v>
      </c>
      <c r="H156" s="5"/>
      <c r="I156" s="11">
        <v>31611</v>
      </c>
      <c r="J156" s="11">
        <v>32924</v>
      </c>
      <c r="K156" s="11">
        <v>46189</v>
      </c>
      <c r="L156" s="11">
        <v>31508</v>
      </c>
      <c r="M156" s="11">
        <v>36559</v>
      </c>
      <c r="N156" s="11">
        <v>47768</v>
      </c>
      <c r="O156" s="11">
        <v>48422</v>
      </c>
      <c r="P156" s="11"/>
      <c r="Q156" s="11">
        <v>44181</v>
      </c>
      <c r="R156" s="11">
        <v>56996</v>
      </c>
      <c r="S156" s="11">
        <v>46778</v>
      </c>
      <c r="T156" s="11">
        <v>57888</v>
      </c>
      <c r="U156" s="11">
        <v>54744</v>
      </c>
      <c r="V156" s="11">
        <v>52387</v>
      </c>
      <c r="W156" s="11">
        <v>67625</v>
      </c>
      <c r="X156" s="11"/>
      <c r="Y156" s="11">
        <v>0</v>
      </c>
      <c r="Z156" s="11">
        <v>48921</v>
      </c>
      <c r="AA156" s="11">
        <v>49891</v>
      </c>
      <c r="AB156" s="11">
        <v>54156</v>
      </c>
      <c r="AC156" s="17">
        <f t="shared" si="22"/>
        <v>5.4618679939013023E-2</v>
      </c>
      <c r="AD156" s="11">
        <f t="shared" si="23"/>
        <v>39283</v>
      </c>
      <c r="AE156" s="11">
        <f t="shared" si="24"/>
        <v>54371.285714285717</v>
      </c>
      <c r="AF156" s="28">
        <f t="shared" si="31"/>
        <v>1.3840919918103434</v>
      </c>
      <c r="AG156" s="42">
        <f t="shared" si="25"/>
        <v>3.5351723688459851E-3</v>
      </c>
      <c r="AH156" s="14" t="str">
        <f t="shared" si="26"/>
        <v>**</v>
      </c>
      <c r="AI156" s="11">
        <f t="shared" si="27"/>
        <v>41</v>
      </c>
      <c r="AJ156" s="11">
        <f t="shared" si="28"/>
        <v>41</v>
      </c>
      <c r="AK156" s="11">
        <f t="shared" si="29"/>
        <v>3.336857821325357E-2</v>
      </c>
      <c r="AL156" s="42">
        <f t="shared" si="30"/>
        <v>3.2330070061871032E-2</v>
      </c>
      <c r="AM156" s="14" t="str">
        <f t="shared" si="32"/>
        <v>**</v>
      </c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</row>
    <row r="157" spans="1:56" ht="27" customHeight="1" x14ac:dyDescent="0.2">
      <c r="A157" s="9" t="s">
        <v>356</v>
      </c>
      <c r="B157" s="11">
        <v>79</v>
      </c>
      <c r="C157" s="2">
        <v>776.52221246710303</v>
      </c>
      <c r="D157" s="2">
        <v>8.2344470588235801</v>
      </c>
      <c r="E157" s="2">
        <v>-1</v>
      </c>
      <c r="F157" s="12" t="s">
        <v>89</v>
      </c>
      <c r="G157" s="12" t="s">
        <v>12</v>
      </c>
      <c r="H157" s="5"/>
      <c r="I157" s="11">
        <v>38375</v>
      </c>
      <c r="J157" s="11">
        <v>34391</v>
      </c>
      <c r="K157" s="11">
        <v>47209</v>
      </c>
      <c r="L157" s="11">
        <v>41032</v>
      </c>
      <c r="M157" s="11">
        <v>36502</v>
      </c>
      <c r="N157" s="11">
        <v>41101</v>
      </c>
      <c r="O157" s="11">
        <v>51938</v>
      </c>
      <c r="P157" s="11"/>
      <c r="Q157" s="11">
        <v>53492</v>
      </c>
      <c r="R157" s="11">
        <v>50125</v>
      </c>
      <c r="S157" s="11">
        <v>35315</v>
      </c>
      <c r="T157" s="11">
        <v>46112</v>
      </c>
      <c r="U157" s="11">
        <v>55388</v>
      </c>
      <c r="V157" s="11">
        <v>59298</v>
      </c>
      <c r="W157" s="11">
        <v>56306</v>
      </c>
      <c r="X157" s="11"/>
      <c r="Y157" s="11">
        <v>0</v>
      </c>
      <c r="Z157" s="11">
        <v>45953</v>
      </c>
      <c r="AA157" s="11">
        <v>51601</v>
      </c>
      <c r="AB157" s="11">
        <v>45161</v>
      </c>
      <c r="AC157" s="17">
        <f t="shared" si="22"/>
        <v>7.3823413265679455E-2</v>
      </c>
      <c r="AD157" s="11">
        <f t="shared" si="23"/>
        <v>41506.857142857145</v>
      </c>
      <c r="AE157" s="11">
        <f t="shared" si="24"/>
        <v>50862.285714285717</v>
      </c>
      <c r="AF157" s="28">
        <f t="shared" si="31"/>
        <v>1.2253947712598263</v>
      </c>
      <c r="AG157" s="42">
        <f t="shared" si="25"/>
        <v>3.2783851723923174E-2</v>
      </c>
      <c r="AH157" s="14" t="str">
        <f t="shared" si="26"/>
        <v>*</v>
      </c>
      <c r="AI157" s="11">
        <f t="shared" si="27"/>
        <v>137</v>
      </c>
      <c r="AJ157" s="11">
        <f t="shared" si="28"/>
        <v>137</v>
      </c>
      <c r="AK157" s="11">
        <f t="shared" si="29"/>
        <v>9.2608398665388822E-2</v>
      </c>
      <c r="AL157" s="42">
        <f t="shared" si="30"/>
        <v>9.2289142428524734E-2</v>
      </c>
      <c r="AM157" s="14" t="str">
        <f t="shared" si="32"/>
        <v>*</v>
      </c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</row>
    <row r="158" spans="1:56" ht="27" customHeight="1" x14ac:dyDescent="0.2">
      <c r="A158" s="9" t="s">
        <v>356</v>
      </c>
      <c r="B158" s="11">
        <v>80</v>
      </c>
      <c r="C158" s="2">
        <v>714.50691717912696</v>
      </c>
      <c r="D158" s="2">
        <v>8.0066970588235904</v>
      </c>
      <c r="E158" s="2">
        <v>-1</v>
      </c>
      <c r="F158" s="12" t="s">
        <v>94</v>
      </c>
      <c r="G158" s="12" t="s">
        <v>12</v>
      </c>
      <c r="H158" s="5"/>
      <c r="I158" s="11">
        <v>30036</v>
      </c>
      <c r="J158" s="11">
        <v>27027</v>
      </c>
      <c r="K158" s="11">
        <v>41488</v>
      </c>
      <c r="L158" s="11">
        <v>28459</v>
      </c>
      <c r="M158" s="11">
        <v>33890</v>
      </c>
      <c r="N158" s="11">
        <v>38250</v>
      </c>
      <c r="O158" s="11">
        <v>37354</v>
      </c>
      <c r="P158" s="11"/>
      <c r="Q158" s="11">
        <v>36810</v>
      </c>
      <c r="R158" s="11">
        <v>35561</v>
      </c>
      <c r="S158" s="11">
        <v>26085</v>
      </c>
      <c r="T158" s="11">
        <v>43518</v>
      </c>
      <c r="U158" s="11">
        <v>50254</v>
      </c>
      <c r="V158" s="11">
        <v>38064</v>
      </c>
      <c r="W158" s="11">
        <v>58455</v>
      </c>
      <c r="X158" s="11"/>
      <c r="Y158" s="11">
        <v>110</v>
      </c>
      <c r="Z158" s="11">
        <v>31774</v>
      </c>
      <c r="AA158" s="11">
        <v>43122</v>
      </c>
      <c r="AB158" s="11">
        <v>43181</v>
      </c>
      <c r="AC158" s="17">
        <f t="shared" si="22"/>
        <v>0.16689623538489937</v>
      </c>
      <c r="AD158" s="11">
        <f t="shared" si="23"/>
        <v>33786.285714285717</v>
      </c>
      <c r="AE158" s="11">
        <f t="shared" si="24"/>
        <v>41249.571428571428</v>
      </c>
      <c r="AF158" s="28">
        <f t="shared" si="31"/>
        <v>1.2208968981497139</v>
      </c>
      <c r="AG158" s="42">
        <f t="shared" si="25"/>
        <v>0.13242917039209062</v>
      </c>
      <c r="AH158" s="14" t="str">
        <f t="shared" si="26"/>
        <v>-</v>
      </c>
      <c r="AI158" s="11">
        <f t="shared" si="27"/>
        <v>219</v>
      </c>
      <c r="AJ158" s="11">
        <f t="shared" si="28"/>
        <v>219</v>
      </c>
      <c r="AK158" s="11">
        <f t="shared" si="29"/>
        <v>0.23401867096684509</v>
      </c>
      <c r="AL158" s="42">
        <f t="shared" si="30"/>
        <v>0.2334936434615778</v>
      </c>
      <c r="AM158" s="14" t="str">
        <f t="shared" si="32"/>
        <v/>
      </c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</row>
    <row r="159" spans="1:56" ht="27" customHeight="1" x14ac:dyDescent="0.2">
      <c r="A159" s="9" t="s">
        <v>356</v>
      </c>
      <c r="B159" s="11">
        <v>84</v>
      </c>
      <c r="C159" s="2">
        <v>804.55398121130497</v>
      </c>
      <c r="D159" s="2">
        <v>8.8789990196079405</v>
      </c>
      <c r="E159" s="2">
        <v>-1</v>
      </c>
      <c r="F159" s="12" t="s">
        <v>81</v>
      </c>
      <c r="G159" s="12" t="s">
        <v>12</v>
      </c>
      <c r="H159" s="5"/>
      <c r="I159" s="11">
        <v>33353</v>
      </c>
      <c r="J159" s="11">
        <v>34030</v>
      </c>
      <c r="K159" s="11">
        <v>49096</v>
      </c>
      <c r="L159" s="11">
        <v>43013</v>
      </c>
      <c r="M159" s="11">
        <v>43299</v>
      </c>
      <c r="N159" s="11">
        <v>40932</v>
      </c>
      <c r="O159" s="11">
        <v>53711</v>
      </c>
      <c r="P159" s="11"/>
      <c r="Q159" s="11">
        <v>31770</v>
      </c>
      <c r="R159" s="11">
        <v>32521</v>
      </c>
      <c r="S159" s="11">
        <v>21555</v>
      </c>
      <c r="T159" s="11">
        <v>40458</v>
      </c>
      <c r="U159" s="11">
        <v>37935</v>
      </c>
      <c r="V159" s="11">
        <v>36639</v>
      </c>
      <c r="W159" s="11">
        <v>43582</v>
      </c>
      <c r="X159" s="11"/>
      <c r="Y159" s="11">
        <v>0</v>
      </c>
      <c r="Z159" s="11">
        <v>31857</v>
      </c>
      <c r="AA159" s="11">
        <v>42975</v>
      </c>
      <c r="AB159" s="11">
        <v>44832</v>
      </c>
      <c r="AC159" s="17">
        <f t="shared" si="22"/>
        <v>0.17591139532174044</v>
      </c>
      <c r="AD159" s="11">
        <f t="shared" si="23"/>
        <v>42490.571428571428</v>
      </c>
      <c r="AE159" s="11">
        <f t="shared" si="24"/>
        <v>34922.857142857145</v>
      </c>
      <c r="AF159" s="28">
        <f t="shared" si="31"/>
        <v>0.82189662244397088</v>
      </c>
      <c r="AG159" s="42">
        <f t="shared" si="25"/>
        <v>7.6439840968874365E-2</v>
      </c>
      <c r="AH159" s="14" t="str">
        <f t="shared" si="26"/>
        <v>-</v>
      </c>
      <c r="AI159" s="11">
        <f t="shared" si="27"/>
        <v>182</v>
      </c>
      <c r="AJ159" s="11">
        <f t="shared" si="28"/>
        <v>182</v>
      </c>
      <c r="AK159" s="11">
        <f t="shared" si="29"/>
        <v>0.16253966184040869</v>
      </c>
      <c r="AL159" s="42">
        <f t="shared" si="30"/>
        <v>0.16253966184040869</v>
      </c>
      <c r="AM159" s="14" t="str">
        <f t="shared" si="32"/>
        <v/>
      </c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</row>
    <row r="160" spans="1:56" ht="27" customHeight="1" x14ac:dyDescent="0.2">
      <c r="A160" s="9" t="s">
        <v>356</v>
      </c>
      <c r="B160" s="11">
        <v>123</v>
      </c>
      <c r="C160" s="2">
        <v>816.55384019207497</v>
      </c>
      <c r="D160" s="2">
        <v>8.6086202380952805</v>
      </c>
      <c r="E160" s="2">
        <v>-1</v>
      </c>
      <c r="F160" s="12" t="s">
        <v>99</v>
      </c>
      <c r="G160" s="12" t="s">
        <v>12</v>
      </c>
      <c r="H160" s="5"/>
      <c r="I160" s="11">
        <v>31201</v>
      </c>
      <c r="J160" s="11">
        <v>29162</v>
      </c>
      <c r="K160" s="11">
        <v>35769</v>
      </c>
      <c r="L160" s="11">
        <v>25531</v>
      </c>
      <c r="M160" s="11">
        <v>32181</v>
      </c>
      <c r="N160" s="11">
        <v>34530</v>
      </c>
      <c r="O160" s="11">
        <v>35122</v>
      </c>
      <c r="P160" s="11"/>
      <c r="Q160" s="11">
        <v>17538</v>
      </c>
      <c r="R160" s="11">
        <v>26970</v>
      </c>
      <c r="S160" s="11">
        <v>15432</v>
      </c>
      <c r="T160" s="11">
        <v>16163</v>
      </c>
      <c r="U160" s="11">
        <v>20469</v>
      </c>
      <c r="V160" s="11">
        <v>14953</v>
      </c>
      <c r="W160" s="11">
        <v>23524</v>
      </c>
      <c r="X160" s="11"/>
      <c r="Y160" s="11">
        <v>0</v>
      </c>
      <c r="Z160" s="11">
        <v>22682</v>
      </c>
      <c r="AA160" s="11">
        <v>27372</v>
      </c>
      <c r="AB160" s="11">
        <v>29064</v>
      </c>
      <c r="AC160" s="17">
        <f t="shared" si="22"/>
        <v>0.12536764364923614</v>
      </c>
      <c r="AD160" s="11">
        <f t="shared" si="23"/>
        <v>31928</v>
      </c>
      <c r="AE160" s="11">
        <f t="shared" si="24"/>
        <v>19292.714285714286</v>
      </c>
      <c r="AF160" s="28">
        <f t="shared" si="31"/>
        <v>0.60425689945233918</v>
      </c>
      <c r="AG160" s="42">
        <f t="shared" si="25"/>
        <v>1.1597091050620468E-4</v>
      </c>
      <c r="AH160" s="14" t="str">
        <f t="shared" si="26"/>
        <v>***</v>
      </c>
      <c r="AI160" s="11">
        <f t="shared" si="27"/>
        <v>6</v>
      </c>
      <c r="AJ160" s="11">
        <f t="shared" si="28"/>
        <v>6</v>
      </c>
      <c r="AK160" s="11">
        <f t="shared" si="29"/>
        <v>7.4801237276502022E-3</v>
      </c>
      <c r="AL160" s="42">
        <f t="shared" si="30"/>
        <v>6.4321232640629205E-3</v>
      </c>
      <c r="AM160" s="14" t="str">
        <f t="shared" si="32"/>
        <v>**</v>
      </c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</row>
    <row r="161" spans="1:56" ht="27" customHeight="1" x14ac:dyDescent="0.2">
      <c r="A161" s="9" t="s">
        <v>356</v>
      </c>
      <c r="B161" s="11">
        <v>126</v>
      </c>
      <c r="C161" s="2">
        <v>740.52267449461999</v>
      </c>
      <c r="D161" s="2">
        <v>8.0996245098040003</v>
      </c>
      <c r="E161" s="2">
        <v>-1</v>
      </c>
      <c r="F161" s="12" t="s">
        <v>103</v>
      </c>
      <c r="G161" s="12" t="s">
        <v>12</v>
      </c>
      <c r="H161" s="5"/>
      <c r="I161" s="11">
        <v>23079</v>
      </c>
      <c r="J161" s="11">
        <v>19477</v>
      </c>
      <c r="K161" s="11">
        <v>33486</v>
      </c>
      <c r="L161" s="11">
        <v>32508</v>
      </c>
      <c r="M161" s="11">
        <v>26779</v>
      </c>
      <c r="N161" s="11">
        <v>25200</v>
      </c>
      <c r="O161" s="11">
        <v>30707</v>
      </c>
      <c r="P161" s="11"/>
      <c r="Q161" s="11">
        <v>26503</v>
      </c>
      <c r="R161" s="11">
        <v>28840</v>
      </c>
      <c r="S161" s="11">
        <v>18766</v>
      </c>
      <c r="T161" s="11">
        <v>27225</v>
      </c>
      <c r="U161" s="11">
        <v>24545</v>
      </c>
      <c r="V161" s="11">
        <v>21527</v>
      </c>
      <c r="W161" s="11">
        <v>32602</v>
      </c>
      <c r="X161" s="11"/>
      <c r="Y161" s="11">
        <v>0</v>
      </c>
      <c r="Z161" s="11">
        <v>24252</v>
      </c>
      <c r="AA161" s="11">
        <v>28923</v>
      </c>
      <c r="AB161" s="11">
        <v>28789</v>
      </c>
      <c r="AC161" s="17">
        <f t="shared" si="22"/>
        <v>9.732193031769508E-2</v>
      </c>
      <c r="AD161" s="11">
        <f t="shared" si="23"/>
        <v>27319.428571428572</v>
      </c>
      <c r="AE161" s="11">
        <f t="shared" si="24"/>
        <v>25715.428571428572</v>
      </c>
      <c r="AF161" s="28">
        <f t="shared" si="31"/>
        <v>0.94128720533790711</v>
      </c>
      <c r="AG161" s="42">
        <f t="shared" si="25"/>
        <v>0.55175564810543665</v>
      </c>
      <c r="AH161" s="14" t="str">
        <f t="shared" si="26"/>
        <v>-</v>
      </c>
      <c r="AI161" s="11">
        <f t="shared" si="27"/>
        <v>332</v>
      </c>
      <c r="AJ161" s="11">
        <f t="shared" si="28"/>
        <v>332</v>
      </c>
      <c r="AK161" s="11">
        <f t="shared" si="29"/>
        <v>0.64316095125543371</v>
      </c>
      <c r="AL161" s="42">
        <f t="shared" si="30"/>
        <v>0.64316095125543371</v>
      </c>
      <c r="AM161" s="14" t="str">
        <f t="shared" si="32"/>
        <v/>
      </c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</row>
    <row r="162" spans="1:56" ht="27" customHeight="1" x14ac:dyDescent="0.2">
      <c r="A162" s="9" t="s">
        <v>356</v>
      </c>
      <c r="B162" s="11">
        <v>139</v>
      </c>
      <c r="C162" s="2">
        <v>744.55382019587603</v>
      </c>
      <c r="D162" s="2">
        <v>9.0773145833334308</v>
      </c>
      <c r="E162" s="2">
        <v>-1</v>
      </c>
      <c r="F162" s="12" t="s">
        <v>540</v>
      </c>
      <c r="G162" s="12" t="s">
        <v>12</v>
      </c>
      <c r="H162" s="5"/>
      <c r="I162" s="11">
        <v>8631</v>
      </c>
      <c r="J162" s="11">
        <v>10320</v>
      </c>
      <c r="K162" s="11">
        <v>17680</v>
      </c>
      <c r="L162" s="11">
        <v>13997</v>
      </c>
      <c r="M162" s="11">
        <v>14663</v>
      </c>
      <c r="N162" s="11">
        <v>16689</v>
      </c>
      <c r="O162" s="11">
        <v>18420</v>
      </c>
      <c r="P162" s="11"/>
      <c r="Q162" s="11">
        <v>17611</v>
      </c>
      <c r="R162" s="11">
        <v>18861</v>
      </c>
      <c r="S162" s="11">
        <v>12515</v>
      </c>
      <c r="T162" s="11">
        <v>23072</v>
      </c>
      <c r="U162" s="11">
        <v>23900</v>
      </c>
      <c r="V162" s="11">
        <v>17946</v>
      </c>
      <c r="W162" s="11">
        <v>28758</v>
      </c>
      <c r="X162" s="11"/>
      <c r="Y162" s="11">
        <v>0</v>
      </c>
      <c r="Z162" s="11">
        <v>17140</v>
      </c>
      <c r="AA162" s="11">
        <v>17473</v>
      </c>
      <c r="AB162" s="11">
        <v>21173</v>
      </c>
      <c r="AC162" s="17">
        <f t="shared" si="22"/>
        <v>0.12038103549001331</v>
      </c>
      <c r="AD162" s="11">
        <f t="shared" si="23"/>
        <v>14342.857142857143</v>
      </c>
      <c r="AE162" s="11">
        <f t="shared" si="24"/>
        <v>20380.428571428572</v>
      </c>
      <c r="AF162" s="28">
        <f t="shared" si="31"/>
        <v>1.4209462151394423</v>
      </c>
      <c r="AG162" s="42">
        <f t="shared" si="25"/>
        <v>3.1292809857713086E-2</v>
      </c>
      <c r="AH162" s="14" t="str">
        <f t="shared" si="26"/>
        <v>*</v>
      </c>
      <c r="AI162" s="11">
        <f t="shared" si="27"/>
        <v>132</v>
      </c>
      <c r="AJ162" s="11">
        <f t="shared" si="28"/>
        <v>132</v>
      </c>
      <c r="AK162" s="11">
        <f t="shared" si="29"/>
        <v>9.1744828901022465E-2</v>
      </c>
      <c r="AL162" s="42">
        <f t="shared" si="30"/>
        <v>9.1233024603603066E-2</v>
      </c>
      <c r="AM162" s="14" t="str">
        <f t="shared" si="32"/>
        <v>*</v>
      </c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</row>
    <row r="163" spans="1:56" ht="27" customHeight="1" x14ac:dyDescent="0.2">
      <c r="A163" s="9" t="s">
        <v>356</v>
      </c>
      <c r="B163" s="11">
        <v>196</v>
      </c>
      <c r="C163" s="2">
        <v>738.50734281818302</v>
      </c>
      <c r="D163" s="2">
        <v>7.7347813725490502</v>
      </c>
      <c r="E163" s="2">
        <v>-1</v>
      </c>
      <c r="F163" s="12" t="s">
        <v>145</v>
      </c>
      <c r="G163" s="12" t="s">
        <v>12</v>
      </c>
      <c r="H163" s="5"/>
      <c r="I163" s="11">
        <v>14515</v>
      </c>
      <c r="J163" s="11">
        <v>11810</v>
      </c>
      <c r="K163" s="11">
        <v>19774</v>
      </c>
      <c r="L163" s="11">
        <v>16073</v>
      </c>
      <c r="M163" s="11">
        <v>14096</v>
      </c>
      <c r="N163" s="11">
        <v>15323</v>
      </c>
      <c r="O163" s="11">
        <v>19721</v>
      </c>
      <c r="P163" s="11"/>
      <c r="Q163" s="11">
        <v>10152</v>
      </c>
      <c r="R163" s="11">
        <v>11141</v>
      </c>
      <c r="S163" s="11">
        <v>8500</v>
      </c>
      <c r="T163" s="11">
        <v>13077</v>
      </c>
      <c r="U163" s="11">
        <v>14722</v>
      </c>
      <c r="V163" s="11">
        <v>9336</v>
      </c>
      <c r="W163" s="11">
        <v>15457</v>
      </c>
      <c r="X163" s="11"/>
      <c r="Y163" s="11">
        <v>0</v>
      </c>
      <c r="Z163" s="11">
        <v>11591</v>
      </c>
      <c r="AA163" s="11">
        <v>12525</v>
      </c>
      <c r="AB163" s="11">
        <v>13348</v>
      </c>
      <c r="AC163" s="17">
        <f t="shared" si="22"/>
        <v>7.0394313144181514E-2</v>
      </c>
      <c r="AD163" s="11">
        <f t="shared" si="23"/>
        <v>15901.714285714286</v>
      </c>
      <c r="AE163" s="11">
        <f t="shared" si="24"/>
        <v>11769.285714285714</v>
      </c>
      <c r="AF163" s="28">
        <f t="shared" si="31"/>
        <v>0.74012685065401751</v>
      </c>
      <c r="AG163" s="42">
        <f t="shared" si="25"/>
        <v>1.8028824479957736E-2</v>
      </c>
      <c r="AH163" s="14" t="str">
        <f t="shared" si="26"/>
        <v>*</v>
      </c>
      <c r="AI163" s="11">
        <f t="shared" si="27"/>
        <v>110</v>
      </c>
      <c r="AJ163" s="11">
        <f t="shared" si="28"/>
        <v>110</v>
      </c>
      <c r="AK163" s="11">
        <f t="shared" si="29"/>
        <v>6.342868248857858E-2</v>
      </c>
      <c r="AL163" s="42">
        <f t="shared" si="30"/>
        <v>6.342868248857858E-2</v>
      </c>
      <c r="AM163" s="14" t="str">
        <f t="shared" si="32"/>
        <v>*</v>
      </c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</row>
    <row r="164" spans="1:56" ht="27" customHeight="1" x14ac:dyDescent="0.2">
      <c r="A164" s="9" t="s">
        <v>356</v>
      </c>
      <c r="B164" s="11">
        <v>211</v>
      </c>
      <c r="C164" s="2">
        <v>784.49125532758706</v>
      </c>
      <c r="D164" s="2">
        <v>7.40352708333337</v>
      </c>
      <c r="E164" s="2">
        <v>-1</v>
      </c>
      <c r="F164" s="12" t="s">
        <v>175</v>
      </c>
      <c r="G164" s="12" t="s">
        <v>12</v>
      </c>
      <c r="H164" s="5"/>
      <c r="I164" s="11">
        <v>6327</v>
      </c>
      <c r="J164" s="11">
        <v>5052</v>
      </c>
      <c r="K164" s="11">
        <v>8585</v>
      </c>
      <c r="L164" s="11">
        <v>8661</v>
      </c>
      <c r="M164" s="11">
        <v>9891</v>
      </c>
      <c r="N164" s="11">
        <v>8720</v>
      </c>
      <c r="O164" s="11">
        <v>13343</v>
      </c>
      <c r="P164" s="11"/>
      <c r="Q164" s="11">
        <v>10814</v>
      </c>
      <c r="R164" s="11">
        <v>10246</v>
      </c>
      <c r="S164" s="11">
        <v>6885</v>
      </c>
      <c r="T164" s="11">
        <v>11990</v>
      </c>
      <c r="U164" s="11">
        <v>18637</v>
      </c>
      <c r="V164" s="11">
        <v>9647</v>
      </c>
      <c r="W164" s="11">
        <v>12239</v>
      </c>
      <c r="X164" s="11"/>
      <c r="Y164" s="11">
        <v>31</v>
      </c>
      <c r="Z164" s="11">
        <v>9162</v>
      </c>
      <c r="AA164" s="11">
        <v>9909</v>
      </c>
      <c r="AB164" s="11">
        <v>11654</v>
      </c>
      <c r="AC164" s="17">
        <f t="shared" si="22"/>
        <v>0.12486962456897577</v>
      </c>
      <c r="AD164" s="11">
        <f t="shared" si="23"/>
        <v>8654.1428571428569</v>
      </c>
      <c r="AE164" s="11">
        <f t="shared" si="24"/>
        <v>11494</v>
      </c>
      <c r="AF164" s="28">
        <f t="shared" si="31"/>
        <v>1.3281500189834761</v>
      </c>
      <c r="AG164" s="42">
        <f t="shared" si="25"/>
        <v>0.12169325966971124</v>
      </c>
      <c r="AH164" s="14" t="str">
        <f t="shared" si="26"/>
        <v>-</v>
      </c>
      <c r="AI164" s="11">
        <f t="shared" si="27"/>
        <v>210</v>
      </c>
      <c r="AJ164" s="11">
        <f t="shared" si="28"/>
        <v>210</v>
      </c>
      <c r="AK164" s="11">
        <f t="shared" si="29"/>
        <v>0.22426329281989643</v>
      </c>
      <c r="AL164" s="42">
        <f t="shared" si="30"/>
        <v>0.22426329281989643</v>
      </c>
      <c r="AM164" s="14" t="str">
        <f t="shared" si="32"/>
        <v/>
      </c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</row>
    <row r="165" spans="1:56" ht="27" customHeight="1" x14ac:dyDescent="0.2">
      <c r="A165" s="9" t="s">
        <v>356</v>
      </c>
      <c r="B165" s="11">
        <v>214</v>
      </c>
      <c r="C165" s="2">
        <v>818.56957319139804</v>
      </c>
      <c r="D165" s="2">
        <v>9.2402962962961102</v>
      </c>
      <c r="E165" s="2">
        <v>-1</v>
      </c>
      <c r="F165" s="12" t="s">
        <v>129</v>
      </c>
      <c r="G165" s="12" t="s">
        <v>12</v>
      </c>
      <c r="H165" s="5"/>
      <c r="I165" s="11">
        <v>8961</v>
      </c>
      <c r="J165" s="11">
        <v>8763</v>
      </c>
      <c r="K165" s="11">
        <v>16643</v>
      </c>
      <c r="L165" s="11">
        <v>11208</v>
      </c>
      <c r="M165" s="11">
        <v>15238</v>
      </c>
      <c r="N165" s="11">
        <v>14454</v>
      </c>
      <c r="O165" s="11">
        <v>18368</v>
      </c>
      <c r="P165" s="11"/>
      <c r="Q165" s="11">
        <v>11432</v>
      </c>
      <c r="R165" s="11">
        <v>10059</v>
      </c>
      <c r="S165" s="11">
        <v>8762</v>
      </c>
      <c r="T165" s="11">
        <v>15916</v>
      </c>
      <c r="U165" s="11">
        <v>16685</v>
      </c>
      <c r="V165" s="11">
        <v>12108</v>
      </c>
      <c r="W165" s="11">
        <v>18571</v>
      </c>
      <c r="X165" s="11"/>
      <c r="Y165" s="11">
        <v>0</v>
      </c>
      <c r="Z165" s="11">
        <v>11730</v>
      </c>
      <c r="AA165" s="11">
        <v>13116</v>
      </c>
      <c r="AB165" s="11">
        <v>13937</v>
      </c>
      <c r="AC165" s="17">
        <f t="shared" si="22"/>
        <v>8.6286907922940942E-2</v>
      </c>
      <c r="AD165" s="11">
        <f t="shared" si="23"/>
        <v>13376.428571428571</v>
      </c>
      <c r="AE165" s="11">
        <f t="shared" si="24"/>
        <v>13361.857142857143</v>
      </c>
      <c r="AF165" s="28">
        <f t="shared" si="31"/>
        <v>0.99891066374753035</v>
      </c>
      <c r="AG165" s="42">
        <f t="shared" si="25"/>
        <v>0.99430261288053445</v>
      </c>
      <c r="AH165" s="14" t="str">
        <f t="shared" si="26"/>
        <v>-</v>
      </c>
      <c r="AI165" s="11">
        <f t="shared" si="27"/>
        <v>387</v>
      </c>
      <c r="AJ165" s="11">
        <f t="shared" si="28"/>
        <v>387</v>
      </c>
      <c r="AK165" s="11">
        <f t="shared" si="29"/>
        <v>0.99430261288053445</v>
      </c>
      <c r="AL165" s="42">
        <f t="shared" si="30"/>
        <v>0.99430261288053445</v>
      </c>
      <c r="AM165" s="14" t="str">
        <f t="shared" si="32"/>
        <v/>
      </c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</row>
    <row r="166" spans="1:56" ht="27" customHeight="1" x14ac:dyDescent="0.2">
      <c r="A166" s="9" t="s">
        <v>356</v>
      </c>
      <c r="B166" s="11">
        <v>225</v>
      </c>
      <c r="C166" s="2">
        <v>760.49090695760401</v>
      </c>
      <c r="D166" s="2">
        <v>7.5322291666665802</v>
      </c>
      <c r="E166" s="2">
        <v>-1</v>
      </c>
      <c r="F166" s="12" t="s">
        <v>120</v>
      </c>
      <c r="G166" s="12" t="s">
        <v>12</v>
      </c>
      <c r="H166" s="5"/>
      <c r="I166" s="11">
        <v>8766</v>
      </c>
      <c r="J166" s="11">
        <v>7730</v>
      </c>
      <c r="K166" s="11">
        <v>17099</v>
      </c>
      <c r="L166" s="11">
        <v>14048</v>
      </c>
      <c r="M166" s="11">
        <v>12334</v>
      </c>
      <c r="N166" s="11">
        <v>12939</v>
      </c>
      <c r="O166" s="11">
        <v>8419</v>
      </c>
      <c r="P166" s="11"/>
      <c r="Q166" s="11">
        <v>14831</v>
      </c>
      <c r="R166" s="11">
        <v>13592</v>
      </c>
      <c r="S166" s="11">
        <v>14561</v>
      </c>
      <c r="T166" s="11">
        <v>16948</v>
      </c>
      <c r="U166" s="11">
        <v>15350</v>
      </c>
      <c r="V166" s="11">
        <v>12946</v>
      </c>
      <c r="W166" s="11">
        <v>17689</v>
      </c>
      <c r="X166" s="11"/>
      <c r="Y166" s="11">
        <v>0</v>
      </c>
      <c r="Z166" s="11">
        <v>12657</v>
      </c>
      <c r="AA166" s="11">
        <v>13478</v>
      </c>
      <c r="AB166" s="11">
        <v>13352</v>
      </c>
      <c r="AC166" s="17">
        <f t="shared" si="22"/>
        <v>3.3591527939406937E-2</v>
      </c>
      <c r="AD166" s="11">
        <f t="shared" si="23"/>
        <v>11619.285714285714</v>
      </c>
      <c r="AE166" s="11">
        <f t="shared" si="24"/>
        <v>15131</v>
      </c>
      <c r="AF166" s="28">
        <f t="shared" si="31"/>
        <v>1.3022315116493515</v>
      </c>
      <c r="AG166" s="42">
        <f t="shared" si="25"/>
        <v>3.9931837010513248E-2</v>
      </c>
      <c r="AH166" s="14" t="str">
        <f t="shared" si="26"/>
        <v>*</v>
      </c>
      <c r="AI166" s="11">
        <f t="shared" si="27"/>
        <v>150</v>
      </c>
      <c r="AJ166" s="11">
        <f t="shared" si="28"/>
        <v>150</v>
      </c>
      <c r="AK166" s="11">
        <f t="shared" si="29"/>
        <v>0.10302413948712418</v>
      </c>
      <c r="AL166" s="42">
        <f t="shared" si="30"/>
        <v>0.10302413948712418</v>
      </c>
      <c r="AM166" s="14" t="str">
        <f t="shared" si="32"/>
        <v/>
      </c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</row>
    <row r="167" spans="1:56" ht="27" customHeight="1" x14ac:dyDescent="0.2">
      <c r="A167" s="9" t="s">
        <v>356</v>
      </c>
      <c r="B167" s="11">
        <v>258</v>
      </c>
      <c r="C167" s="2">
        <v>768.55430892040101</v>
      </c>
      <c r="D167" s="2">
        <v>8.8486312499999293</v>
      </c>
      <c r="E167" s="2">
        <v>-1</v>
      </c>
      <c r="F167" s="12" t="s">
        <v>158</v>
      </c>
      <c r="G167" s="12" t="s">
        <v>12</v>
      </c>
      <c r="H167" s="5"/>
      <c r="I167" s="11">
        <v>6604</v>
      </c>
      <c r="J167" s="11">
        <v>6478</v>
      </c>
      <c r="K167" s="11">
        <v>13135</v>
      </c>
      <c r="L167" s="11">
        <v>7560</v>
      </c>
      <c r="M167" s="11">
        <v>9020</v>
      </c>
      <c r="N167" s="11">
        <v>10285</v>
      </c>
      <c r="O167" s="11">
        <v>11733</v>
      </c>
      <c r="P167" s="11"/>
      <c r="Q167" s="11">
        <v>8402</v>
      </c>
      <c r="R167" s="11">
        <v>10454</v>
      </c>
      <c r="S167" s="11">
        <v>9350</v>
      </c>
      <c r="T167" s="11">
        <v>14217</v>
      </c>
      <c r="U167" s="11">
        <v>11413</v>
      </c>
      <c r="V167" s="11">
        <v>12950</v>
      </c>
      <c r="W167" s="11">
        <v>14936</v>
      </c>
      <c r="X167" s="11"/>
      <c r="Y167" s="11">
        <v>0</v>
      </c>
      <c r="Z167" s="11">
        <v>8717</v>
      </c>
      <c r="AA167" s="11">
        <v>12565</v>
      </c>
      <c r="AB167" s="11">
        <v>12377</v>
      </c>
      <c r="AC167" s="17">
        <f t="shared" si="22"/>
        <v>0.19335782691349526</v>
      </c>
      <c r="AD167" s="11">
        <f t="shared" si="23"/>
        <v>9259.2857142857138</v>
      </c>
      <c r="AE167" s="11">
        <f t="shared" si="24"/>
        <v>11674.571428571429</v>
      </c>
      <c r="AF167" s="28">
        <f t="shared" si="31"/>
        <v>1.2608501118568234</v>
      </c>
      <c r="AG167" s="42">
        <f t="shared" si="25"/>
        <v>9.8465888127471562E-2</v>
      </c>
      <c r="AH167" s="14" t="str">
        <f t="shared" si="26"/>
        <v>-</v>
      </c>
      <c r="AI167" s="11">
        <f t="shared" si="27"/>
        <v>194</v>
      </c>
      <c r="AJ167" s="11">
        <f t="shared" si="28"/>
        <v>194</v>
      </c>
      <c r="AK167" s="11">
        <f t="shared" si="29"/>
        <v>0.19642422013057473</v>
      </c>
      <c r="AL167" s="42">
        <f t="shared" si="30"/>
        <v>0.19642422013057473</v>
      </c>
      <c r="AM167" s="14" t="str">
        <f t="shared" si="32"/>
        <v/>
      </c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</row>
    <row r="168" spans="1:56" ht="27" customHeight="1" x14ac:dyDescent="0.2">
      <c r="A168" s="9" t="s">
        <v>356</v>
      </c>
      <c r="B168" s="11">
        <v>260</v>
      </c>
      <c r="C168" s="2">
        <v>762.50823409705094</v>
      </c>
      <c r="D168" s="2">
        <v>7.7323250000002499</v>
      </c>
      <c r="E168" s="2">
        <v>-1</v>
      </c>
      <c r="F168" s="12" t="s">
        <v>543</v>
      </c>
      <c r="G168" s="12" t="s">
        <v>12</v>
      </c>
      <c r="H168" s="5"/>
      <c r="I168" s="11">
        <v>10530</v>
      </c>
      <c r="J168" s="11">
        <v>8882</v>
      </c>
      <c r="K168" s="11">
        <v>14704</v>
      </c>
      <c r="L168" s="11">
        <v>12006</v>
      </c>
      <c r="M168" s="11">
        <v>15799</v>
      </c>
      <c r="N168" s="11">
        <v>15324</v>
      </c>
      <c r="O168" s="11">
        <v>15323</v>
      </c>
      <c r="P168" s="11"/>
      <c r="Q168" s="11">
        <v>10722</v>
      </c>
      <c r="R168" s="11">
        <v>10539</v>
      </c>
      <c r="S168" s="11">
        <v>9164</v>
      </c>
      <c r="T168" s="11">
        <v>17345</v>
      </c>
      <c r="U168" s="11">
        <v>13976</v>
      </c>
      <c r="V168" s="11">
        <v>9447</v>
      </c>
      <c r="W168" s="11">
        <v>13760</v>
      </c>
      <c r="X168" s="11"/>
      <c r="Y168" s="11">
        <v>0</v>
      </c>
      <c r="Z168" s="11">
        <v>9788</v>
      </c>
      <c r="AA168" s="11">
        <v>12998</v>
      </c>
      <c r="AB168" s="11">
        <v>14298</v>
      </c>
      <c r="AC168" s="17">
        <f t="shared" si="22"/>
        <v>0.18779763435787014</v>
      </c>
      <c r="AD168" s="11">
        <f t="shared" si="23"/>
        <v>13224</v>
      </c>
      <c r="AE168" s="11">
        <f t="shared" si="24"/>
        <v>12136.142857142857</v>
      </c>
      <c r="AF168" s="28">
        <f t="shared" si="31"/>
        <v>0.91773615072163162</v>
      </c>
      <c r="AG168" s="42">
        <f t="shared" si="25"/>
        <v>0.49223190056118937</v>
      </c>
      <c r="AH168" s="14" t="str">
        <f t="shared" si="26"/>
        <v>-</v>
      </c>
      <c r="AI168" s="11">
        <f t="shared" si="27"/>
        <v>316</v>
      </c>
      <c r="AJ168" s="11">
        <f t="shared" si="28"/>
        <v>316</v>
      </c>
      <c r="AK168" s="11">
        <f t="shared" si="29"/>
        <v>0.60282830859867176</v>
      </c>
      <c r="AL168" s="42">
        <f t="shared" si="30"/>
        <v>0.60282830859867176</v>
      </c>
      <c r="AM168" s="14" t="str">
        <f t="shared" si="32"/>
        <v/>
      </c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</row>
    <row r="169" spans="1:56" ht="27" customHeight="1" x14ac:dyDescent="0.2">
      <c r="A169" s="9" t="s">
        <v>356</v>
      </c>
      <c r="B169" s="11">
        <v>265</v>
      </c>
      <c r="C169" s="2">
        <v>814.53833887865699</v>
      </c>
      <c r="D169" s="2">
        <v>8.1609715686275202</v>
      </c>
      <c r="E169" s="2">
        <v>-1</v>
      </c>
      <c r="F169" s="12" t="s">
        <v>172</v>
      </c>
      <c r="G169" s="12" t="s">
        <v>12</v>
      </c>
      <c r="H169" s="5"/>
      <c r="I169" s="11">
        <v>4785</v>
      </c>
      <c r="J169" s="11">
        <v>6327</v>
      </c>
      <c r="K169" s="11">
        <v>8114</v>
      </c>
      <c r="L169" s="11">
        <v>7316</v>
      </c>
      <c r="M169" s="11">
        <v>8909</v>
      </c>
      <c r="N169" s="11">
        <v>6276</v>
      </c>
      <c r="O169" s="11">
        <v>8411</v>
      </c>
      <c r="P169" s="11"/>
      <c r="Q169" s="11">
        <v>8299</v>
      </c>
      <c r="R169" s="11">
        <v>8786</v>
      </c>
      <c r="S169" s="11">
        <v>6780</v>
      </c>
      <c r="T169" s="11">
        <v>9883</v>
      </c>
      <c r="U169" s="11">
        <v>9818</v>
      </c>
      <c r="V169" s="11">
        <v>10267</v>
      </c>
      <c r="W169" s="11">
        <v>14214</v>
      </c>
      <c r="X169" s="11"/>
      <c r="Y169" s="11">
        <v>0</v>
      </c>
      <c r="Z169" s="11">
        <v>7225</v>
      </c>
      <c r="AA169" s="11">
        <v>8298</v>
      </c>
      <c r="AB169" s="11">
        <v>10775</v>
      </c>
      <c r="AC169" s="17">
        <f t="shared" si="22"/>
        <v>0.20769846695091843</v>
      </c>
      <c r="AD169" s="11">
        <f t="shared" si="23"/>
        <v>7162.5714285714284</v>
      </c>
      <c r="AE169" s="11">
        <f t="shared" si="24"/>
        <v>9721</v>
      </c>
      <c r="AF169" s="28">
        <f t="shared" si="31"/>
        <v>1.3571941441621127</v>
      </c>
      <c r="AG169" s="42">
        <f t="shared" si="25"/>
        <v>3.2387788058902946E-2</v>
      </c>
      <c r="AH169" s="14" t="str">
        <f t="shared" si="26"/>
        <v>*</v>
      </c>
      <c r="AI169" s="11">
        <f t="shared" si="27"/>
        <v>135</v>
      </c>
      <c r="AJ169" s="11">
        <f t="shared" si="28"/>
        <v>135</v>
      </c>
      <c r="AK169" s="11">
        <f t="shared" si="29"/>
        <v>9.2844992435521786E-2</v>
      </c>
      <c r="AL169" s="42">
        <f t="shared" si="30"/>
        <v>9.2289142428524734E-2</v>
      </c>
      <c r="AM169" s="14" t="str">
        <f t="shared" si="32"/>
        <v>*</v>
      </c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</row>
    <row r="170" spans="1:56" ht="27" customHeight="1" x14ac:dyDescent="0.2">
      <c r="A170" s="9" t="s">
        <v>356</v>
      </c>
      <c r="B170" s="11">
        <v>266</v>
      </c>
      <c r="C170" s="2">
        <v>736.49031238340694</v>
      </c>
      <c r="D170" s="2">
        <v>7.7054382352941699</v>
      </c>
      <c r="E170" s="2">
        <v>-1</v>
      </c>
      <c r="F170" s="12" t="s">
        <v>166</v>
      </c>
      <c r="G170" s="12" t="s">
        <v>12</v>
      </c>
      <c r="H170" s="5"/>
      <c r="I170" s="11">
        <v>3143</v>
      </c>
      <c r="J170" s="11">
        <v>3152</v>
      </c>
      <c r="K170" s="11">
        <v>5401</v>
      </c>
      <c r="L170" s="11">
        <v>6395</v>
      </c>
      <c r="M170" s="11">
        <v>5072</v>
      </c>
      <c r="N170" s="11">
        <v>7512</v>
      </c>
      <c r="O170" s="11">
        <v>4723</v>
      </c>
      <c r="P170" s="11"/>
      <c r="Q170" s="11">
        <v>11414</v>
      </c>
      <c r="R170" s="11">
        <v>8726</v>
      </c>
      <c r="S170" s="11">
        <v>7084</v>
      </c>
      <c r="T170" s="11">
        <v>11668</v>
      </c>
      <c r="U170" s="11">
        <v>14145</v>
      </c>
      <c r="V170" s="11">
        <v>9304</v>
      </c>
      <c r="W170" s="11">
        <v>13617</v>
      </c>
      <c r="X170" s="11"/>
      <c r="Y170" s="11">
        <v>0</v>
      </c>
      <c r="Z170" s="11">
        <v>9635</v>
      </c>
      <c r="AA170" s="11">
        <v>8610</v>
      </c>
      <c r="AB170" s="11">
        <v>8288</v>
      </c>
      <c r="AC170" s="17">
        <f t="shared" si="22"/>
        <v>7.9532337236183831E-2</v>
      </c>
      <c r="AD170" s="11">
        <f t="shared" si="23"/>
        <v>5056.8571428571431</v>
      </c>
      <c r="AE170" s="11">
        <f t="shared" si="24"/>
        <v>10851.142857142857</v>
      </c>
      <c r="AF170" s="28">
        <f t="shared" si="31"/>
        <v>2.145827447878411</v>
      </c>
      <c r="AG170" s="42">
        <f t="shared" si="25"/>
        <v>5.2569160392521052E-4</v>
      </c>
      <c r="AH170" s="14" t="str">
        <f t="shared" si="26"/>
        <v>***</v>
      </c>
      <c r="AI170" s="11">
        <f t="shared" si="27"/>
        <v>13</v>
      </c>
      <c r="AJ170" s="11">
        <f t="shared" si="28"/>
        <v>13</v>
      </c>
      <c r="AK170" s="11">
        <f t="shared" si="29"/>
        <v>1.5649434670696651E-2</v>
      </c>
      <c r="AL170" s="42">
        <f t="shared" si="30"/>
        <v>1.4435556595972071E-2</v>
      </c>
      <c r="AM170" s="14" t="str">
        <f t="shared" si="32"/>
        <v>**</v>
      </c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</row>
    <row r="171" spans="1:56" ht="27" customHeight="1" x14ac:dyDescent="0.2">
      <c r="A171" s="9" t="s">
        <v>356</v>
      </c>
      <c r="B171" s="11">
        <v>328</v>
      </c>
      <c r="C171" s="2">
        <v>780.55306197342998</v>
      </c>
      <c r="D171" s="2">
        <v>8.9534883333334001</v>
      </c>
      <c r="E171" s="2">
        <v>-1</v>
      </c>
      <c r="F171" s="12" t="s">
        <v>139</v>
      </c>
      <c r="G171" s="12" t="s">
        <v>12</v>
      </c>
      <c r="H171" s="5"/>
      <c r="I171" s="11">
        <v>7259</v>
      </c>
      <c r="J171" s="11">
        <v>8744</v>
      </c>
      <c r="K171" s="11">
        <v>12321</v>
      </c>
      <c r="L171" s="11">
        <v>10332</v>
      </c>
      <c r="M171" s="11">
        <v>10863</v>
      </c>
      <c r="N171" s="11">
        <v>9453</v>
      </c>
      <c r="O171" s="11">
        <v>13378</v>
      </c>
      <c r="P171" s="11"/>
      <c r="Q171" s="11">
        <v>6273</v>
      </c>
      <c r="R171" s="11">
        <v>11132</v>
      </c>
      <c r="S171" s="11">
        <v>6614</v>
      </c>
      <c r="T171" s="11">
        <v>10525</v>
      </c>
      <c r="U171" s="11">
        <v>9985</v>
      </c>
      <c r="V171" s="11">
        <v>8746</v>
      </c>
      <c r="W171" s="11">
        <v>8308</v>
      </c>
      <c r="X171" s="11"/>
      <c r="Y171" s="11">
        <v>0</v>
      </c>
      <c r="Z171" s="11">
        <v>8774</v>
      </c>
      <c r="AA171" s="11">
        <v>10645</v>
      </c>
      <c r="AB171" s="11">
        <v>11183</v>
      </c>
      <c r="AC171" s="17">
        <f t="shared" si="22"/>
        <v>0.12395993092714463</v>
      </c>
      <c r="AD171" s="11">
        <f t="shared" si="23"/>
        <v>10335.714285714286</v>
      </c>
      <c r="AE171" s="11">
        <f t="shared" si="24"/>
        <v>8797.5714285714294</v>
      </c>
      <c r="AF171" s="28">
        <f t="shared" si="31"/>
        <v>0.85118175535590879</v>
      </c>
      <c r="AG171" s="42">
        <f t="shared" si="25"/>
        <v>0.17389044178879168</v>
      </c>
      <c r="AH171" s="14" t="str">
        <f t="shared" si="26"/>
        <v>-</v>
      </c>
      <c r="AI171" s="11">
        <f t="shared" si="27"/>
        <v>234</v>
      </c>
      <c r="AJ171" s="11">
        <f t="shared" si="28"/>
        <v>234</v>
      </c>
      <c r="AK171" s="11">
        <f t="shared" si="29"/>
        <v>0.28758803834300162</v>
      </c>
      <c r="AL171" s="42">
        <f t="shared" si="30"/>
        <v>0.28758803834300162</v>
      </c>
      <c r="AM171" s="14" t="str">
        <f t="shared" si="32"/>
        <v/>
      </c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</row>
    <row r="172" spans="1:56" ht="27" customHeight="1" x14ac:dyDescent="0.2">
      <c r="A172" s="9" t="s">
        <v>356</v>
      </c>
      <c r="B172" s="11">
        <v>451</v>
      </c>
      <c r="C172" s="2">
        <v>752.52268158885499</v>
      </c>
      <c r="D172" s="2">
        <v>8.2970902777777393</v>
      </c>
      <c r="E172" s="2">
        <v>-1</v>
      </c>
      <c r="F172" s="12" t="s">
        <v>552</v>
      </c>
      <c r="G172" s="12" t="s">
        <v>12</v>
      </c>
      <c r="H172" s="5"/>
      <c r="I172" s="11">
        <v>3819</v>
      </c>
      <c r="J172" s="11">
        <v>5181</v>
      </c>
      <c r="K172" s="11">
        <v>9218</v>
      </c>
      <c r="L172" s="11">
        <v>5111</v>
      </c>
      <c r="M172" s="11">
        <v>4169</v>
      </c>
      <c r="N172" s="11">
        <v>4873</v>
      </c>
      <c r="O172" s="11">
        <v>8765</v>
      </c>
      <c r="P172" s="11"/>
      <c r="Q172" s="11">
        <v>5794</v>
      </c>
      <c r="R172" s="11">
        <v>7618</v>
      </c>
      <c r="S172" s="11">
        <v>5910</v>
      </c>
      <c r="T172" s="11">
        <v>7733</v>
      </c>
      <c r="U172" s="11">
        <v>7493</v>
      </c>
      <c r="V172" s="11">
        <v>6527</v>
      </c>
      <c r="W172" s="11">
        <v>7484</v>
      </c>
      <c r="X172" s="11"/>
      <c r="Y172" s="11">
        <v>0</v>
      </c>
      <c r="Z172" s="11">
        <v>5697</v>
      </c>
      <c r="AA172" s="11">
        <v>7933</v>
      </c>
      <c r="AB172" s="11">
        <v>6132</v>
      </c>
      <c r="AC172" s="17">
        <f t="shared" si="22"/>
        <v>0.1799672481685527</v>
      </c>
      <c r="AD172" s="11">
        <f t="shared" si="23"/>
        <v>5876.5714285714284</v>
      </c>
      <c r="AE172" s="11">
        <f t="shared" si="24"/>
        <v>6937</v>
      </c>
      <c r="AF172" s="28">
        <f t="shared" si="31"/>
        <v>1.180450213924543</v>
      </c>
      <c r="AG172" s="42">
        <f t="shared" si="25"/>
        <v>0.2667649103346118</v>
      </c>
      <c r="AH172" s="14" t="str">
        <f t="shared" si="26"/>
        <v>-</v>
      </c>
      <c r="AI172" s="11">
        <f t="shared" si="27"/>
        <v>259</v>
      </c>
      <c r="AJ172" s="11">
        <f t="shared" si="28"/>
        <v>259</v>
      </c>
      <c r="AK172" s="11">
        <f t="shared" si="29"/>
        <v>0.39860239497874428</v>
      </c>
      <c r="AL172" s="42">
        <f t="shared" si="30"/>
        <v>0.39860239497874428</v>
      </c>
      <c r="AM172" s="14" t="str">
        <f t="shared" si="32"/>
        <v/>
      </c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</row>
    <row r="173" spans="1:56" ht="27" customHeight="1" x14ac:dyDescent="0.2">
      <c r="A173" s="9" t="s">
        <v>356</v>
      </c>
      <c r="B173" s="11">
        <v>521</v>
      </c>
      <c r="C173" s="2">
        <v>794.56919445400899</v>
      </c>
      <c r="D173" s="2">
        <v>9.1195966666667303</v>
      </c>
      <c r="E173" s="2">
        <v>-1</v>
      </c>
      <c r="F173" s="12" t="s">
        <v>250</v>
      </c>
      <c r="G173" s="12" t="s">
        <v>12</v>
      </c>
      <c r="H173" s="5"/>
      <c r="I173" s="11">
        <v>2238</v>
      </c>
      <c r="J173" s="11">
        <v>3446</v>
      </c>
      <c r="K173" s="11">
        <v>4509</v>
      </c>
      <c r="L173" s="11">
        <v>3451</v>
      </c>
      <c r="M173" s="11">
        <v>3240</v>
      </c>
      <c r="N173" s="11">
        <v>4445</v>
      </c>
      <c r="O173" s="11">
        <v>4374</v>
      </c>
      <c r="P173" s="11"/>
      <c r="Q173" s="11">
        <v>3195</v>
      </c>
      <c r="R173" s="11">
        <v>5455</v>
      </c>
      <c r="S173" s="11">
        <v>2799</v>
      </c>
      <c r="T173" s="11">
        <v>6205</v>
      </c>
      <c r="U173" s="11">
        <v>4820</v>
      </c>
      <c r="V173" s="11">
        <v>4087</v>
      </c>
      <c r="W173" s="11">
        <v>6695</v>
      </c>
      <c r="X173" s="11"/>
      <c r="Y173" s="11">
        <v>0</v>
      </c>
      <c r="Z173" s="11">
        <v>4193</v>
      </c>
      <c r="AA173" s="11">
        <v>4387</v>
      </c>
      <c r="AB173" s="11">
        <v>4952</v>
      </c>
      <c r="AC173" s="17">
        <f t="shared" si="22"/>
        <v>8.7420032355857352E-2</v>
      </c>
      <c r="AD173" s="11">
        <f t="shared" si="23"/>
        <v>3671.8571428571427</v>
      </c>
      <c r="AE173" s="11">
        <f t="shared" si="24"/>
        <v>4750.8571428571431</v>
      </c>
      <c r="AF173" s="28">
        <f t="shared" si="31"/>
        <v>1.2938567482395054</v>
      </c>
      <c r="AG173" s="42">
        <f t="shared" si="25"/>
        <v>0.12444161617059624</v>
      </c>
      <c r="AH173" s="14" t="str">
        <f t="shared" si="26"/>
        <v>-</v>
      </c>
      <c r="AI173" s="11">
        <f t="shared" si="27"/>
        <v>211</v>
      </c>
      <c r="AJ173" s="11">
        <f t="shared" si="28"/>
        <v>211</v>
      </c>
      <c r="AK173" s="11">
        <f t="shared" si="29"/>
        <v>0.22824125809488502</v>
      </c>
      <c r="AL173" s="42">
        <f t="shared" si="30"/>
        <v>0.22824125809488502</v>
      </c>
      <c r="AM173" s="14" t="str">
        <f t="shared" si="32"/>
        <v/>
      </c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</row>
    <row r="174" spans="1:56" ht="27" customHeight="1" x14ac:dyDescent="0.2">
      <c r="A174" s="9" t="s">
        <v>356</v>
      </c>
      <c r="B174" s="11">
        <v>539</v>
      </c>
      <c r="C174" s="2">
        <v>718.53754973229104</v>
      </c>
      <c r="D174" s="2">
        <v>8.9521955555555994</v>
      </c>
      <c r="E174" s="2">
        <v>-1</v>
      </c>
      <c r="F174" s="12" t="s">
        <v>213</v>
      </c>
      <c r="G174" s="12" t="s">
        <v>12</v>
      </c>
      <c r="H174" s="5"/>
      <c r="I174" s="11">
        <v>3871</v>
      </c>
      <c r="J174" s="11">
        <v>4521</v>
      </c>
      <c r="K174" s="11">
        <v>4435</v>
      </c>
      <c r="L174" s="11">
        <v>4262</v>
      </c>
      <c r="M174" s="11">
        <v>3345</v>
      </c>
      <c r="N174" s="11">
        <v>4568</v>
      </c>
      <c r="O174" s="11">
        <v>4546</v>
      </c>
      <c r="P174" s="11"/>
      <c r="Q174" s="11">
        <v>5533</v>
      </c>
      <c r="R174" s="11">
        <v>5269</v>
      </c>
      <c r="S174" s="11">
        <v>3627</v>
      </c>
      <c r="T174" s="11">
        <v>4812</v>
      </c>
      <c r="U174" s="11">
        <v>5030</v>
      </c>
      <c r="V174" s="11">
        <v>3506</v>
      </c>
      <c r="W174" s="11">
        <v>6489</v>
      </c>
      <c r="X174" s="11"/>
      <c r="Y174" s="11">
        <v>0</v>
      </c>
      <c r="Z174" s="11">
        <v>4472</v>
      </c>
      <c r="AA174" s="11">
        <v>4918</v>
      </c>
      <c r="AB174" s="11">
        <v>6531</v>
      </c>
      <c r="AC174" s="17">
        <f t="shared" si="22"/>
        <v>0.20411115343603464</v>
      </c>
      <c r="AD174" s="11">
        <f t="shared" si="23"/>
        <v>4221.1428571428569</v>
      </c>
      <c r="AE174" s="11">
        <f t="shared" si="24"/>
        <v>4895.1428571428569</v>
      </c>
      <c r="AF174" s="28">
        <f t="shared" si="31"/>
        <v>1.1596723974549885</v>
      </c>
      <c r="AG174" s="42">
        <f t="shared" si="25"/>
        <v>0.15800717752166377</v>
      </c>
      <c r="AH174" s="14" t="str">
        <f t="shared" si="26"/>
        <v>-</v>
      </c>
      <c r="AI174" s="11">
        <f t="shared" si="27"/>
        <v>228</v>
      </c>
      <c r="AJ174" s="11">
        <f t="shared" si="28"/>
        <v>228</v>
      </c>
      <c r="AK174" s="11">
        <f t="shared" si="29"/>
        <v>0.26819639342492929</v>
      </c>
      <c r="AL174" s="42">
        <f t="shared" si="30"/>
        <v>0.26819639342492929</v>
      </c>
      <c r="AM174" s="14" t="str">
        <f t="shared" si="32"/>
        <v/>
      </c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</row>
    <row r="175" spans="1:56" ht="27" customHeight="1" x14ac:dyDescent="0.2">
      <c r="A175" s="9" t="s">
        <v>356</v>
      </c>
      <c r="B175" s="11">
        <v>570</v>
      </c>
      <c r="C175" s="2">
        <v>794.57008213145298</v>
      </c>
      <c r="D175" s="2">
        <v>9.3180972222221605</v>
      </c>
      <c r="E175" s="2">
        <v>-1</v>
      </c>
      <c r="F175" s="12" t="s">
        <v>252</v>
      </c>
      <c r="G175" s="12" t="s">
        <v>12</v>
      </c>
      <c r="H175" s="5"/>
      <c r="I175" s="11">
        <v>2805</v>
      </c>
      <c r="J175" s="11">
        <v>2810</v>
      </c>
      <c r="K175" s="11">
        <v>4301</v>
      </c>
      <c r="L175" s="11">
        <v>2996</v>
      </c>
      <c r="M175" s="11">
        <v>4477</v>
      </c>
      <c r="N175" s="11">
        <v>3860</v>
      </c>
      <c r="O175" s="11">
        <v>6159</v>
      </c>
      <c r="P175" s="11"/>
      <c r="Q175" s="11">
        <v>2975</v>
      </c>
      <c r="R175" s="11">
        <v>3072</v>
      </c>
      <c r="S175" s="11">
        <v>2365</v>
      </c>
      <c r="T175" s="11">
        <v>3935</v>
      </c>
      <c r="U175" s="11">
        <v>3490</v>
      </c>
      <c r="V175" s="11">
        <v>2614</v>
      </c>
      <c r="W175" s="11">
        <v>4993</v>
      </c>
      <c r="X175" s="11"/>
      <c r="Y175" s="11">
        <v>0</v>
      </c>
      <c r="Z175" s="11">
        <v>3244</v>
      </c>
      <c r="AA175" s="11">
        <v>3450</v>
      </c>
      <c r="AB175" s="11">
        <v>3643</v>
      </c>
      <c r="AC175" s="17">
        <f t="shared" si="22"/>
        <v>5.7909052951406408E-2</v>
      </c>
      <c r="AD175" s="11">
        <f t="shared" si="23"/>
        <v>3915.4285714285716</v>
      </c>
      <c r="AE175" s="11">
        <f t="shared" si="24"/>
        <v>3349.1428571428573</v>
      </c>
      <c r="AF175" s="28">
        <f t="shared" si="31"/>
        <v>0.85537069468768245</v>
      </c>
      <c r="AG175" s="42">
        <f t="shared" si="25"/>
        <v>0.3408409923877066</v>
      </c>
      <c r="AH175" s="14" t="str">
        <f t="shared" si="26"/>
        <v>-</v>
      </c>
      <c r="AI175" s="11">
        <f t="shared" si="27"/>
        <v>278</v>
      </c>
      <c r="AJ175" s="11">
        <f t="shared" si="28"/>
        <v>278</v>
      </c>
      <c r="AK175" s="11">
        <f t="shared" si="29"/>
        <v>0.47448008652533258</v>
      </c>
      <c r="AL175" s="42">
        <f t="shared" si="30"/>
        <v>0.47448008652533258</v>
      </c>
      <c r="AM175" s="14" t="str">
        <f t="shared" si="32"/>
        <v/>
      </c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</row>
    <row r="176" spans="1:56" ht="27" customHeight="1" x14ac:dyDescent="0.2">
      <c r="A176" s="9" t="s">
        <v>356</v>
      </c>
      <c r="B176" s="11">
        <v>620</v>
      </c>
      <c r="C176" s="2">
        <v>772.58496258337595</v>
      </c>
      <c r="D176" s="2">
        <v>9.7810400000000595</v>
      </c>
      <c r="E176" s="2">
        <v>-1</v>
      </c>
      <c r="F176" s="12" t="s">
        <v>557</v>
      </c>
      <c r="G176" s="12" t="s">
        <v>12</v>
      </c>
      <c r="H176" s="5"/>
      <c r="I176" s="11">
        <v>3112</v>
      </c>
      <c r="J176" s="11">
        <v>3377</v>
      </c>
      <c r="K176" s="11">
        <v>4385</v>
      </c>
      <c r="L176" s="11">
        <v>4141</v>
      </c>
      <c r="M176" s="11">
        <v>4598</v>
      </c>
      <c r="N176" s="11">
        <v>4519</v>
      </c>
      <c r="O176" s="11">
        <v>5771</v>
      </c>
      <c r="P176" s="11"/>
      <c r="Q176" s="11">
        <v>2265</v>
      </c>
      <c r="R176" s="11">
        <v>2752</v>
      </c>
      <c r="S176" s="11">
        <v>1906</v>
      </c>
      <c r="T176" s="11">
        <v>2578</v>
      </c>
      <c r="U176" s="11">
        <v>2650</v>
      </c>
      <c r="V176" s="11">
        <v>2585</v>
      </c>
      <c r="W176" s="11">
        <v>3317</v>
      </c>
      <c r="X176" s="11"/>
      <c r="Y176" s="11">
        <v>0</v>
      </c>
      <c r="Z176" s="11">
        <v>3580</v>
      </c>
      <c r="AA176" s="11">
        <v>3498</v>
      </c>
      <c r="AB176" s="11">
        <v>3819</v>
      </c>
      <c r="AC176" s="17">
        <f t="shared" si="22"/>
        <v>4.5914370178045706E-2</v>
      </c>
      <c r="AD176" s="11">
        <f t="shared" si="23"/>
        <v>4271.8571428571431</v>
      </c>
      <c r="AE176" s="11">
        <f t="shared" si="24"/>
        <v>2579</v>
      </c>
      <c r="AF176" s="28">
        <f t="shared" si="31"/>
        <v>0.60371869043239801</v>
      </c>
      <c r="AG176" s="42">
        <f t="shared" si="25"/>
        <v>1.4001088247516107E-3</v>
      </c>
      <c r="AH176" s="14" t="str">
        <f t="shared" si="26"/>
        <v>**</v>
      </c>
      <c r="AI176" s="11">
        <f t="shared" si="27"/>
        <v>24</v>
      </c>
      <c r="AJ176" s="11">
        <f t="shared" si="28"/>
        <v>24</v>
      </c>
      <c r="AK176" s="11">
        <f t="shared" si="29"/>
        <v>2.2576754799119723E-2</v>
      </c>
      <c r="AL176" s="42">
        <f t="shared" si="30"/>
        <v>2.2287012499099531E-2</v>
      </c>
      <c r="AM176" s="14" t="str">
        <f t="shared" si="32"/>
        <v>**</v>
      </c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</row>
    <row r="177" spans="1:56" ht="27" customHeight="1" x14ac:dyDescent="0.2">
      <c r="A177" s="9" t="s">
        <v>356</v>
      </c>
      <c r="B177" s="11">
        <v>666</v>
      </c>
      <c r="C177" s="2">
        <v>734.47680644231195</v>
      </c>
      <c r="D177" s="2">
        <v>7.4421388888887297</v>
      </c>
      <c r="E177" s="2">
        <v>-1</v>
      </c>
      <c r="F177" s="12" t="s">
        <v>228</v>
      </c>
      <c r="G177" s="12" t="s">
        <v>12</v>
      </c>
      <c r="H177" s="5"/>
      <c r="I177" s="11">
        <v>1265</v>
      </c>
      <c r="J177" s="11">
        <v>1493</v>
      </c>
      <c r="K177" s="11">
        <v>2535</v>
      </c>
      <c r="L177" s="11">
        <v>2049</v>
      </c>
      <c r="M177" s="11">
        <v>1706</v>
      </c>
      <c r="N177" s="11">
        <v>2059</v>
      </c>
      <c r="O177" s="11">
        <v>2512</v>
      </c>
      <c r="P177" s="11"/>
      <c r="Q177" s="11">
        <v>3314</v>
      </c>
      <c r="R177" s="11">
        <v>2786</v>
      </c>
      <c r="S177" s="11">
        <v>2923</v>
      </c>
      <c r="T177" s="11">
        <v>4224</v>
      </c>
      <c r="U177" s="11">
        <v>4546</v>
      </c>
      <c r="V177" s="11">
        <v>5041</v>
      </c>
      <c r="W177" s="11">
        <v>5337</v>
      </c>
      <c r="X177" s="11"/>
      <c r="Y177" s="11">
        <v>0</v>
      </c>
      <c r="Z177" s="11">
        <v>2789</v>
      </c>
      <c r="AA177" s="11">
        <v>3533</v>
      </c>
      <c r="AB177" s="11">
        <v>4457</v>
      </c>
      <c r="AC177" s="17">
        <f t="shared" si="22"/>
        <v>0.23256808717243999</v>
      </c>
      <c r="AD177" s="11">
        <f t="shared" si="23"/>
        <v>1945.5714285714287</v>
      </c>
      <c r="AE177" s="11">
        <f t="shared" si="24"/>
        <v>4024.4285714285716</v>
      </c>
      <c r="AF177" s="28">
        <f t="shared" si="31"/>
        <v>2.0685072325427711</v>
      </c>
      <c r="AG177" s="42">
        <f t="shared" si="25"/>
        <v>1.0567763144844909E-3</v>
      </c>
      <c r="AH177" s="14" t="str">
        <f t="shared" si="26"/>
        <v>**</v>
      </c>
      <c r="AI177" s="11">
        <f t="shared" si="27"/>
        <v>22</v>
      </c>
      <c r="AJ177" s="11">
        <f t="shared" si="28"/>
        <v>22</v>
      </c>
      <c r="AK177" s="11">
        <f t="shared" si="29"/>
        <v>1.8589656077522634E-2</v>
      </c>
      <c r="AL177" s="42">
        <f t="shared" si="30"/>
        <v>1.7929650792532514E-2</v>
      </c>
      <c r="AM177" s="14" t="str">
        <f t="shared" si="32"/>
        <v>**</v>
      </c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</row>
    <row r="178" spans="1:56" ht="27" customHeight="1" x14ac:dyDescent="0.2">
      <c r="A178" s="9" t="s">
        <v>356</v>
      </c>
      <c r="B178" s="11">
        <v>830</v>
      </c>
      <c r="C178" s="2">
        <v>780.553397706091</v>
      </c>
      <c r="D178" s="2">
        <v>8.7788900000000005</v>
      </c>
      <c r="E178" s="2">
        <v>-1</v>
      </c>
      <c r="F178" s="12" t="s">
        <v>139</v>
      </c>
      <c r="G178" s="12" t="s">
        <v>12</v>
      </c>
      <c r="H178" s="5"/>
      <c r="I178" s="11">
        <v>2156</v>
      </c>
      <c r="J178" s="11">
        <v>1769</v>
      </c>
      <c r="K178" s="11">
        <v>3155</v>
      </c>
      <c r="L178" s="11">
        <v>2516</v>
      </c>
      <c r="M178" s="11">
        <v>2745</v>
      </c>
      <c r="N178" s="11">
        <v>3071</v>
      </c>
      <c r="O178" s="11">
        <v>3829</v>
      </c>
      <c r="P178" s="11"/>
      <c r="Q178" s="11">
        <v>1906</v>
      </c>
      <c r="R178" s="11">
        <v>2347</v>
      </c>
      <c r="S178" s="11">
        <v>1774</v>
      </c>
      <c r="T178" s="11">
        <v>2992</v>
      </c>
      <c r="U178" s="11">
        <v>2778</v>
      </c>
      <c r="V178" s="11">
        <v>2978</v>
      </c>
      <c r="W178" s="11">
        <v>4150</v>
      </c>
      <c r="X178" s="11"/>
      <c r="Y178" s="11">
        <v>0</v>
      </c>
      <c r="Z178" s="11">
        <v>2110</v>
      </c>
      <c r="AA178" s="11">
        <v>3245</v>
      </c>
      <c r="AB178" s="11">
        <v>3074</v>
      </c>
      <c r="AC178" s="17">
        <f t="shared" si="22"/>
        <v>0.21779510300002722</v>
      </c>
      <c r="AD178" s="11">
        <f t="shared" si="23"/>
        <v>2748.7142857142858</v>
      </c>
      <c r="AE178" s="11">
        <f t="shared" si="24"/>
        <v>2703.5714285714284</v>
      </c>
      <c r="AF178" s="28">
        <f t="shared" si="31"/>
        <v>0.98357673717582239</v>
      </c>
      <c r="AG178" s="42">
        <f t="shared" si="25"/>
        <v>0.9118281751528835</v>
      </c>
      <c r="AH178" s="14" t="str">
        <f t="shared" si="26"/>
        <v>-</v>
      </c>
      <c r="AI178" s="11">
        <f t="shared" si="27"/>
        <v>376</v>
      </c>
      <c r="AJ178" s="11">
        <f t="shared" si="28"/>
        <v>376</v>
      </c>
      <c r="AK178" s="11">
        <f t="shared" si="29"/>
        <v>0.93850399942597318</v>
      </c>
      <c r="AL178" s="42">
        <f t="shared" si="30"/>
        <v>0.93627044646554791</v>
      </c>
      <c r="AM178" s="14" t="str">
        <f t="shared" si="32"/>
        <v/>
      </c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</row>
    <row r="179" spans="1:56" ht="27" customHeight="1" x14ac:dyDescent="0.2">
      <c r="A179" s="9" t="s">
        <v>356</v>
      </c>
      <c r="B179" s="11">
        <v>950</v>
      </c>
      <c r="C179" s="2">
        <v>690.505946080179</v>
      </c>
      <c r="D179" s="2">
        <v>8.2892911111110603</v>
      </c>
      <c r="E179" s="2">
        <v>-1</v>
      </c>
      <c r="F179" s="12" t="s">
        <v>207</v>
      </c>
      <c r="G179" s="12" t="s">
        <v>12</v>
      </c>
      <c r="H179" s="5"/>
      <c r="I179" s="11">
        <v>1423</v>
      </c>
      <c r="J179" s="11">
        <v>2312</v>
      </c>
      <c r="K179" s="11">
        <v>2820</v>
      </c>
      <c r="L179" s="11">
        <v>1332</v>
      </c>
      <c r="M179" s="11">
        <v>1702</v>
      </c>
      <c r="N179" s="11">
        <v>2400</v>
      </c>
      <c r="O179" s="11">
        <v>2676</v>
      </c>
      <c r="P179" s="11"/>
      <c r="Q179" s="11">
        <v>1867</v>
      </c>
      <c r="R179" s="11">
        <v>2534</v>
      </c>
      <c r="S179" s="11">
        <v>1670</v>
      </c>
      <c r="T179" s="11">
        <v>2465</v>
      </c>
      <c r="U179" s="11">
        <v>2043</v>
      </c>
      <c r="V179" s="11">
        <v>2119</v>
      </c>
      <c r="W179" s="11">
        <v>3546</v>
      </c>
      <c r="X179" s="11"/>
      <c r="Y179" s="11">
        <v>9</v>
      </c>
      <c r="Z179" s="11">
        <v>2392</v>
      </c>
      <c r="AA179" s="11">
        <v>2459</v>
      </c>
      <c r="AB179" s="11">
        <v>2336</v>
      </c>
      <c r="AC179" s="17">
        <f t="shared" si="22"/>
        <v>2.5705547692248351E-2</v>
      </c>
      <c r="AD179" s="11">
        <f t="shared" si="23"/>
        <v>2095</v>
      </c>
      <c r="AE179" s="11">
        <f t="shared" si="24"/>
        <v>2320.5714285714284</v>
      </c>
      <c r="AF179" s="28">
        <f t="shared" si="31"/>
        <v>1.1076713262870781</v>
      </c>
      <c r="AG179" s="42">
        <f t="shared" si="25"/>
        <v>0.50414674566819828</v>
      </c>
      <c r="AH179" s="14" t="str">
        <f t="shared" si="26"/>
        <v>-</v>
      </c>
      <c r="AI179" s="11">
        <f t="shared" si="27"/>
        <v>321</v>
      </c>
      <c r="AJ179" s="11">
        <f t="shared" si="28"/>
        <v>321</v>
      </c>
      <c r="AK179" s="11">
        <f t="shared" si="29"/>
        <v>0.60780308589904275</v>
      </c>
      <c r="AL179" s="42">
        <f t="shared" si="30"/>
        <v>0.60638763008974728</v>
      </c>
      <c r="AM179" s="14" t="str">
        <f t="shared" si="32"/>
        <v/>
      </c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</row>
    <row r="180" spans="1:56" ht="27" customHeight="1" x14ac:dyDescent="0.2">
      <c r="A180" s="9" t="s">
        <v>356</v>
      </c>
      <c r="B180" s="11">
        <v>1082</v>
      </c>
      <c r="C180" s="2">
        <v>756.556462153609</v>
      </c>
      <c r="D180" s="2">
        <v>8.9633916666670004</v>
      </c>
      <c r="E180" s="2">
        <v>-1</v>
      </c>
      <c r="F180" s="12" t="s">
        <v>569</v>
      </c>
      <c r="G180" s="12" t="s">
        <v>12</v>
      </c>
      <c r="H180" s="5"/>
      <c r="I180" s="11">
        <v>1501</v>
      </c>
      <c r="J180" s="11">
        <v>2268</v>
      </c>
      <c r="K180" s="11">
        <v>2018</v>
      </c>
      <c r="L180" s="11">
        <v>2628</v>
      </c>
      <c r="M180" s="11">
        <v>2210</v>
      </c>
      <c r="N180" s="11">
        <v>2396</v>
      </c>
      <c r="O180" s="11">
        <v>3273</v>
      </c>
      <c r="P180" s="11"/>
      <c r="Q180" s="11">
        <v>1512</v>
      </c>
      <c r="R180" s="11">
        <v>2327</v>
      </c>
      <c r="S180" s="11">
        <v>1186</v>
      </c>
      <c r="T180" s="11">
        <v>3079</v>
      </c>
      <c r="U180" s="11">
        <v>2522</v>
      </c>
      <c r="V180" s="11">
        <v>2175</v>
      </c>
      <c r="W180" s="11">
        <v>1498</v>
      </c>
      <c r="X180" s="11"/>
      <c r="Y180" s="11">
        <v>0</v>
      </c>
      <c r="Z180" s="11">
        <v>2046</v>
      </c>
      <c r="AA180" s="11">
        <v>1853</v>
      </c>
      <c r="AB180" s="11">
        <v>1795</v>
      </c>
      <c r="AC180" s="17">
        <f t="shared" si="22"/>
        <v>6.9236863658050998E-2</v>
      </c>
      <c r="AD180" s="11">
        <f t="shared" si="23"/>
        <v>2327.7142857142858</v>
      </c>
      <c r="AE180" s="11">
        <f t="shared" si="24"/>
        <v>2042.7142857142858</v>
      </c>
      <c r="AF180" s="28">
        <f t="shared" si="31"/>
        <v>0.87756229286854059</v>
      </c>
      <c r="AG180" s="42">
        <f t="shared" si="25"/>
        <v>0.40169203558636835</v>
      </c>
      <c r="AH180" s="14" t="str">
        <f t="shared" si="26"/>
        <v>-</v>
      </c>
      <c r="AI180" s="11">
        <f t="shared" si="27"/>
        <v>297</v>
      </c>
      <c r="AJ180" s="11">
        <f t="shared" si="28"/>
        <v>297</v>
      </c>
      <c r="AK180" s="11">
        <f t="shared" si="29"/>
        <v>0.52341689485496479</v>
      </c>
      <c r="AL180" s="42">
        <f t="shared" si="30"/>
        <v>0.52341689485496479</v>
      </c>
      <c r="AM180" s="14" t="str">
        <f t="shared" si="32"/>
        <v/>
      </c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</row>
    <row r="181" spans="1:56" ht="27" customHeight="1" x14ac:dyDescent="0.2">
      <c r="A181" s="9" t="s">
        <v>356</v>
      </c>
      <c r="B181" s="11">
        <v>1181</v>
      </c>
      <c r="C181" s="2">
        <v>728.52330673680694</v>
      </c>
      <c r="D181" s="2">
        <v>8.2987500000000001</v>
      </c>
      <c r="E181" s="2">
        <v>-1</v>
      </c>
      <c r="F181" s="12" t="s">
        <v>574</v>
      </c>
      <c r="G181" s="12" t="s">
        <v>12</v>
      </c>
      <c r="H181" s="5"/>
      <c r="I181" s="11">
        <v>1534</v>
      </c>
      <c r="J181" s="11">
        <v>2105</v>
      </c>
      <c r="K181" s="11">
        <v>2763</v>
      </c>
      <c r="L181" s="11">
        <v>1687</v>
      </c>
      <c r="M181" s="11">
        <v>2315</v>
      </c>
      <c r="N181" s="11">
        <v>1457</v>
      </c>
      <c r="O181" s="11">
        <v>1837</v>
      </c>
      <c r="P181" s="11"/>
      <c r="Q181" s="11">
        <v>2254</v>
      </c>
      <c r="R181" s="11">
        <v>2681</v>
      </c>
      <c r="S181" s="11">
        <v>1124</v>
      </c>
      <c r="T181" s="11">
        <v>2907</v>
      </c>
      <c r="U181" s="11">
        <v>2534</v>
      </c>
      <c r="V181" s="11">
        <v>2388</v>
      </c>
      <c r="W181" s="11">
        <v>1594</v>
      </c>
      <c r="X181" s="11"/>
      <c r="Y181" s="11">
        <v>0</v>
      </c>
      <c r="Z181" s="11">
        <v>2498</v>
      </c>
      <c r="AA181" s="11">
        <v>1859</v>
      </c>
      <c r="AB181" s="11">
        <v>1945</v>
      </c>
      <c r="AC181" s="17">
        <f t="shared" si="22"/>
        <v>0.16507952987363367</v>
      </c>
      <c r="AD181" s="11">
        <f t="shared" si="23"/>
        <v>1956.8571428571429</v>
      </c>
      <c r="AE181" s="11">
        <f t="shared" si="24"/>
        <v>2211.7142857142858</v>
      </c>
      <c r="AF181" s="28">
        <f t="shared" si="31"/>
        <v>1.1302379909475837</v>
      </c>
      <c r="AG181" s="42">
        <f t="shared" si="25"/>
        <v>0.4100486471372834</v>
      </c>
      <c r="AH181" s="14" t="str">
        <f t="shared" si="26"/>
        <v>-</v>
      </c>
      <c r="AI181" s="11">
        <f t="shared" si="27"/>
        <v>298</v>
      </c>
      <c r="AJ181" s="11">
        <f t="shared" si="28"/>
        <v>298</v>
      </c>
      <c r="AK181" s="11">
        <f t="shared" si="29"/>
        <v>0.53251284040982783</v>
      </c>
      <c r="AL181" s="42">
        <f t="shared" si="30"/>
        <v>0.53251284040982783</v>
      </c>
      <c r="AM181" s="14" t="str">
        <f t="shared" si="32"/>
        <v/>
      </c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</row>
    <row r="182" spans="1:56" ht="27" customHeight="1" x14ac:dyDescent="0.2">
      <c r="A182" s="9" t="s">
        <v>356</v>
      </c>
      <c r="B182" s="11">
        <v>1294</v>
      </c>
      <c r="C182" s="2">
        <v>796.58564220150799</v>
      </c>
      <c r="D182" s="2">
        <v>9.3622533333333902</v>
      </c>
      <c r="E182" s="2">
        <v>-1</v>
      </c>
      <c r="F182" s="12" t="s">
        <v>320</v>
      </c>
      <c r="G182" s="12" t="s">
        <v>12</v>
      </c>
      <c r="H182" s="5"/>
      <c r="I182" s="11">
        <v>1081</v>
      </c>
      <c r="J182" s="11">
        <v>1297</v>
      </c>
      <c r="K182" s="11">
        <v>1946</v>
      </c>
      <c r="L182" s="11">
        <v>1582</v>
      </c>
      <c r="M182" s="11">
        <v>1965</v>
      </c>
      <c r="N182" s="11">
        <v>1768</v>
      </c>
      <c r="O182" s="11">
        <v>2500</v>
      </c>
      <c r="P182" s="11"/>
      <c r="Q182" s="11">
        <v>698</v>
      </c>
      <c r="R182" s="11">
        <v>1480</v>
      </c>
      <c r="S182" s="11">
        <v>790</v>
      </c>
      <c r="T182" s="11">
        <v>1355</v>
      </c>
      <c r="U182" s="11">
        <v>1190</v>
      </c>
      <c r="V182" s="11">
        <v>1314</v>
      </c>
      <c r="W182" s="11">
        <v>1527</v>
      </c>
      <c r="X182" s="11"/>
      <c r="Y182" s="11">
        <v>0</v>
      </c>
      <c r="Z182" s="11">
        <v>1491</v>
      </c>
      <c r="AA182" s="11">
        <v>1576</v>
      </c>
      <c r="AB182" s="11">
        <v>2035</v>
      </c>
      <c r="AC182" s="17">
        <f t="shared" si="22"/>
        <v>0.17207587038218791</v>
      </c>
      <c r="AD182" s="11">
        <f t="shared" si="23"/>
        <v>1734.1428571428571</v>
      </c>
      <c r="AE182" s="11">
        <f t="shared" si="24"/>
        <v>1193.4285714285713</v>
      </c>
      <c r="AF182" s="28">
        <f t="shared" si="31"/>
        <v>0.68819507372930222</v>
      </c>
      <c r="AG182" s="42">
        <f t="shared" si="25"/>
        <v>3.0177133470447804E-2</v>
      </c>
      <c r="AH182" s="14" t="str">
        <f t="shared" si="26"/>
        <v>*</v>
      </c>
      <c r="AI182" s="11">
        <f t="shared" si="27"/>
        <v>128</v>
      </c>
      <c r="AJ182" s="11">
        <f t="shared" si="28"/>
        <v>128</v>
      </c>
      <c r="AK182" s="11">
        <f t="shared" si="29"/>
        <v>9.1238676977057037E-2</v>
      </c>
      <c r="AL182" s="42">
        <f t="shared" si="30"/>
        <v>9.1233024603603066E-2</v>
      </c>
      <c r="AM182" s="14" t="str">
        <f t="shared" si="32"/>
        <v>*</v>
      </c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</row>
    <row r="183" spans="1:56" ht="27" customHeight="1" x14ac:dyDescent="0.2">
      <c r="A183" s="9" t="s">
        <v>356</v>
      </c>
      <c r="B183" s="11">
        <v>1605</v>
      </c>
      <c r="C183" s="2">
        <v>746.57003139083804</v>
      </c>
      <c r="D183" s="2">
        <v>9.6870322916666805</v>
      </c>
      <c r="E183" s="2">
        <v>-1</v>
      </c>
      <c r="F183" s="12" t="s">
        <v>313</v>
      </c>
      <c r="G183" s="12" t="s">
        <v>12</v>
      </c>
      <c r="H183" s="5"/>
      <c r="I183" s="11">
        <v>459</v>
      </c>
      <c r="J183" s="11">
        <v>567</v>
      </c>
      <c r="K183" s="11">
        <v>1188</v>
      </c>
      <c r="L183" s="11">
        <v>724</v>
      </c>
      <c r="M183" s="11">
        <v>810</v>
      </c>
      <c r="N183" s="11">
        <v>975</v>
      </c>
      <c r="O183" s="11">
        <v>892</v>
      </c>
      <c r="P183" s="11"/>
      <c r="Q183" s="11">
        <v>714</v>
      </c>
      <c r="R183" s="11">
        <v>940</v>
      </c>
      <c r="S183" s="11">
        <v>860</v>
      </c>
      <c r="T183" s="11">
        <v>1414</v>
      </c>
      <c r="U183" s="11">
        <v>1975</v>
      </c>
      <c r="V183" s="11">
        <v>789</v>
      </c>
      <c r="W183" s="11">
        <v>1430</v>
      </c>
      <c r="X183" s="11"/>
      <c r="Y183" s="11">
        <v>193</v>
      </c>
      <c r="Z183" s="11">
        <v>869</v>
      </c>
      <c r="AA183" s="11">
        <v>906</v>
      </c>
      <c r="AB183" s="11">
        <v>1229</v>
      </c>
      <c r="AC183" s="17">
        <f t="shared" si="22"/>
        <v>0.19776745239551408</v>
      </c>
      <c r="AD183" s="11">
        <f t="shared" si="23"/>
        <v>802.14285714285711</v>
      </c>
      <c r="AE183" s="11">
        <f t="shared" si="24"/>
        <v>1160.2857142857142</v>
      </c>
      <c r="AF183" s="28">
        <f t="shared" si="31"/>
        <v>1.4464826357969724</v>
      </c>
      <c r="AG183" s="42">
        <f t="shared" si="25"/>
        <v>0.10292616293341907</v>
      </c>
      <c r="AH183" s="14" t="str">
        <f t="shared" si="26"/>
        <v>-</v>
      </c>
      <c r="AI183" s="11">
        <f t="shared" si="27"/>
        <v>200</v>
      </c>
      <c r="AJ183" s="11">
        <f t="shared" si="28"/>
        <v>200</v>
      </c>
      <c r="AK183" s="11">
        <f t="shared" si="29"/>
        <v>0.19916212527616589</v>
      </c>
      <c r="AL183" s="42">
        <f t="shared" si="30"/>
        <v>0.19916212527616589</v>
      </c>
      <c r="AM183" s="14" t="str">
        <f t="shared" si="32"/>
        <v/>
      </c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</row>
    <row r="184" spans="1:56" ht="27" customHeight="1" x14ac:dyDescent="0.2">
      <c r="A184" s="9" t="s">
        <v>356</v>
      </c>
      <c r="B184" s="11">
        <v>2058</v>
      </c>
      <c r="C184" s="2">
        <v>800.61711893363099</v>
      </c>
      <c r="D184" s="2">
        <v>10.580420833333299</v>
      </c>
      <c r="E184" s="2">
        <v>-1</v>
      </c>
      <c r="F184" s="12" t="s">
        <v>329</v>
      </c>
      <c r="G184" s="12" t="s">
        <v>12</v>
      </c>
      <c r="H184" s="5"/>
      <c r="I184" s="11">
        <v>863</v>
      </c>
      <c r="J184" s="11">
        <v>807</v>
      </c>
      <c r="K184" s="11">
        <v>1481</v>
      </c>
      <c r="L184" s="11">
        <v>1101</v>
      </c>
      <c r="M184" s="11">
        <v>1025</v>
      </c>
      <c r="N184" s="11">
        <v>1316</v>
      </c>
      <c r="O184" s="11">
        <v>1332</v>
      </c>
      <c r="P184" s="11"/>
      <c r="Q184" s="11">
        <v>788</v>
      </c>
      <c r="R184" s="11">
        <v>939</v>
      </c>
      <c r="S184" s="11">
        <v>593</v>
      </c>
      <c r="T184" s="11">
        <v>725</v>
      </c>
      <c r="U184" s="11">
        <v>905</v>
      </c>
      <c r="V184" s="11">
        <v>828</v>
      </c>
      <c r="W184" s="11">
        <v>1172</v>
      </c>
      <c r="X184" s="11"/>
      <c r="Y184" s="11">
        <v>0</v>
      </c>
      <c r="Z184" s="11">
        <v>887</v>
      </c>
      <c r="AA184" s="11">
        <v>1283</v>
      </c>
      <c r="AB184" s="11">
        <v>1095</v>
      </c>
      <c r="AC184" s="17">
        <f t="shared" si="22"/>
        <v>0.18200688257204298</v>
      </c>
      <c r="AD184" s="11">
        <f t="shared" si="23"/>
        <v>1132.1428571428571</v>
      </c>
      <c r="AE184" s="11">
        <f t="shared" si="24"/>
        <v>850</v>
      </c>
      <c r="AF184" s="28">
        <f t="shared" si="31"/>
        <v>0.75078864353312302</v>
      </c>
      <c r="AG184" s="42">
        <f t="shared" si="25"/>
        <v>3.6210420499974902E-2</v>
      </c>
      <c r="AH184" s="14" t="str">
        <f t="shared" si="26"/>
        <v>*</v>
      </c>
      <c r="AI184" s="11">
        <f t="shared" si="27"/>
        <v>143</v>
      </c>
      <c r="AJ184" s="11">
        <f t="shared" si="28"/>
        <v>143</v>
      </c>
      <c r="AK184" s="11">
        <f t="shared" si="29"/>
        <v>9.7996033101330676E-2</v>
      </c>
      <c r="AL184" s="42">
        <f t="shared" si="30"/>
        <v>9.7326771460434253E-2</v>
      </c>
      <c r="AM184" s="14" t="str">
        <f t="shared" si="32"/>
        <v>*</v>
      </c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</row>
    <row r="185" spans="1:56" ht="27" customHeight="1" x14ac:dyDescent="0.2">
      <c r="A185" s="9" t="s">
        <v>356</v>
      </c>
      <c r="B185" s="11">
        <v>4925</v>
      </c>
      <c r="C185" s="2">
        <v>758.567568482708</v>
      </c>
      <c r="D185" s="2">
        <v>9.4183955555556604</v>
      </c>
      <c r="E185" s="2">
        <v>-1</v>
      </c>
      <c r="F185" s="12" t="s">
        <v>600</v>
      </c>
      <c r="G185" s="12" t="s">
        <v>12</v>
      </c>
      <c r="H185" s="5"/>
      <c r="I185" s="11">
        <v>179</v>
      </c>
      <c r="J185" s="11">
        <v>308</v>
      </c>
      <c r="K185" s="11">
        <v>624</v>
      </c>
      <c r="L185" s="11">
        <v>405</v>
      </c>
      <c r="M185" s="11">
        <v>409</v>
      </c>
      <c r="N185" s="11">
        <v>336</v>
      </c>
      <c r="O185" s="11">
        <v>663</v>
      </c>
      <c r="P185" s="11"/>
      <c r="Q185" s="11">
        <v>457</v>
      </c>
      <c r="R185" s="11">
        <v>608</v>
      </c>
      <c r="S185" s="11">
        <v>260</v>
      </c>
      <c r="T185" s="11">
        <v>537</v>
      </c>
      <c r="U185" s="11">
        <v>527</v>
      </c>
      <c r="V185" s="11">
        <v>394</v>
      </c>
      <c r="W185" s="11">
        <v>681</v>
      </c>
      <c r="X185" s="11"/>
      <c r="Y185" s="11">
        <v>0</v>
      </c>
      <c r="Z185" s="11">
        <v>507</v>
      </c>
      <c r="AA185" s="11">
        <v>461</v>
      </c>
      <c r="AB185" s="11">
        <v>401</v>
      </c>
      <c r="AC185" s="17">
        <f t="shared" si="22"/>
        <v>0.11648034632740771</v>
      </c>
      <c r="AD185" s="11">
        <f t="shared" si="23"/>
        <v>417.71428571428572</v>
      </c>
      <c r="AE185" s="11">
        <f t="shared" si="24"/>
        <v>494.85714285714283</v>
      </c>
      <c r="AF185" s="28">
        <f t="shared" si="31"/>
        <v>1.1846785225718193</v>
      </c>
      <c r="AG185" s="42">
        <f t="shared" si="25"/>
        <v>0.37676119932079921</v>
      </c>
      <c r="AH185" s="14" t="str">
        <f t="shared" si="26"/>
        <v>-</v>
      </c>
      <c r="AI185" s="11">
        <f t="shared" si="27"/>
        <v>286</v>
      </c>
      <c r="AJ185" s="11">
        <f t="shared" si="28"/>
        <v>286</v>
      </c>
      <c r="AK185" s="11">
        <f t="shared" si="29"/>
        <v>0.50981323124877376</v>
      </c>
      <c r="AL185" s="42">
        <f t="shared" si="30"/>
        <v>0.50815077864741287</v>
      </c>
      <c r="AM185" s="14" t="str">
        <f t="shared" si="32"/>
        <v/>
      </c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</row>
    <row r="186" spans="1:56" ht="27" customHeight="1" x14ac:dyDescent="0.2">
      <c r="A186" s="9" t="s">
        <v>356</v>
      </c>
      <c r="B186" s="11">
        <v>1456</v>
      </c>
      <c r="C186" s="2">
        <v>780.58938014452099</v>
      </c>
      <c r="D186" s="2">
        <v>9.8131416666668301</v>
      </c>
      <c r="E186" s="2">
        <v>-1</v>
      </c>
      <c r="F186" s="12" t="s">
        <v>668</v>
      </c>
      <c r="G186" s="12" t="s">
        <v>666</v>
      </c>
      <c r="H186" s="5"/>
      <c r="I186" s="11">
        <v>861</v>
      </c>
      <c r="J186" s="11">
        <v>1312</v>
      </c>
      <c r="K186" s="11">
        <v>1714</v>
      </c>
      <c r="L186" s="11">
        <v>1537</v>
      </c>
      <c r="M186" s="11">
        <v>1527</v>
      </c>
      <c r="N186" s="11">
        <v>1769</v>
      </c>
      <c r="O186" s="11">
        <v>2208</v>
      </c>
      <c r="P186" s="11"/>
      <c r="Q186" s="11">
        <v>1343</v>
      </c>
      <c r="R186" s="11">
        <v>1390</v>
      </c>
      <c r="S186" s="11">
        <v>856</v>
      </c>
      <c r="T186" s="11">
        <v>2174</v>
      </c>
      <c r="U186" s="11">
        <v>1347</v>
      </c>
      <c r="V186" s="11">
        <v>1548</v>
      </c>
      <c r="W186" s="11">
        <v>1909</v>
      </c>
      <c r="X186" s="11"/>
      <c r="Y186" s="11">
        <v>0</v>
      </c>
      <c r="Z186" s="11">
        <v>1749</v>
      </c>
      <c r="AA186" s="11">
        <v>1747</v>
      </c>
      <c r="AB186" s="11">
        <v>2118</v>
      </c>
      <c r="AC186" s="17">
        <f t="shared" si="22"/>
        <v>0.11415493776088609</v>
      </c>
      <c r="AD186" s="11">
        <f t="shared" si="23"/>
        <v>1561.1428571428571</v>
      </c>
      <c r="AE186" s="11">
        <f t="shared" si="24"/>
        <v>1509.5714285714287</v>
      </c>
      <c r="AF186" s="28">
        <f t="shared" si="31"/>
        <v>0.96696559297218165</v>
      </c>
      <c r="AG186" s="42">
        <f t="shared" si="25"/>
        <v>0.82301512185793313</v>
      </c>
      <c r="AH186" s="14" t="str">
        <f t="shared" si="26"/>
        <v>-</v>
      </c>
      <c r="AI186" s="11">
        <f t="shared" si="27"/>
        <v>368</v>
      </c>
      <c r="AJ186" s="11">
        <f t="shared" si="28"/>
        <v>368</v>
      </c>
      <c r="AK186" s="11">
        <f t="shared" si="29"/>
        <v>0.86550775043211992</v>
      </c>
      <c r="AL186" s="42">
        <f t="shared" si="30"/>
        <v>0.86369866016506591</v>
      </c>
      <c r="AM186" s="14" t="str">
        <f t="shared" si="32"/>
        <v/>
      </c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</row>
    <row r="187" spans="1:56" ht="27" customHeight="1" x14ac:dyDescent="0.2">
      <c r="A187" s="9" t="s">
        <v>356</v>
      </c>
      <c r="B187" s="11">
        <v>1460</v>
      </c>
      <c r="C187" s="2">
        <v>730.57282659780901</v>
      </c>
      <c r="D187" s="2">
        <v>9.5707187499999993</v>
      </c>
      <c r="E187" s="2">
        <v>-1</v>
      </c>
      <c r="F187" s="12" t="s">
        <v>667</v>
      </c>
      <c r="G187" s="12" t="s">
        <v>666</v>
      </c>
      <c r="H187" s="5"/>
      <c r="I187" s="11">
        <v>1041</v>
      </c>
      <c r="J187" s="11">
        <v>1381</v>
      </c>
      <c r="K187" s="11">
        <v>1634</v>
      </c>
      <c r="L187" s="11">
        <v>1492</v>
      </c>
      <c r="M187" s="11">
        <v>2201</v>
      </c>
      <c r="N187" s="11">
        <v>1342</v>
      </c>
      <c r="O187" s="11">
        <v>1178</v>
      </c>
      <c r="P187" s="11"/>
      <c r="Q187" s="11">
        <v>975</v>
      </c>
      <c r="R187" s="11">
        <v>1084</v>
      </c>
      <c r="S187" s="11">
        <v>820</v>
      </c>
      <c r="T187" s="11">
        <v>1595</v>
      </c>
      <c r="U187" s="11">
        <v>1532</v>
      </c>
      <c r="V187" s="11">
        <v>1190</v>
      </c>
      <c r="W187" s="11">
        <v>1771</v>
      </c>
      <c r="X187" s="11"/>
      <c r="Y187" s="11">
        <v>0</v>
      </c>
      <c r="Z187" s="11">
        <v>1317</v>
      </c>
      <c r="AA187" s="11">
        <v>1110</v>
      </c>
      <c r="AB187" s="11">
        <v>1570</v>
      </c>
      <c r="AC187" s="17">
        <f t="shared" si="22"/>
        <v>0.17291694852653744</v>
      </c>
      <c r="AD187" s="11">
        <f t="shared" si="23"/>
        <v>1467</v>
      </c>
      <c r="AE187" s="11">
        <f t="shared" si="24"/>
        <v>1281</v>
      </c>
      <c r="AF187" s="28">
        <f t="shared" si="31"/>
        <v>0.87321063394683029</v>
      </c>
      <c r="AG187" s="42">
        <f t="shared" si="25"/>
        <v>0.36095741114684876</v>
      </c>
      <c r="AH187" s="14" t="str">
        <f t="shared" si="26"/>
        <v>-</v>
      </c>
      <c r="AI187" s="11">
        <f t="shared" si="27"/>
        <v>283</v>
      </c>
      <c r="AJ187" s="11">
        <f t="shared" si="28"/>
        <v>283</v>
      </c>
      <c r="AK187" s="11">
        <f t="shared" si="29"/>
        <v>0.49360607107360593</v>
      </c>
      <c r="AL187" s="42">
        <f t="shared" si="30"/>
        <v>0.49360607107360593</v>
      </c>
      <c r="AM187" s="14" t="str">
        <f t="shared" si="32"/>
        <v/>
      </c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</row>
    <row r="188" spans="1:56" ht="27" customHeight="1" x14ac:dyDescent="0.2">
      <c r="A188" s="9" t="s">
        <v>356</v>
      </c>
      <c r="B188" s="11">
        <v>7</v>
      </c>
      <c r="C188" s="2">
        <v>746.51303688971996</v>
      </c>
      <c r="D188" s="2">
        <v>8.22780000000005</v>
      </c>
      <c r="E188" s="2">
        <v>-1</v>
      </c>
      <c r="F188" s="12" t="s">
        <v>18</v>
      </c>
      <c r="G188" s="12" t="s">
        <v>19</v>
      </c>
      <c r="H188" s="5"/>
      <c r="I188" s="11">
        <v>502126</v>
      </c>
      <c r="J188" s="11">
        <v>492220</v>
      </c>
      <c r="K188" s="11">
        <v>696024</v>
      </c>
      <c r="L188" s="11">
        <v>572539</v>
      </c>
      <c r="M188" s="11">
        <v>698317</v>
      </c>
      <c r="N188" s="11">
        <v>713365</v>
      </c>
      <c r="O188" s="11">
        <v>823106</v>
      </c>
      <c r="P188" s="11"/>
      <c r="Q188" s="11">
        <v>509379</v>
      </c>
      <c r="R188" s="11">
        <v>537259</v>
      </c>
      <c r="S188" s="11">
        <v>511617</v>
      </c>
      <c r="T188" s="11">
        <v>643621</v>
      </c>
      <c r="U188" s="11">
        <v>586421</v>
      </c>
      <c r="V188" s="11">
        <v>632748</v>
      </c>
      <c r="W188" s="11">
        <v>617651</v>
      </c>
      <c r="X188" s="11"/>
      <c r="Y188" s="11">
        <v>113</v>
      </c>
      <c r="Z188" s="11">
        <v>604324</v>
      </c>
      <c r="AA188" s="11">
        <v>593509</v>
      </c>
      <c r="AB188" s="11">
        <v>729980</v>
      </c>
      <c r="AC188" s="17">
        <f t="shared" si="22"/>
        <v>0.11805478504115492</v>
      </c>
      <c r="AD188" s="11">
        <f t="shared" si="23"/>
        <v>642528.14285714284</v>
      </c>
      <c r="AE188" s="11">
        <f t="shared" si="24"/>
        <v>576956.57142857148</v>
      </c>
      <c r="AF188" s="28">
        <f t="shared" si="31"/>
        <v>0.89794754960149614</v>
      </c>
      <c r="AG188" s="42">
        <f t="shared" si="25"/>
        <v>0.23499939134451137</v>
      </c>
      <c r="AH188" s="14" t="str">
        <f t="shared" si="26"/>
        <v>-</v>
      </c>
      <c r="AI188" s="11">
        <f t="shared" si="27"/>
        <v>251</v>
      </c>
      <c r="AJ188" s="11">
        <f t="shared" si="28"/>
        <v>251</v>
      </c>
      <c r="AK188" s="11">
        <f t="shared" si="29"/>
        <v>0.36232973884591996</v>
      </c>
      <c r="AL188" s="42">
        <f t="shared" si="30"/>
        <v>0.36232973884591996</v>
      </c>
      <c r="AM188" s="14" t="str">
        <f t="shared" si="32"/>
        <v/>
      </c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</row>
    <row r="189" spans="1:56" ht="27" customHeight="1" x14ac:dyDescent="0.2">
      <c r="A189" s="9" t="s">
        <v>356</v>
      </c>
      <c r="B189" s="11">
        <v>10</v>
      </c>
      <c r="C189" s="2">
        <v>774.54447461069503</v>
      </c>
      <c r="D189" s="2">
        <v>8.8803421568628202</v>
      </c>
      <c r="E189" s="2">
        <v>-1</v>
      </c>
      <c r="F189" s="12" t="s">
        <v>22</v>
      </c>
      <c r="G189" s="12" t="s">
        <v>19</v>
      </c>
      <c r="H189" s="5"/>
      <c r="I189" s="11">
        <v>404453</v>
      </c>
      <c r="J189" s="11">
        <v>389876</v>
      </c>
      <c r="K189" s="11">
        <v>454878</v>
      </c>
      <c r="L189" s="11">
        <v>422923</v>
      </c>
      <c r="M189" s="11">
        <v>507421</v>
      </c>
      <c r="N189" s="11">
        <v>473250</v>
      </c>
      <c r="O189" s="11">
        <v>559388</v>
      </c>
      <c r="P189" s="11"/>
      <c r="Q189" s="11">
        <v>342980</v>
      </c>
      <c r="R189" s="11">
        <v>393288</v>
      </c>
      <c r="S189" s="11">
        <v>311788</v>
      </c>
      <c r="T189" s="11">
        <v>447559</v>
      </c>
      <c r="U189" s="11">
        <v>417369</v>
      </c>
      <c r="V189" s="11">
        <v>413855</v>
      </c>
      <c r="W189" s="11">
        <v>486197</v>
      </c>
      <c r="X189" s="11"/>
      <c r="Y189" s="11">
        <v>0</v>
      </c>
      <c r="Z189" s="11">
        <v>428640</v>
      </c>
      <c r="AA189" s="11">
        <v>421859</v>
      </c>
      <c r="AB189" s="11">
        <v>487838</v>
      </c>
      <c r="AC189" s="17">
        <f t="shared" si="22"/>
        <v>8.1356638277262278E-2</v>
      </c>
      <c r="AD189" s="11">
        <f t="shared" si="23"/>
        <v>458884.14285714284</v>
      </c>
      <c r="AE189" s="11">
        <f t="shared" si="24"/>
        <v>401862.28571428574</v>
      </c>
      <c r="AF189" s="28">
        <f t="shared" si="31"/>
        <v>0.87573800918937217</v>
      </c>
      <c r="AG189" s="42">
        <f t="shared" si="25"/>
        <v>9.9810319881450088E-2</v>
      </c>
      <c r="AH189" s="14" t="str">
        <f t="shared" si="26"/>
        <v>-</v>
      </c>
      <c r="AI189" s="11">
        <f t="shared" si="27"/>
        <v>196</v>
      </c>
      <c r="AJ189" s="11">
        <f t="shared" si="28"/>
        <v>196</v>
      </c>
      <c r="AK189" s="11">
        <f t="shared" si="29"/>
        <v>0.19707445813327135</v>
      </c>
      <c r="AL189" s="42">
        <f t="shared" si="30"/>
        <v>0.19690605054484472</v>
      </c>
      <c r="AM189" s="14" t="str">
        <f t="shared" si="32"/>
        <v/>
      </c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</row>
    <row r="190" spans="1:56" ht="27" customHeight="1" x14ac:dyDescent="0.2">
      <c r="A190" s="9" t="s">
        <v>356</v>
      </c>
      <c r="B190" s="11">
        <v>15</v>
      </c>
      <c r="C190" s="2">
        <v>772.52834580786896</v>
      </c>
      <c r="D190" s="2">
        <v>8.3140813725491096</v>
      </c>
      <c r="E190" s="2">
        <v>-1</v>
      </c>
      <c r="F190" s="12" t="s">
        <v>29</v>
      </c>
      <c r="G190" s="12" t="s">
        <v>19</v>
      </c>
      <c r="H190" s="5"/>
      <c r="I190" s="11">
        <v>237883</v>
      </c>
      <c r="J190" s="11">
        <v>238170</v>
      </c>
      <c r="K190" s="11">
        <v>318393</v>
      </c>
      <c r="L190" s="11">
        <v>289224</v>
      </c>
      <c r="M190" s="11">
        <v>372519</v>
      </c>
      <c r="N190" s="11">
        <v>381540</v>
      </c>
      <c r="O190" s="11">
        <v>422516</v>
      </c>
      <c r="P190" s="11"/>
      <c r="Q190" s="11">
        <v>236810</v>
      </c>
      <c r="R190" s="11">
        <v>296907</v>
      </c>
      <c r="S190" s="11">
        <v>219864</v>
      </c>
      <c r="T190" s="11">
        <v>308945</v>
      </c>
      <c r="U190" s="11">
        <v>297177</v>
      </c>
      <c r="V190" s="11">
        <v>301156</v>
      </c>
      <c r="W190" s="11">
        <v>341301</v>
      </c>
      <c r="X190" s="11"/>
      <c r="Y190" s="11">
        <v>114</v>
      </c>
      <c r="Z190" s="11">
        <v>304428</v>
      </c>
      <c r="AA190" s="11">
        <v>306957</v>
      </c>
      <c r="AB190" s="11">
        <v>355834</v>
      </c>
      <c r="AC190" s="17">
        <f t="shared" si="22"/>
        <v>8.9876683598695911E-2</v>
      </c>
      <c r="AD190" s="11">
        <f t="shared" si="23"/>
        <v>322892.14285714284</v>
      </c>
      <c r="AE190" s="11">
        <f t="shared" si="24"/>
        <v>286022.85714285716</v>
      </c>
      <c r="AF190" s="28">
        <f t="shared" si="31"/>
        <v>0.88581547575594688</v>
      </c>
      <c r="AG190" s="42">
        <f t="shared" si="25"/>
        <v>0.2727684455683585</v>
      </c>
      <c r="AH190" s="14" t="str">
        <f t="shared" si="26"/>
        <v>-</v>
      </c>
      <c r="AI190" s="11">
        <f t="shared" si="27"/>
        <v>263</v>
      </c>
      <c r="AJ190" s="11">
        <f t="shared" si="28"/>
        <v>263</v>
      </c>
      <c r="AK190" s="11">
        <f t="shared" si="29"/>
        <v>0.40137410051313588</v>
      </c>
      <c r="AL190" s="42">
        <f t="shared" si="30"/>
        <v>0.40014070671414992</v>
      </c>
      <c r="AM190" s="14" t="str">
        <f t="shared" si="32"/>
        <v/>
      </c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</row>
    <row r="191" spans="1:56" ht="27" customHeight="1" x14ac:dyDescent="0.2">
      <c r="A191" s="9" t="s">
        <v>356</v>
      </c>
      <c r="B191" s="11">
        <v>74</v>
      </c>
      <c r="C191" s="2">
        <v>802.57535171556196</v>
      </c>
      <c r="D191" s="2">
        <v>9.6291823529412905</v>
      </c>
      <c r="E191" s="2">
        <v>-1</v>
      </c>
      <c r="F191" s="12" t="s">
        <v>78</v>
      </c>
      <c r="G191" s="12" t="s">
        <v>19</v>
      </c>
      <c r="H191" s="5"/>
      <c r="I191" s="11">
        <v>35791</v>
      </c>
      <c r="J191" s="11">
        <v>34058</v>
      </c>
      <c r="K191" s="11">
        <v>56058</v>
      </c>
      <c r="L191" s="11">
        <v>47411</v>
      </c>
      <c r="M191" s="11">
        <v>64840</v>
      </c>
      <c r="N191" s="11">
        <v>48931</v>
      </c>
      <c r="O191" s="11">
        <v>60799</v>
      </c>
      <c r="P191" s="11"/>
      <c r="Q191" s="11">
        <v>32620</v>
      </c>
      <c r="R191" s="11">
        <v>39498</v>
      </c>
      <c r="S191" s="11">
        <v>25445</v>
      </c>
      <c r="T191" s="11">
        <v>48719</v>
      </c>
      <c r="U191" s="11">
        <v>42032</v>
      </c>
      <c r="V191" s="11">
        <v>44508</v>
      </c>
      <c r="W191" s="11">
        <v>53254</v>
      </c>
      <c r="X191" s="11"/>
      <c r="Y191" s="11">
        <v>0</v>
      </c>
      <c r="Z191" s="11">
        <v>42361</v>
      </c>
      <c r="AA191" s="11">
        <v>48727</v>
      </c>
      <c r="AB191" s="11">
        <v>54227</v>
      </c>
      <c r="AC191" s="17">
        <f t="shared" si="22"/>
        <v>0.12259431934420248</v>
      </c>
      <c r="AD191" s="11">
        <f t="shared" si="23"/>
        <v>49698.285714285717</v>
      </c>
      <c r="AE191" s="11">
        <f t="shared" si="24"/>
        <v>40868</v>
      </c>
      <c r="AF191" s="28">
        <f t="shared" si="31"/>
        <v>0.82232212666145421</v>
      </c>
      <c r="AG191" s="42">
        <f t="shared" si="25"/>
        <v>0.14981432905459349</v>
      </c>
      <c r="AH191" s="14" t="str">
        <f t="shared" si="26"/>
        <v>-</v>
      </c>
      <c r="AI191" s="11">
        <f t="shared" si="27"/>
        <v>223</v>
      </c>
      <c r="AJ191" s="11">
        <f t="shared" si="28"/>
        <v>223</v>
      </c>
      <c r="AK191" s="11">
        <f t="shared" si="29"/>
        <v>0.25999168315752325</v>
      </c>
      <c r="AL191" s="42">
        <f t="shared" si="30"/>
        <v>0.2578641095121732</v>
      </c>
      <c r="AM191" s="14" t="str">
        <f t="shared" si="32"/>
        <v/>
      </c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</row>
    <row r="192" spans="1:56" ht="27" customHeight="1" x14ac:dyDescent="0.2">
      <c r="A192" s="9" t="s">
        <v>356</v>
      </c>
      <c r="B192" s="11">
        <v>91</v>
      </c>
      <c r="C192" s="2">
        <v>722.51130465920403</v>
      </c>
      <c r="D192" s="2">
        <v>8.3034137254901097</v>
      </c>
      <c r="E192" s="2">
        <v>-1</v>
      </c>
      <c r="F192" s="12" t="s">
        <v>80</v>
      </c>
      <c r="G192" s="12" t="s">
        <v>19</v>
      </c>
      <c r="H192" s="5"/>
      <c r="I192" s="11">
        <v>26071</v>
      </c>
      <c r="J192" s="11">
        <v>28493</v>
      </c>
      <c r="K192" s="11">
        <v>38936</v>
      </c>
      <c r="L192" s="11">
        <v>31679</v>
      </c>
      <c r="M192" s="11">
        <v>28496</v>
      </c>
      <c r="N192" s="11">
        <v>35837</v>
      </c>
      <c r="O192" s="11">
        <v>48838</v>
      </c>
      <c r="P192" s="11"/>
      <c r="Q192" s="11">
        <v>30206</v>
      </c>
      <c r="R192" s="11">
        <v>46856</v>
      </c>
      <c r="S192" s="11">
        <v>32647</v>
      </c>
      <c r="T192" s="11">
        <v>47093</v>
      </c>
      <c r="U192" s="11">
        <v>37296</v>
      </c>
      <c r="V192" s="11">
        <v>38853</v>
      </c>
      <c r="W192" s="11">
        <v>49945</v>
      </c>
      <c r="X192" s="11"/>
      <c r="Y192" s="11">
        <v>0</v>
      </c>
      <c r="Z192" s="11">
        <v>39156</v>
      </c>
      <c r="AA192" s="11">
        <v>43377</v>
      </c>
      <c r="AB192" s="11">
        <v>37977</v>
      </c>
      <c r="AC192" s="17">
        <f t="shared" si="22"/>
        <v>7.0680007789111945E-2</v>
      </c>
      <c r="AD192" s="11">
        <f t="shared" si="23"/>
        <v>34050</v>
      </c>
      <c r="AE192" s="11">
        <f t="shared" si="24"/>
        <v>40413.714285714283</v>
      </c>
      <c r="AF192" s="28">
        <f t="shared" si="31"/>
        <v>1.1868932242500523</v>
      </c>
      <c r="AG192" s="42">
        <f t="shared" si="25"/>
        <v>0.15295128560714816</v>
      </c>
      <c r="AH192" s="14" t="str">
        <f t="shared" si="26"/>
        <v>-</v>
      </c>
      <c r="AI192" s="11">
        <f t="shared" si="27"/>
        <v>227</v>
      </c>
      <c r="AJ192" s="11">
        <f t="shared" si="28"/>
        <v>227</v>
      </c>
      <c r="AK192" s="11">
        <f t="shared" si="29"/>
        <v>0.26075835916284729</v>
      </c>
      <c r="AL192" s="42">
        <f t="shared" si="30"/>
        <v>0.26075835916284729</v>
      </c>
      <c r="AM192" s="14" t="str">
        <f t="shared" si="32"/>
        <v/>
      </c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</row>
    <row r="193" spans="1:56" ht="27" customHeight="1" x14ac:dyDescent="0.2">
      <c r="A193" s="9" t="s">
        <v>356</v>
      </c>
      <c r="B193" s="11">
        <v>104</v>
      </c>
      <c r="C193" s="2">
        <v>750.54334124063496</v>
      </c>
      <c r="D193" s="2">
        <v>8.9720450980392297</v>
      </c>
      <c r="E193" s="2">
        <v>-1</v>
      </c>
      <c r="F193" s="12" t="s">
        <v>101</v>
      </c>
      <c r="G193" s="12" t="s">
        <v>19</v>
      </c>
      <c r="H193" s="5"/>
      <c r="I193" s="11">
        <v>19472</v>
      </c>
      <c r="J193" s="11">
        <v>26679</v>
      </c>
      <c r="K193" s="11">
        <v>31584</v>
      </c>
      <c r="L193" s="11">
        <v>23833</v>
      </c>
      <c r="M193" s="11">
        <v>27320</v>
      </c>
      <c r="N193" s="11">
        <v>32548</v>
      </c>
      <c r="O193" s="11">
        <v>33059</v>
      </c>
      <c r="P193" s="11"/>
      <c r="Q193" s="11">
        <v>23088</v>
      </c>
      <c r="R193" s="11">
        <v>35734</v>
      </c>
      <c r="S193" s="11">
        <v>20518</v>
      </c>
      <c r="T193" s="11">
        <v>33521</v>
      </c>
      <c r="U193" s="11">
        <v>29825</v>
      </c>
      <c r="V193" s="11">
        <v>30612</v>
      </c>
      <c r="W193" s="11">
        <v>42594</v>
      </c>
      <c r="X193" s="11"/>
      <c r="Y193" s="11">
        <v>117</v>
      </c>
      <c r="Z193" s="11">
        <v>28654</v>
      </c>
      <c r="AA193" s="11">
        <v>29122</v>
      </c>
      <c r="AB193" s="11">
        <v>36666</v>
      </c>
      <c r="AC193" s="17">
        <f t="shared" si="22"/>
        <v>0.14284077915302099</v>
      </c>
      <c r="AD193" s="11">
        <f t="shared" si="23"/>
        <v>27785</v>
      </c>
      <c r="AE193" s="11">
        <f t="shared" si="24"/>
        <v>30841.714285714286</v>
      </c>
      <c r="AF193" s="28">
        <f t="shared" si="31"/>
        <v>1.1100131108768863</v>
      </c>
      <c r="AG193" s="42">
        <f t="shared" si="25"/>
        <v>0.3900422153019697</v>
      </c>
      <c r="AH193" s="14" t="str">
        <f t="shared" si="26"/>
        <v>-</v>
      </c>
      <c r="AI193" s="11">
        <f t="shared" si="27"/>
        <v>294</v>
      </c>
      <c r="AJ193" s="11">
        <f t="shared" si="28"/>
        <v>294</v>
      </c>
      <c r="AK193" s="11">
        <f t="shared" si="29"/>
        <v>0.51342291606075607</v>
      </c>
      <c r="AL193" s="42">
        <f t="shared" si="30"/>
        <v>0.51177444068705213</v>
      </c>
      <c r="AM193" s="14" t="str">
        <f t="shared" si="32"/>
        <v/>
      </c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</row>
    <row r="194" spans="1:56" ht="27" customHeight="1" x14ac:dyDescent="0.2">
      <c r="A194" s="9" t="s">
        <v>356</v>
      </c>
      <c r="B194" s="11">
        <v>141</v>
      </c>
      <c r="C194" s="2">
        <v>726.54363605157198</v>
      </c>
      <c r="D194" s="2">
        <v>8.9947774509804699</v>
      </c>
      <c r="E194" s="2">
        <v>-1</v>
      </c>
      <c r="F194" s="12" t="s">
        <v>108</v>
      </c>
      <c r="G194" s="12" t="s">
        <v>19</v>
      </c>
      <c r="H194" s="5"/>
      <c r="I194" s="11">
        <v>16869</v>
      </c>
      <c r="J194" s="11">
        <v>16301</v>
      </c>
      <c r="K194" s="11">
        <v>26233</v>
      </c>
      <c r="L194" s="11">
        <v>24643</v>
      </c>
      <c r="M194" s="11">
        <v>28017</v>
      </c>
      <c r="N194" s="11">
        <v>23210</v>
      </c>
      <c r="O194" s="11">
        <v>28217</v>
      </c>
      <c r="P194" s="11"/>
      <c r="Q194" s="11">
        <v>15157</v>
      </c>
      <c r="R194" s="11">
        <v>16675</v>
      </c>
      <c r="S194" s="11">
        <v>11518</v>
      </c>
      <c r="T194" s="11">
        <v>21689</v>
      </c>
      <c r="U194" s="11">
        <v>19595</v>
      </c>
      <c r="V194" s="11">
        <v>18278</v>
      </c>
      <c r="W194" s="11">
        <v>22034</v>
      </c>
      <c r="X194" s="11"/>
      <c r="Y194" s="11">
        <v>0</v>
      </c>
      <c r="Z194" s="11">
        <v>19528</v>
      </c>
      <c r="AA194" s="11">
        <v>22901</v>
      </c>
      <c r="AB194" s="11">
        <v>23734</v>
      </c>
      <c r="AC194" s="17">
        <f t="shared" si="22"/>
        <v>0.10098514955066587</v>
      </c>
      <c r="AD194" s="11">
        <f t="shared" si="23"/>
        <v>23355.714285714286</v>
      </c>
      <c r="AE194" s="11">
        <f t="shared" si="24"/>
        <v>17849.428571428572</v>
      </c>
      <c r="AF194" s="28">
        <f t="shared" si="31"/>
        <v>0.76424246131261853</v>
      </c>
      <c r="AG194" s="42">
        <f t="shared" si="25"/>
        <v>3.8425422145629481E-2</v>
      </c>
      <c r="AH194" s="14" t="str">
        <f t="shared" si="26"/>
        <v>*</v>
      </c>
      <c r="AI194" s="11">
        <f t="shared" si="27"/>
        <v>148</v>
      </c>
      <c r="AJ194" s="11">
        <f t="shared" si="28"/>
        <v>148</v>
      </c>
      <c r="AK194" s="11">
        <f t="shared" si="29"/>
        <v>0.10047728628620682</v>
      </c>
      <c r="AL194" s="42">
        <f t="shared" si="30"/>
        <v>0.10047728628620682</v>
      </c>
      <c r="AM194" s="14" t="str">
        <f t="shared" si="32"/>
        <v/>
      </c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</row>
    <row r="195" spans="1:56" ht="27" customHeight="1" x14ac:dyDescent="0.2">
      <c r="A195" s="9" t="s">
        <v>356</v>
      </c>
      <c r="B195" s="11">
        <v>158</v>
      </c>
      <c r="C195" s="2">
        <v>698.51262608342699</v>
      </c>
      <c r="D195" s="2">
        <v>8.3169843750001196</v>
      </c>
      <c r="E195" s="2">
        <v>-1</v>
      </c>
      <c r="F195" s="12" t="s">
        <v>122</v>
      </c>
      <c r="G195" s="12" t="s">
        <v>19</v>
      </c>
      <c r="H195" s="5"/>
      <c r="I195" s="11">
        <v>14889</v>
      </c>
      <c r="J195" s="11">
        <v>12512</v>
      </c>
      <c r="K195" s="11">
        <v>22701</v>
      </c>
      <c r="L195" s="11">
        <v>20553</v>
      </c>
      <c r="M195" s="11">
        <v>19176</v>
      </c>
      <c r="N195" s="11">
        <v>19112</v>
      </c>
      <c r="O195" s="11">
        <v>24174</v>
      </c>
      <c r="P195" s="11"/>
      <c r="Q195" s="11">
        <v>13309</v>
      </c>
      <c r="R195" s="11">
        <v>13040</v>
      </c>
      <c r="S195" s="11">
        <v>12338</v>
      </c>
      <c r="T195" s="11">
        <v>15082</v>
      </c>
      <c r="U195" s="11">
        <v>15349</v>
      </c>
      <c r="V195" s="11">
        <v>15814</v>
      </c>
      <c r="W195" s="11">
        <v>16753</v>
      </c>
      <c r="X195" s="11"/>
      <c r="Y195" s="11">
        <v>218</v>
      </c>
      <c r="Z195" s="11">
        <v>15116</v>
      </c>
      <c r="AA195" s="11">
        <v>15538</v>
      </c>
      <c r="AB195" s="11">
        <v>17550</v>
      </c>
      <c r="AC195" s="17">
        <f t="shared" si="22"/>
        <v>8.0948362247228539E-2</v>
      </c>
      <c r="AD195" s="11">
        <f t="shared" si="23"/>
        <v>19016.714285714286</v>
      </c>
      <c r="AE195" s="11">
        <f t="shared" si="24"/>
        <v>14526.428571428571</v>
      </c>
      <c r="AF195" s="28">
        <f t="shared" si="31"/>
        <v>0.76387689025443772</v>
      </c>
      <c r="AG195" s="42">
        <f t="shared" si="25"/>
        <v>2.8456335216270032E-2</v>
      </c>
      <c r="AH195" s="14" t="str">
        <f t="shared" si="26"/>
        <v>*</v>
      </c>
      <c r="AI195" s="11">
        <f t="shared" si="27"/>
        <v>126</v>
      </c>
      <c r="AJ195" s="11">
        <f t="shared" si="28"/>
        <v>126</v>
      </c>
      <c r="AK195" s="11">
        <f t="shared" si="29"/>
        <v>8.7401601021400807E-2</v>
      </c>
      <c r="AL195" s="42">
        <f t="shared" si="30"/>
        <v>8.7401601021400807E-2</v>
      </c>
      <c r="AM195" s="14" t="str">
        <f t="shared" si="32"/>
        <v>*</v>
      </c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</row>
    <row r="196" spans="1:56" ht="27" customHeight="1" x14ac:dyDescent="0.2">
      <c r="A196" s="9" t="s">
        <v>356</v>
      </c>
      <c r="B196" s="11">
        <v>197</v>
      </c>
      <c r="C196" s="2">
        <v>800.55884496454996</v>
      </c>
      <c r="D196" s="2">
        <v>8.9400539215686408</v>
      </c>
      <c r="E196" s="2">
        <v>-1</v>
      </c>
      <c r="F196" s="12" t="s">
        <v>137</v>
      </c>
      <c r="G196" s="12" t="s">
        <v>19</v>
      </c>
      <c r="H196" s="5"/>
      <c r="I196" s="11">
        <v>14257</v>
      </c>
      <c r="J196" s="11">
        <v>10314</v>
      </c>
      <c r="K196" s="11">
        <v>15850</v>
      </c>
      <c r="L196" s="11">
        <v>15307</v>
      </c>
      <c r="M196" s="11">
        <v>17216</v>
      </c>
      <c r="N196" s="11">
        <v>15536</v>
      </c>
      <c r="O196" s="11">
        <v>16981</v>
      </c>
      <c r="P196" s="11"/>
      <c r="Q196" s="11">
        <v>10785</v>
      </c>
      <c r="R196" s="11">
        <v>12289</v>
      </c>
      <c r="S196" s="11">
        <v>9996</v>
      </c>
      <c r="T196" s="11">
        <v>15370</v>
      </c>
      <c r="U196" s="11">
        <v>13377</v>
      </c>
      <c r="V196" s="11">
        <v>12178</v>
      </c>
      <c r="W196" s="11">
        <v>16146</v>
      </c>
      <c r="X196" s="11"/>
      <c r="Y196" s="11">
        <v>0</v>
      </c>
      <c r="Z196" s="11">
        <v>14187</v>
      </c>
      <c r="AA196" s="11">
        <v>12753</v>
      </c>
      <c r="AB196" s="11">
        <v>19666</v>
      </c>
      <c r="AC196" s="17">
        <f t="shared" ref="AC196:AC259" si="33">IFERROR(STDEV(Z196:AB196)/AVERAGE(Z196:AB196),0)</f>
        <v>0.23484593204278417</v>
      </c>
      <c r="AD196" s="11">
        <f t="shared" ref="AD196:AD259" si="34">AVERAGE(I196:O196)</f>
        <v>15065.857142857143</v>
      </c>
      <c r="AE196" s="11">
        <f t="shared" ref="AE196:AE259" si="35">AVERAGE(Q196:W196)</f>
        <v>12877.285714285714</v>
      </c>
      <c r="AF196" s="28">
        <f t="shared" si="31"/>
        <v>0.8547330292714842</v>
      </c>
      <c r="AG196" s="42">
        <f t="shared" ref="AG196:AG259" si="36">TTEST(I196:O196,Q196:W196,2,3)</f>
        <v>9.942417439497378E-2</v>
      </c>
      <c r="AH196" s="14" t="str">
        <f t="shared" ref="AH196:AH259" si="37">IF(AG196&lt;0.001,"***",IF(AG196&lt;0.01,"**",IF(AG196&lt;0.05,"*","-")))</f>
        <v>-</v>
      </c>
      <c r="AI196" s="11">
        <f t="shared" ref="AI196:AI259" si="38">_xlfn.RANK.EQ(AG196,$AG$4:$AG$390,1)</f>
        <v>195</v>
      </c>
      <c r="AJ196" s="11">
        <f t="shared" ref="AJ196:AJ259" si="39">COUNTIF($AI$4:$AI$390,AI196)+AI196-1</f>
        <v>195</v>
      </c>
      <c r="AK196" s="11">
        <f t="shared" ref="AK196:AK259" si="40">MIN(AG196*$AJ$3/AJ196,1)</f>
        <v>0.19731874610694797</v>
      </c>
      <c r="AL196" s="42">
        <f t="shared" ref="AL196:AL259" si="41">MIN(AK196,IFERROR(VLOOKUP(AJ196+1,$AJ$4:$AL$390,3,FALSE),1))</f>
        <v>0.19690605054484472</v>
      </c>
      <c r="AM196" s="14" t="str">
        <f t="shared" si="32"/>
        <v/>
      </c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</row>
    <row r="197" spans="1:56" ht="27" customHeight="1" x14ac:dyDescent="0.2">
      <c r="A197" s="9" t="s">
        <v>356</v>
      </c>
      <c r="B197" s="11">
        <v>212</v>
      </c>
      <c r="C197" s="2">
        <v>760.52846513740894</v>
      </c>
      <c r="D197" s="2">
        <v>8.5384635416666796</v>
      </c>
      <c r="E197" s="2">
        <v>-1</v>
      </c>
      <c r="F197" s="12" t="s">
        <v>123</v>
      </c>
      <c r="G197" s="12" t="s">
        <v>19</v>
      </c>
      <c r="H197" s="5"/>
      <c r="I197" s="11">
        <v>13891</v>
      </c>
      <c r="J197" s="11">
        <v>11049</v>
      </c>
      <c r="K197" s="11">
        <v>12447</v>
      </c>
      <c r="L197" s="11">
        <v>18285</v>
      </c>
      <c r="M197" s="11">
        <v>14643</v>
      </c>
      <c r="N197" s="11">
        <v>13953</v>
      </c>
      <c r="O197" s="11">
        <v>18478</v>
      </c>
      <c r="P197" s="11"/>
      <c r="Q197" s="11">
        <v>11776</v>
      </c>
      <c r="R197" s="11">
        <v>18567</v>
      </c>
      <c r="S197" s="11">
        <v>10124</v>
      </c>
      <c r="T197" s="11">
        <v>12279</v>
      </c>
      <c r="U197" s="11">
        <v>9470</v>
      </c>
      <c r="V197" s="11">
        <v>12829</v>
      </c>
      <c r="W197" s="11">
        <v>10994</v>
      </c>
      <c r="X197" s="11"/>
      <c r="Y197" s="11">
        <v>0</v>
      </c>
      <c r="Z197" s="11">
        <v>15848</v>
      </c>
      <c r="AA197" s="11">
        <v>10151</v>
      </c>
      <c r="AB197" s="11">
        <v>15477</v>
      </c>
      <c r="AC197" s="17">
        <f t="shared" si="33"/>
        <v>0.23055272880509337</v>
      </c>
      <c r="AD197" s="11">
        <f t="shared" si="34"/>
        <v>14678</v>
      </c>
      <c r="AE197" s="11">
        <f t="shared" si="35"/>
        <v>12291.285714285714</v>
      </c>
      <c r="AF197" s="28">
        <f t="shared" ref="AF197:AF260" si="42">AE197/AD197</f>
        <v>0.8373951297374107</v>
      </c>
      <c r="AG197" s="42">
        <f t="shared" si="36"/>
        <v>0.14990868747715924</v>
      </c>
      <c r="AH197" s="14" t="str">
        <f t="shared" si="37"/>
        <v>-</v>
      </c>
      <c r="AI197" s="11">
        <f t="shared" si="38"/>
        <v>224</v>
      </c>
      <c r="AJ197" s="11">
        <f t="shared" si="39"/>
        <v>224</v>
      </c>
      <c r="AK197" s="11">
        <f t="shared" si="40"/>
        <v>0.25899402702527069</v>
      </c>
      <c r="AL197" s="42">
        <f t="shared" si="41"/>
        <v>0.2578641095121732</v>
      </c>
      <c r="AM197" s="14" t="str">
        <f t="shared" ref="AM197:AM260" si="43">IF(AL197&lt;0.05,"**",IF(AL197&lt;0.1,"*",""))</f>
        <v/>
      </c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</row>
    <row r="198" spans="1:56" ht="27" customHeight="1" x14ac:dyDescent="0.2">
      <c r="A198" s="9" t="s">
        <v>356</v>
      </c>
      <c r="B198" s="11">
        <v>273</v>
      </c>
      <c r="C198" s="2">
        <v>720.49529834128703</v>
      </c>
      <c r="D198" s="2">
        <v>7.9759700000000597</v>
      </c>
      <c r="E198" s="2">
        <v>-1</v>
      </c>
      <c r="F198" s="12" t="s">
        <v>134</v>
      </c>
      <c r="G198" s="12" t="s">
        <v>19</v>
      </c>
      <c r="H198" s="5"/>
      <c r="I198" s="11">
        <v>6462</v>
      </c>
      <c r="J198" s="11">
        <v>4003</v>
      </c>
      <c r="K198" s="11">
        <v>11177</v>
      </c>
      <c r="L198" s="11">
        <v>10530</v>
      </c>
      <c r="M198" s="11">
        <v>8972</v>
      </c>
      <c r="N198" s="11">
        <v>11568</v>
      </c>
      <c r="O198" s="11">
        <v>9731</v>
      </c>
      <c r="P198" s="11"/>
      <c r="Q198" s="11">
        <v>8915</v>
      </c>
      <c r="R198" s="11">
        <v>8726</v>
      </c>
      <c r="S198" s="11">
        <v>8895</v>
      </c>
      <c r="T198" s="11">
        <v>13950</v>
      </c>
      <c r="U198" s="11">
        <v>12731</v>
      </c>
      <c r="V198" s="11">
        <v>14032</v>
      </c>
      <c r="W198" s="11">
        <v>12557</v>
      </c>
      <c r="X198" s="11"/>
      <c r="Y198" s="11">
        <v>0</v>
      </c>
      <c r="Z198" s="11">
        <v>12299</v>
      </c>
      <c r="AA198" s="11">
        <v>9261</v>
      </c>
      <c r="AB198" s="11">
        <v>12485</v>
      </c>
      <c r="AC198" s="17">
        <f t="shared" si="33"/>
        <v>0.15950134233610191</v>
      </c>
      <c r="AD198" s="11">
        <f t="shared" si="34"/>
        <v>8920.4285714285706</v>
      </c>
      <c r="AE198" s="11">
        <f t="shared" si="35"/>
        <v>11400.857142857143</v>
      </c>
      <c r="AF198" s="28">
        <f t="shared" si="42"/>
        <v>1.2780615921720611</v>
      </c>
      <c r="AG198" s="42">
        <f t="shared" si="36"/>
        <v>0.10102401565535203</v>
      </c>
      <c r="AH198" s="14" t="str">
        <f t="shared" si="37"/>
        <v>-</v>
      </c>
      <c r="AI198" s="11">
        <f t="shared" si="38"/>
        <v>198</v>
      </c>
      <c r="AJ198" s="11">
        <f t="shared" si="39"/>
        <v>198</v>
      </c>
      <c r="AK198" s="11">
        <f t="shared" si="40"/>
        <v>0.19745603059909714</v>
      </c>
      <c r="AL198" s="42">
        <f t="shared" si="41"/>
        <v>0.19745603059909714</v>
      </c>
      <c r="AM198" s="14" t="str">
        <f t="shared" si="43"/>
        <v/>
      </c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</row>
    <row r="199" spans="1:56" ht="27" customHeight="1" x14ac:dyDescent="0.2">
      <c r="A199" s="9" t="s">
        <v>356</v>
      </c>
      <c r="B199" s="11">
        <v>335</v>
      </c>
      <c r="C199" s="2">
        <v>724.53145232578504</v>
      </c>
      <c r="D199" s="2">
        <v>8.4290092592592192</v>
      </c>
      <c r="E199" s="2">
        <v>-1</v>
      </c>
      <c r="F199" s="12" t="s">
        <v>183</v>
      </c>
      <c r="G199" s="12" t="s">
        <v>19</v>
      </c>
      <c r="H199" s="5"/>
      <c r="I199" s="11">
        <v>6642</v>
      </c>
      <c r="J199" s="11">
        <v>6375</v>
      </c>
      <c r="K199" s="11">
        <v>11802</v>
      </c>
      <c r="L199" s="11">
        <v>8294</v>
      </c>
      <c r="M199" s="11">
        <v>8251</v>
      </c>
      <c r="N199" s="11">
        <v>9998</v>
      </c>
      <c r="O199" s="11">
        <v>10905</v>
      </c>
      <c r="P199" s="11"/>
      <c r="Q199" s="11">
        <v>5403</v>
      </c>
      <c r="R199" s="11">
        <v>5633</v>
      </c>
      <c r="S199" s="11">
        <v>6770</v>
      </c>
      <c r="T199" s="11">
        <v>7615</v>
      </c>
      <c r="U199" s="11">
        <v>1686</v>
      </c>
      <c r="V199" s="11">
        <v>5988</v>
      </c>
      <c r="W199" s="11">
        <v>6649</v>
      </c>
      <c r="X199" s="11"/>
      <c r="Y199" s="11">
        <v>22</v>
      </c>
      <c r="Z199" s="11">
        <v>5639</v>
      </c>
      <c r="AA199" s="11">
        <v>6240</v>
      </c>
      <c r="AB199" s="11">
        <v>6582</v>
      </c>
      <c r="AC199" s="17">
        <f t="shared" si="33"/>
        <v>7.7578328530751486E-2</v>
      </c>
      <c r="AD199" s="11">
        <f t="shared" si="34"/>
        <v>8895.2857142857138</v>
      </c>
      <c r="AE199" s="11">
        <f t="shared" si="35"/>
        <v>5677.7142857142853</v>
      </c>
      <c r="AF199" s="28">
        <f t="shared" si="42"/>
        <v>0.63828352096616181</v>
      </c>
      <c r="AG199" s="42">
        <f t="shared" si="36"/>
        <v>1.0880894540360073E-2</v>
      </c>
      <c r="AH199" s="14" t="str">
        <f t="shared" si="37"/>
        <v>*</v>
      </c>
      <c r="AI199" s="11">
        <f t="shared" si="38"/>
        <v>78</v>
      </c>
      <c r="AJ199" s="11">
        <f t="shared" si="39"/>
        <v>78</v>
      </c>
      <c r="AK199" s="11">
        <f t="shared" si="40"/>
        <v>5.3985976757940361E-2</v>
      </c>
      <c r="AL199" s="42">
        <f t="shared" si="41"/>
        <v>5.3985976757940361E-2</v>
      </c>
      <c r="AM199" s="14" t="str">
        <f t="shared" si="43"/>
        <v>*</v>
      </c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</row>
    <row r="200" spans="1:56" ht="27" customHeight="1" x14ac:dyDescent="0.2">
      <c r="A200" s="9" t="s">
        <v>356</v>
      </c>
      <c r="B200" s="11">
        <v>347</v>
      </c>
      <c r="C200" s="2">
        <v>700.52749333589895</v>
      </c>
      <c r="D200" s="2">
        <v>8.7637509803921692</v>
      </c>
      <c r="E200" s="2">
        <v>-1</v>
      </c>
      <c r="F200" s="12" t="s">
        <v>546</v>
      </c>
      <c r="G200" s="12" t="s">
        <v>19</v>
      </c>
      <c r="H200" s="5"/>
      <c r="I200" s="11">
        <v>5751</v>
      </c>
      <c r="J200" s="11">
        <v>7446</v>
      </c>
      <c r="K200" s="11">
        <v>10522</v>
      </c>
      <c r="L200" s="11">
        <v>9344</v>
      </c>
      <c r="M200" s="11">
        <v>8561</v>
      </c>
      <c r="N200" s="11">
        <v>9191</v>
      </c>
      <c r="O200" s="11">
        <v>10262</v>
      </c>
      <c r="P200" s="11"/>
      <c r="Q200" s="11">
        <v>8035</v>
      </c>
      <c r="R200" s="11">
        <v>8404</v>
      </c>
      <c r="S200" s="11">
        <v>6354</v>
      </c>
      <c r="T200" s="11">
        <v>9759</v>
      </c>
      <c r="U200" s="11">
        <v>8996</v>
      </c>
      <c r="V200" s="11">
        <v>8186</v>
      </c>
      <c r="W200" s="11">
        <v>9630</v>
      </c>
      <c r="X200" s="11"/>
      <c r="Y200" s="11">
        <v>0</v>
      </c>
      <c r="Z200" s="11">
        <v>8971</v>
      </c>
      <c r="AA200" s="11">
        <v>8554</v>
      </c>
      <c r="AB200" s="11">
        <v>10439</v>
      </c>
      <c r="AC200" s="17">
        <f t="shared" si="33"/>
        <v>0.10622186949103943</v>
      </c>
      <c r="AD200" s="11">
        <f t="shared" si="34"/>
        <v>8725.2857142857138</v>
      </c>
      <c r="AE200" s="11">
        <f t="shared" si="35"/>
        <v>8480.5714285714294</v>
      </c>
      <c r="AF200" s="28">
        <f t="shared" si="42"/>
        <v>0.97195343582690719</v>
      </c>
      <c r="AG200" s="42">
        <f t="shared" si="36"/>
        <v>0.75595721087943324</v>
      </c>
      <c r="AH200" s="14" t="str">
        <f t="shared" si="37"/>
        <v>-</v>
      </c>
      <c r="AI200" s="11">
        <f t="shared" si="38"/>
        <v>359</v>
      </c>
      <c r="AJ200" s="11">
        <f t="shared" si="39"/>
        <v>359</v>
      </c>
      <c r="AK200" s="11">
        <f t="shared" si="40"/>
        <v>0.81491766186724424</v>
      </c>
      <c r="AL200" s="42">
        <f t="shared" si="41"/>
        <v>0.81491766186724424</v>
      </c>
      <c r="AM200" s="14" t="str">
        <f t="shared" si="43"/>
        <v/>
      </c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</row>
    <row r="201" spans="1:56" ht="27" customHeight="1" x14ac:dyDescent="0.2">
      <c r="A201" s="9" t="s">
        <v>356</v>
      </c>
      <c r="B201" s="11">
        <v>442</v>
      </c>
      <c r="C201" s="2">
        <v>750.54304942252395</v>
      </c>
      <c r="D201" s="2">
        <v>8.7813439393939898</v>
      </c>
      <c r="E201" s="2">
        <v>-1</v>
      </c>
      <c r="F201" s="12" t="s">
        <v>197</v>
      </c>
      <c r="G201" s="12" t="s">
        <v>19</v>
      </c>
      <c r="H201" s="5"/>
      <c r="I201" s="11">
        <v>3168</v>
      </c>
      <c r="J201" s="11">
        <v>3318</v>
      </c>
      <c r="K201" s="11">
        <v>4964</v>
      </c>
      <c r="L201" s="11">
        <v>3484</v>
      </c>
      <c r="M201" s="11">
        <v>4806</v>
      </c>
      <c r="N201" s="11">
        <v>5114</v>
      </c>
      <c r="O201" s="11">
        <v>5949</v>
      </c>
      <c r="P201" s="11"/>
      <c r="Q201" s="11">
        <v>3913</v>
      </c>
      <c r="R201" s="11">
        <v>6184</v>
      </c>
      <c r="S201" s="11">
        <v>4046</v>
      </c>
      <c r="T201" s="11">
        <v>6168</v>
      </c>
      <c r="U201" s="11">
        <v>3989</v>
      </c>
      <c r="V201" s="11">
        <v>5172</v>
      </c>
      <c r="W201" s="11">
        <v>8044</v>
      </c>
      <c r="X201" s="11"/>
      <c r="Y201" s="11">
        <v>117</v>
      </c>
      <c r="Z201" s="11">
        <v>4346</v>
      </c>
      <c r="AA201" s="11">
        <v>4136</v>
      </c>
      <c r="AB201" s="11">
        <v>5298</v>
      </c>
      <c r="AC201" s="17">
        <f t="shared" si="33"/>
        <v>0.1348098111232329</v>
      </c>
      <c r="AD201" s="11">
        <f t="shared" si="34"/>
        <v>4400.4285714285716</v>
      </c>
      <c r="AE201" s="11">
        <f t="shared" si="35"/>
        <v>5359.4285714285716</v>
      </c>
      <c r="AF201" s="28">
        <f t="shared" si="42"/>
        <v>1.2179333181832939</v>
      </c>
      <c r="AG201" s="42">
        <f t="shared" si="36"/>
        <v>0.20481910203739695</v>
      </c>
      <c r="AH201" s="14" t="str">
        <f t="shared" si="37"/>
        <v>-</v>
      </c>
      <c r="AI201" s="11">
        <f t="shared" si="38"/>
        <v>245</v>
      </c>
      <c r="AJ201" s="11">
        <f t="shared" si="39"/>
        <v>245</v>
      </c>
      <c r="AK201" s="11">
        <f t="shared" si="40"/>
        <v>0.32353058158560249</v>
      </c>
      <c r="AL201" s="42">
        <f t="shared" si="41"/>
        <v>0.32353058158560249</v>
      </c>
      <c r="AM201" s="14" t="str">
        <f t="shared" si="43"/>
        <v/>
      </c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</row>
    <row r="202" spans="1:56" ht="27" customHeight="1" x14ac:dyDescent="0.2">
      <c r="A202" s="9" t="s">
        <v>356</v>
      </c>
      <c r="B202" s="11">
        <v>544</v>
      </c>
      <c r="C202" s="2">
        <v>778.57356999940703</v>
      </c>
      <c r="D202" s="2">
        <v>9.7296511904762806</v>
      </c>
      <c r="E202" s="2">
        <v>-1</v>
      </c>
      <c r="F202" s="12" t="s">
        <v>243</v>
      </c>
      <c r="G202" s="12" t="s">
        <v>19</v>
      </c>
      <c r="H202" s="5"/>
      <c r="I202" s="11">
        <v>2820</v>
      </c>
      <c r="J202" s="11">
        <v>3091</v>
      </c>
      <c r="K202" s="11">
        <v>4983</v>
      </c>
      <c r="L202" s="11">
        <v>4383</v>
      </c>
      <c r="M202" s="11">
        <v>5407</v>
      </c>
      <c r="N202" s="11">
        <v>5314</v>
      </c>
      <c r="O202" s="11">
        <v>6471</v>
      </c>
      <c r="P202" s="11"/>
      <c r="Q202" s="11">
        <v>3852</v>
      </c>
      <c r="R202" s="11">
        <v>5433</v>
      </c>
      <c r="S202" s="11">
        <v>2712</v>
      </c>
      <c r="T202" s="11">
        <v>6517</v>
      </c>
      <c r="U202" s="11">
        <v>4829</v>
      </c>
      <c r="V202" s="11">
        <v>6331</v>
      </c>
      <c r="W202" s="11">
        <v>6785</v>
      </c>
      <c r="X202" s="11"/>
      <c r="Y202" s="11">
        <v>0</v>
      </c>
      <c r="Z202" s="11">
        <v>5146</v>
      </c>
      <c r="AA202" s="11">
        <v>3793</v>
      </c>
      <c r="AB202" s="11">
        <v>5613</v>
      </c>
      <c r="AC202" s="17">
        <f t="shared" si="33"/>
        <v>0.1948721678763691</v>
      </c>
      <c r="AD202" s="11">
        <f t="shared" si="34"/>
        <v>4638.4285714285716</v>
      </c>
      <c r="AE202" s="11">
        <f t="shared" si="35"/>
        <v>5208.4285714285716</v>
      </c>
      <c r="AF202" s="28">
        <f t="shared" si="42"/>
        <v>1.1228864455326619</v>
      </c>
      <c r="AG202" s="42">
        <f t="shared" si="36"/>
        <v>0.465794624476214</v>
      </c>
      <c r="AH202" s="14" t="str">
        <f t="shared" si="37"/>
        <v>-</v>
      </c>
      <c r="AI202" s="11">
        <f t="shared" si="38"/>
        <v>310</v>
      </c>
      <c r="AJ202" s="11">
        <f t="shared" si="39"/>
        <v>310</v>
      </c>
      <c r="AK202" s="11">
        <f t="shared" si="40"/>
        <v>0.5814919989428865</v>
      </c>
      <c r="AL202" s="42">
        <f t="shared" si="41"/>
        <v>0.58051544012757261</v>
      </c>
      <c r="AM202" s="14" t="str">
        <f t="shared" si="43"/>
        <v/>
      </c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</row>
    <row r="203" spans="1:56" ht="27" customHeight="1" x14ac:dyDescent="0.2">
      <c r="A203" s="9" t="s">
        <v>356</v>
      </c>
      <c r="B203" s="11">
        <v>560</v>
      </c>
      <c r="C203" s="2">
        <v>828.58921059091801</v>
      </c>
      <c r="D203" s="2">
        <v>9.6447666666667509</v>
      </c>
      <c r="E203" s="2">
        <v>-1</v>
      </c>
      <c r="F203" s="12" t="s">
        <v>225</v>
      </c>
      <c r="G203" s="12" t="s">
        <v>19</v>
      </c>
      <c r="H203" s="5"/>
      <c r="I203" s="11">
        <v>2981</v>
      </c>
      <c r="J203" s="11">
        <v>3340</v>
      </c>
      <c r="K203" s="11">
        <v>4998</v>
      </c>
      <c r="L203" s="11">
        <v>5397</v>
      </c>
      <c r="M203" s="11">
        <v>6266</v>
      </c>
      <c r="N203" s="11">
        <v>4418</v>
      </c>
      <c r="O203" s="11">
        <v>3785</v>
      </c>
      <c r="P203" s="11"/>
      <c r="Q203" s="11">
        <v>2926</v>
      </c>
      <c r="R203" s="11">
        <v>3446</v>
      </c>
      <c r="S203" s="11">
        <v>2348</v>
      </c>
      <c r="T203" s="11">
        <v>4095</v>
      </c>
      <c r="U203" s="11">
        <v>4125</v>
      </c>
      <c r="V203" s="11">
        <v>2824</v>
      </c>
      <c r="W203" s="11">
        <v>3460</v>
      </c>
      <c r="X203" s="11"/>
      <c r="Y203" s="11">
        <v>0</v>
      </c>
      <c r="Z203" s="11">
        <v>3510</v>
      </c>
      <c r="AA203" s="11">
        <v>4757</v>
      </c>
      <c r="AB203" s="11">
        <v>4572</v>
      </c>
      <c r="AC203" s="17">
        <f t="shared" si="33"/>
        <v>0.15724088651480542</v>
      </c>
      <c r="AD203" s="11">
        <f t="shared" si="34"/>
        <v>4455</v>
      </c>
      <c r="AE203" s="11">
        <f t="shared" si="35"/>
        <v>3317.7142857142858</v>
      </c>
      <c r="AF203" s="28">
        <f t="shared" si="42"/>
        <v>0.74471701138367807</v>
      </c>
      <c r="AG203" s="42">
        <f t="shared" si="36"/>
        <v>5.1644780792253889E-2</v>
      </c>
      <c r="AH203" s="14" t="str">
        <f t="shared" si="37"/>
        <v>-</v>
      </c>
      <c r="AI203" s="11">
        <f t="shared" si="38"/>
        <v>162</v>
      </c>
      <c r="AJ203" s="11">
        <f t="shared" si="39"/>
        <v>162</v>
      </c>
      <c r="AK203" s="11">
        <f t="shared" si="40"/>
        <v>0.12337364300371761</v>
      </c>
      <c r="AL203" s="42">
        <f t="shared" si="41"/>
        <v>0.12271023986159285</v>
      </c>
      <c r="AM203" s="14" t="str">
        <f t="shared" si="43"/>
        <v/>
      </c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</row>
    <row r="204" spans="1:56" ht="27" customHeight="1" x14ac:dyDescent="0.2">
      <c r="A204" s="9" t="s">
        <v>356</v>
      </c>
      <c r="B204" s="11">
        <v>685</v>
      </c>
      <c r="C204" s="2">
        <v>754.57377276586703</v>
      </c>
      <c r="D204" s="2">
        <v>9.7515375000000599</v>
      </c>
      <c r="E204" s="2">
        <v>-1</v>
      </c>
      <c r="F204" s="12" t="s">
        <v>240</v>
      </c>
      <c r="G204" s="12" t="s">
        <v>19</v>
      </c>
      <c r="H204" s="5"/>
      <c r="I204" s="11">
        <v>2696</v>
      </c>
      <c r="J204" s="11">
        <v>2780</v>
      </c>
      <c r="K204" s="11">
        <v>4669</v>
      </c>
      <c r="L204" s="11">
        <v>3859</v>
      </c>
      <c r="M204" s="11">
        <v>4317</v>
      </c>
      <c r="N204" s="11">
        <v>4101</v>
      </c>
      <c r="O204" s="11">
        <v>4893</v>
      </c>
      <c r="P204" s="11"/>
      <c r="Q204" s="11">
        <v>2888</v>
      </c>
      <c r="R204" s="11">
        <v>3075</v>
      </c>
      <c r="S204" s="11">
        <v>2177</v>
      </c>
      <c r="T204" s="11">
        <v>5175</v>
      </c>
      <c r="U204" s="11">
        <v>3192</v>
      </c>
      <c r="V204" s="11">
        <v>4150</v>
      </c>
      <c r="W204" s="11">
        <v>4770</v>
      </c>
      <c r="X204" s="11"/>
      <c r="Y204" s="11">
        <v>0</v>
      </c>
      <c r="Z204" s="11">
        <v>2993</v>
      </c>
      <c r="AA204" s="11">
        <v>3902</v>
      </c>
      <c r="AB204" s="11">
        <v>4704</v>
      </c>
      <c r="AC204" s="17">
        <f t="shared" si="33"/>
        <v>0.22141325177199622</v>
      </c>
      <c r="AD204" s="11">
        <f t="shared" si="34"/>
        <v>3902.1428571428573</v>
      </c>
      <c r="AE204" s="11">
        <f t="shared" si="35"/>
        <v>3632.4285714285716</v>
      </c>
      <c r="AF204" s="28">
        <f t="shared" si="42"/>
        <v>0.93088046860699247</v>
      </c>
      <c r="AG204" s="42">
        <f t="shared" si="36"/>
        <v>0.61782399304071012</v>
      </c>
      <c r="AH204" s="14" t="str">
        <f t="shared" si="37"/>
        <v>-</v>
      </c>
      <c r="AI204" s="11">
        <f t="shared" si="38"/>
        <v>339</v>
      </c>
      <c r="AJ204" s="11">
        <f t="shared" si="39"/>
        <v>339</v>
      </c>
      <c r="AK204" s="11">
        <f t="shared" si="40"/>
        <v>0.70530349648010271</v>
      </c>
      <c r="AL204" s="42">
        <f t="shared" si="41"/>
        <v>0.70530349648010271</v>
      </c>
      <c r="AM204" s="14" t="str">
        <f t="shared" si="43"/>
        <v/>
      </c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</row>
    <row r="205" spans="1:56" ht="27" customHeight="1" x14ac:dyDescent="0.2">
      <c r="A205" s="9" t="s">
        <v>356</v>
      </c>
      <c r="B205" s="11">
        <v>729</v>
      </c>
      <c r="C205" s="2">
        <v>728.55890838126004</v>
      </c>
      <c r="D205" s="2">
        <v>9.4894647058822894</v>
      </c>
      <c r="E205" s="2">
        <v>-1</v>
      </c>
      <c r="F205" s="12" t="s">
        <v>244</v>
      </c>
      <c r="G205" s="12" t="s">
        <v>19</v>
      </c>
      <c r="H205" s="5"/>
      <c r="I205" s="11">
        <v>3176</v>
      </c>
      <c r="J205" s="11">
        <v>2928</v>
      </c>
      <c r="K205" s="11">
        <v>3979</v>
      </c>
      <c r="L205" s="11">
        <v>3489</v>
      </c>
      <c r="M205" s="11">
        <v>3954</v>
      </c>
      <c r="N205" s="11">
        <v>3607</v>
      </c>
      <c r="O205" s="11">
        <v>4115</v>
      </c>
      <c r="P205" s="11"/>
      <c r="Q205" s="11">
        <v>2948</v>
      </c>
      <c r="R205" s="11">
        <v>3507</v>
      </c>
      <c r="S205" s="11">
        <v>2526</v>
      </c>
      <c r="T205" s="11">
        <v>4699</v>
      </c>
      <c r="U205" s="11">
        <v>4721</v>
      </c>
      <c r="V205" s="11">
        <v>4127</v>
      </c>
      <c r="W205" s="11">
        <v>4779</v>
      </c>
      <c r="X205" s="11"/>
      <c r="Y205" s="11">
        <v>0</v>
      </c>
      <c r="Z205" s="11">
        <v>3151</v>
      </c>
      <c r="AA205" s="11">
        <v>4015</v>
      </c>
      <c r="AB205" s="11">
        <v>4404</v>
      </c>
      <c r="AC205" s="17">
        <f t="shared" si="33"/>
        <v>0.16629130376761925</v>
      </c>
      <c r="AD205" s="11">
        <f t="shared" si="34"/>
        <v>3606.8571428571427</v>
      </c>
      <c r="AE205" s="11">
        <f t="shared" si="35"/>
        <v>3901</v>
      </c>
      <c r="AF205" s="28">
        <f t="shared" si="42"/>
        <v>1.0815510139416984</v>
      </c>
      <c r="AG205" s="42">
        <f t="shared" si="36"/>
        <v>0.46651240795781679</v>
      </c>
      <c r="AH205" s="14" t="str">
        <f t="shared" si="37"/>
        <v>-</v>
      </c>
      <c r="AI205" s="11">
        <f t="shared" si="38"/>
        <v>311</v>
      </c>
      <c r="AJ205" s="11">
        <f t="shared" si="39"/>
        <v>311</v>
      </c>
      <c r="AK205" s="11">
        <f t="shared" si="40"/>
        <v>0.58051544012757261</v>
      </c>
      <c r="AL205" s="42">
        <f t="shared" si="41"/>
        <v>0.58051544012757261</v>
      </c>
      <c r="AM205" s="14" t="str">
        <f t="shared" si="43"/>
        <v/>
      </c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</row>
    <row r="206" spans="1:56" ht="27" customHeight="1" x14ac:dyDescent="0.2">
      <c r="A206" s="9" t="s">
        <v>356</v>
      </c>
      <c r="B206" s="11">
        <v>824</v>
      </c>
      <c r="C206" s="2">
        <v>718.47978961563297</v>
      </c>
      <c r="D206" s="2">
        <v>7.6810343749999301</v>
      </c>
      <c r="E206" s="2">
        <v>-1</v>
      </c>
      <c r="F206" s="12" t="s">
        <v>563</v>
      </c>
      <c r="G206" s="12" t="s">
        <v>19</v>
      </c>
      <c r="H206" s="5"/>
      <c r="I206" s="11">
        <v>1945</v>
      </c>
      <c r="J206" s="11">
        <v>1122</v>
      </c>
      <c r="K206" s="11">
        <v>3661</v>
      </c>
      <c r="L206" s="11">
        <v>1666</v>
      </c>
      <c r="M206" s="11">
        <v>2607</v>
      </c>
      <c r="N206" s="11">
        <v>4166</v>
      </c>
      <c r="O206" s="11">
        <v>2069</v>
      </c>
      <c r="P206" s="11"/>
      <c r="Q206" s="11">
        <v>2109</v>
      </c>
      <c r="R206" s="11">
        <v>1869</v>
      </c>
      <c r="S206" s="11">
        <v>1999</v>
      </c>
      <c r="T206" s="11">
        <v>2104</v>
      </c>
      <c r="U206" s="11">
        <v>1654</v>
      </c>
      <c r="V206" s="11">
        <v>2832</v>
      </c>
      <c r="W206" s="11">
        <v>1793</v>
      </c>
      <c r="X206" s="11"/>
      <c r="Y206" s="11">
        <v>0</v>
      </c>
      <c r="Z206" s="11">
        <v>3465</v>
      </c>
      <c r="AA206" s="11">
        <v>3109</v>
      </c>
      <c r="AB206" s="11">
        <v>2781</v>
      </c>
      <c r="AC206" s="17">
        <f t="shared" si="33"/>
        <v>0.10970459750975907</v>
      </c>
      <c r="AD206" s="11">
        <f t="shared" si="34"/>
        <v>2462.2857142857142</v>
      </c>
      <c r="AE206" s="11">
        <f t="shared" si="35"/>
        <v>2051.4285714285716</v>
      </c>
      <c r="AF206" s="28">
        <f t="shared" si="42"/>
        <v>0.83313993966117439</v>
      </c>
      <c r="AG206" s="42">
        <f t="shared" si="36"/>
        <v>0.37858062639825252</v>
      </c>
      <c r="AH206" s="14" t="str">
        <f t="shared" si="37"/>
        <v>-</v>
      </c>
      <c r="AI206" s="11">
        <f t="shared" si="38"/>
        <v>288</v>
      </c>
      <c r="AJ206" s="11">
        <f t="shared" si="39"/>
        <v>288</v>
      </c>
      <c r="AK206" s="11">
        <f t="shared" si="40"/>
        <v>0.50871771672265187</v>
      </c>
      <c r="AL206" s="42">
        <f t="shared" si="41"/>
        <v>0.50815077864741287</v>
      </c>
      <c r="AM206" s="14" t="str">
        <f t="shared" si="43"/>
        <v/>
      </c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</row>
    <row r="207" spans="1:56" ht="27" customHeight="1" x14ac:dyDescent="0.2">
      <c r="A207" s="9" t="s">
        <v>356</v>
      </c>
      <c r="B207" s="11">
        <v>1159</v>
      </c>
      <c r="C207" s="2">
        <v>702.52691695297995</v>
      </c>
      <c r="D207" s="2">
        <v>9.3532166666666292</v>
      </c>
      <c r="E207" s="2">
        <v>-1</v>
      </c>
      <c r="F207" s="12" t="s">
        <v>572</v>
      </c>
      <c r="G207" s="12" t="s">
        <v>19</v>
      </c>
      <c r="H207" s="5"/>
      <c r="I207" s="11">
        <v>1568</v>
      </c>
      <c r="J207" s="11">
        <v>1409</v>
      </c>
      <c r="K207" s="11">
        <v>2213</v>
      </c>
      <c r="L207" s="11">
        <v>2822</v>
      </c>
      <c r="M207" s="11">
        <v>2755</v>
      </c>
      <c r="N207" s="11">
        <v>1860</v>
      </c>
      <c r="O207" s="11">
        <v>2760</v>
      </c>
      <c r="P207" s="11"/>
      <c r="Q207" s="11">
        <v>1304</v>
      </c>
      <c r="R207" s="11">
        <v>2294</v>
      </c>
      <c r="S207" s="11">
        <v>1368</v>
      </c>
      <c r="T207" s="11">
        <v>1500</v>
      </c>
      <c r="U207" s="11">
        <v>2150</v>
      </c>
      <c r="V207" s="11">
        <v>1269</v>
      </c>
      <c r="W207" s="11">
        <v>2474</v>
      </c>
      <c r="X207" s="11"/>
      <c r="Y207" s="11">
        <v>0</v>
      </c>
      <c r="Z207" s="11">
        <v>1751</v>
      </c>
      <c r="AA207" s="11">
        <v>1515</v>
      </c>
      <c r="AB207" s="11">
        <v>1835</v>
      </c>
      <c r="AC207" s="17">
        <f t="shared" si="33"/>
        <v>9.7573576637102713E-2</v>
      </c>
      <c r="AD207" s="11">
        <f t="shared" si="34"/>
        <v>2198.1428571428573</v>
      </c>
      <c r="AE207" s="11">
        <f t="shared" si="35"/>
        <v>1765.5714285714287</v>
      </c>
      <c r="AF207" s="28">
        <f t="shared" si="42"/>
        <v>0.80321050237213232</v>
      </c>
      <c r="AG207" s="42">
        <f t="shared" si="36"/>
        <v>0.17470144529563067</v>
      </c>
      <c r="AH207" s="14" t="str">
        <f t="shared" si="37"/>
        <v>-</v>
      </c>
      <c r="AI207" s="11">
        <f t="shared" si="38"/>
        <v>235</v>
      </c>
      <c r="AJ207" s="11">
        <f t="shared" si="39"/>
        <v>235</v>
      </c>
      <c r="AK207" s="11">
        <f t="shared" si="40"/>
        <v>0.28769982693365559</v>
      </c>
      <c r="AL207" s="42">
        <f t="shared" si="41"/>
        <v>0.28769982693365559</v>
      </c>
      <c r="AM207" s="14" t="str">
        <f t="shared" si="43"/>
        <v/>
      </c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</row>
    <row r="208" spans="1:56" ht="27" customHeight="1" x14ac:dyDescent="0.2">
      <c r="A208" s="9" t="s">
        <v>356</v>
      </c>
      <c r="B208" s="11">
        <v>1870</v>
      </c>
      <c r="C208" s="2">
        <v>756.59062301324695</v>
      </c>
      <c r="D208" s="2">
        <v>10.263789583333301</v>
      </c>
      <c r="E208" s="2">
        <v>-1</v>
      </c>
      <c r="F208" s="12" t="s">
        <v>586</v>
      </c>
      <c r="G208" s="12" t="s">
        <v>19</v>
      </c>
      <c r="H208" s="5"/>
      <c r="I208" s="11">
        <v>782</v>
      </c>
      <c r="J208" s="11">
        <v>1021</v>
      </c>
      <c r="K208" s="11">
        <v>1652</v>
      </c>
      <c r="L208" s="11">
        <v>1215</v>
      </c>
      <c r="M208" s="11">
        <v>1180</v>
      </c>
      <c r="N208" s="11">
        <v>998</v>
      </c>
      <c r="O208" s="11">
        <v>1485</v>
      </c>
      <c r="P208" s="11"/>
      <c r="Q208" s="11">
        <v>978</v>
      </c>
      <c r="R208" s="11">
        <v>1328</v>
      </c>
      <c r="S208" s="11">
        <v>744</v>
      </c>
      <c r="T208" s="11">
        <v>1563</v>
      </c>
      <c r="U208" s="11">
        <v>1152</v>
      </c>
      <c r="V208" s="11">
        <v>1418</v>
      </c>
      <c r="W208" s="11">
        <v>1606</v>
      </c>
      <c r="X208" s="11"/>
      <c r="Y208" s="11">
        <v>0</v>
      </c>
      <c r="Z208" s="11">
        <v>1148</v>
      </c>
      <c r="AA208" s="11">
        <v>1139</v>
      </c>
      <c r="AB208" s="11">
        <v>1189</v>
      </c>
      <c r="AC208" s="17">
        <f t="shared" si="33"/>
        <v>2.3002369974270048E-2</v>
      </c>
      <c r="AD208" s="11">
        <f t="shared" si="34"/>
        <v>1190.4285714285713</v>
      </c>
      <c r="AE208" s="11">
        <f t="shared" si="35"/>
        <v>1255.5714285714287</v>
      </c>
      <c r="AF208" s="28">
        <f t="shared" si="42"/>
        <v>1.0547221888875558</v>
      </c>
      <c r="AG208" s="42">
        <f t="shared" si="36"/>
        <v>0.69844364106623424</v>
      </c>
      <c r="AH208" s="14" t="str">
        <f t="shared" si="37"/>
        <v>-</v>
      </c>
      <c r="AI208" s="11">
        <f t="shared" si="38"/>
        <v>348</v>
      </c>
      <c r="AJ208" s="11">
        <f t="shared" si="39"/>
        <v>348</v>
      </c>
      <c r="AK208" s="11">
        <f t="shared" si="40"/>
        <v>0.77671749739262252</v>
      </c>
      <c r="AL208" s="42">
        <f t="shared" si="41"/>
        <v>0.77574384992784629</v>
      </c>
      <c r="AM208" s="14" t="str">
        <f t="shared" si="43"/>
        <v/>
      </c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</row>
    <row r="209" spans="1:56" ht="27" customHeight="1" x14ac:dyDescent="0.2">
      <c r="A209" s="9" t="s">
        <v>356</v>
      </c>
      <c r="B209" s="11">
        <v>2</v>
      </c>
      <c r="C209" s="2">
        <v>885.55117873043196</v>
      </c>
      <c r="D209" s="2">
        <v>7.5236450980391103</v>
      </c>
      <c r="E209" s="2">
        <v>-1</v>
      </c>
      <c r="F209" s="12" t="s">
        <v>14</v>
      </c>
      <c r="G209" s="12" t="s">
        <v>15</v>
      </c>
      <c r="H209" s="5"/>
      <c r="I209" s="11">
        <v>1296081</v>
      </c>
      <c r="J209" s="11">
        <v>1310874</v>
      </c>
      <c r="K209" s="11">
        <v>1428202</v>
      </c>
      <c r="L209" s="11">
        <v>1245022</v>
      </c>
      <c r="M209" s="11">
        <v>1358034</v>
      </c>
      <c r="N209" s="11">
        <v>1580966</v>
      </c>
      <c r="O209" s="11">
        <v>1506452</v>
      </c>
      <c r="P209" s="11"/>
      <c r="Q209" s="11">
        <v>1363724</v>
      </c>
      <c r="R209" s="11">
        <v>1585534</v>
      </c>
      <c r="S209" s="11">
        <v>1393238</v>
      </c>
      <c r="T209" s="11">
        <v>1697940</v>
      </c>
      <c r="U209" s="11">
        <v>1614023</v>
      </c>
      <c r="V209" s="11">
        <v>1635599</v>
      </c>
      <c r="W209" s="11">
        <v>1805916</v>
      </c>
      <c r="X209" s="11"/>
      <c r="Y209" s="11">
        <v>0</v>
      </c>
      <c r="Z209" s="11">
        <v>1419473</v>
      </c>
      <c r="AA209" s="11">
        <v>1460558</v>
      </c>
      <c r="AB209" s="11">
        <v>1619371</v>
      </c>
      <c r="AC209" s="17">
        <f t="shared" si="33"/>
        <v>7.0388620908421004E-2</v>
      </c>
      <c r="AD209" s="11">
        <f t="shared" si="34"/>
        <v>1389375.857142857</v>
      </c>
      <c r="AE209" s="11">
        <f t="shared" si="35"/>
        <v>1585139.142857143</v>
      </c>
      <c r="AF209" s="28">
        <f t="shared" si="42"/>
        <v>1.1409001637014609</v>
      </c>
      <c r="AG209" s="42">
        <f t="shared" si="36"/>
        <v>2.4597996790661197E-2</v>
      </c>
      <c r="AH209" s="14" t="str">
        <f t="shared" si="37"/>
        <v>*</v>
      </c>
      <c r="AI209" s="11">
        <f t="shared" si="38"/>
        <v>121</v>
      </c>
      <c r="AJ209" s="11">
        <f t="shared" si="39"/>
        <v>121</v>
      </c>
      <c r="AK209" s="11">
        <f t="shared" si="40"/>
        <v>7.8672931884180855E-2</v>
      </c>
      <c r="AL209" s="42">
        <f t="shared" si="41"/>
        <v>7.8063548834243934E-2</v>
      </c>
      <c r="AM209" s="14" t="str">
        <f t="shared" si="43"/>
        <v>*</v>
      </c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</row>
    <row r="210" spans="1:56" ht="27" customHeight="1" x14ac:dyDescent="0.2">
      <c r="A210" s="9" t="s">
        <v>356</v>
      </c>
      <c r="B210" s="11">
        <v>16</v>
      </c>
      <c r="C210" s="2">
        <v>909.55034909815799</v>
      </c>
      <c r="D210" s="2">
        <v>7.4825205882352304</v>
      </c>
      <c r="E210" s="2">
        <v>-1</v>
      </c>
      <c r="F210" s="12" t="s">
        <v>34</v>
      </c>
      <c r="G210" s="12" t="s">
        <v>15</v>
      </c>
      <c r="H210" s="5"/>
      <c r="I210" s="11">
        <v>246009</v>
      </c>
      <c r="J210" s="11">
        <v>240467</v>
      </c>
      <c r="K210" s="11">
        <v>263252</v>
      </c>
      <c r="L210" s="11">
        <v>188972</v>
      </c>
      <c r="M210" s="11">
        <v>248191</v>
      </c>
      <c r="N210" s="11">
        <v>295939</v>
      </c>
      <c r="O210" s="11">
        <v>263965</v>
      </c>
      <c r="P210" s="11"/>
      <c r="Q210" s="11">
        <v>252083</v>
      </c>
      <c r="R210" s="11">
        <v>272743</v>
      </c>
      <c r="S210" s="11">
        <v>295222</v>
      </c>
      <c r="T210" s="11">
        <v>348283</v>
      </c>
      <c r="U210" s="11">
        <v>385771</v>
      </c>
      <c r="V210" s="11">
        <v>361636</v>
      </c>
      <c r="W210" s="11">
        <v>411103</v>
      </c>
      <c r="X210" s="11"/>
      <c r="Y210" s="11">
        <v>39</v>
      </c>
      <c r="Z210" s="11">
        <v>307721</v>
      </c>
      <c r="AA210" s="11">
        <v>296378</v>
      </c>
      <c r="AB210" s="11">
        <v>355004</v>
      </c>
      <c r="AC210" s="17">
        <f t="shared" si="33"/>
        <v>9.7262415084661866E-2</v>
      </c>
      <c r="AD210" s="11">
        <f t="shared" si="34"/>
        <v>249542.14285714287</v>
      </c>
      <c r="AE210" s="11">
        <f t="shared" si="35"/>
        <v>332405.85714285716</v>
      </c>
      <c r="AF210" s="28">
        <f t="shared" si="42"/>
        <v>1.3320630068210637</v>
      </c>
      <c r="AG210" s="42">
        <f t="shared" si="36"/>
        <v>1.0181532371836359E-2</v>
      </c>
      <c r="AH210" s="14" t="str">
        <f t="shared" si="37"/>
        <v>*</v>
      </c>
      <c r="AI210" s="11">
        <f t="shared" si="38"/>
        <v>74</v>
      </c>
      <c r="AJ210" s="11">
        <f t="shared" si="39"/>
        <v>74</v>
      </c>
      <c r="AK210" s="11">
        <f t="shared" si="40"/>
        <v>5.3246662539198256E-2</v>
      </c>
      <c r="AL210" s="42">
        <f t="shared" si="41"/>
        <v>5.3246662539198256E-2</v>
      </c>
      <c r="AM210" s="14" t="str">
        <f t="shared" si="43"/>
        <v>*</v>
      </c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</row>
    <row r="211" spans="1:56" ht="27" customHeight="1" x14ac:dyDescent="0.2">
      <c r="A211" s="9" t="s">
        <v>356</v>
      </c>
      <c r="B211" s="11">
        <v>23</v>
      </c>
      <c r="C211" s="2">
        <v>861.54963837649905</v>
      </c>
      <c r="D211" s="2">
        <v>7.5249588235293503</v>
      </c>
      <c r="E211" s="2">
        <v>-1</v>
      </c>
      <c r="F211" s="12" t="s">
        <v>38</v>
      </c>
      <c r="G211" s="12" t="s">
        <v>15</v>
      </c>
      <c r="H211" s="5"/>
      <c r="I211" s="11">
        <v>301521</v>
      </c>
      <c r="J211" s="11">
        <v>285237</v>
      </c>
      <c r="K211" s="11">
        <v>326816</v>
      </c>
      <c r="L211" s="11">
        <v>260916</v>
      </c>
      <c r="M211" s="11">
        <v>267286</v>
      </c>
      <c r="N211" s="11">
        <v>312580</v>
      </c>
      <c r="O211" s="11">
        <v>320027</v>
      </c>
      <c r="P211" s="11"/>
      <c r="Q211" s="11">
        <v>241051</v>
      </c>
      <c r="R211" s="11">
        <v>251614</v>
      </c>
      <c r="S211" s="11">
        <v>237615</v>
      </c>
      <c r="T211" s="11">
        <v>247591</v>
      </c>
      <c r="U211" s="11">
        <v>270017</v>
      </c>
      <c r="V211" s="11">
        <v>257790</v>
      </c>
      <c r="W211" s="11">
        <v>316468</v>
      </c>
      <c r="X211" s="11"/>
      <c r="Y211" s="11">
        <v>41</v>
      </c>
      <c r="Z211" s="11">
        <v>266967</v>
      </c>
      <c r="AA211" s="11">
        <v>285738</v>
      </c>
      <c r="AB211" s="11">
        <v>284800</v>
      </c>
      <c r="AC211" s="17">
        <f t="shared" si="33"/>
        <v>3.7887777709503655E-2</v>
      </c>
      <c r="AD211" s="11">
        <f t="shared" si="34"/>
        <v>296340.42857142858</v>
      </c>
      <c r="AE211" s="11">
        <f t="shared" si="35"/>
        <v>260306.57142857142</v>
      </c>
      <c r="AF211" s="28">
        <f t="shared" si="42"/>
        <v>0.87840384345610234</v>
      </c>
      <c r="AG211" s="42">
        <f t="shared" si="36"/>
        <v>2.5454141059906142E-2</v>
      </c>
      <c r="AH211" s="14" t="str">
        <f t="shared" si="37"/>
        <v>*</v>
      </c>
      <c r="AI211" s="11">
        <f t="shared" si="38"/>
        <v>123</v>
      </c>
      <c r="AJ211" s="11">
        <f t="shared" si="39"/>
        <v>123</v>
      </c>
      <c r="AK211" s="11">
        <f t="shared" si="40"/>
        <v>8.0087419432387619E-2</v>
      </c>
      <c r="AL211" s="42">
        <f t="shared" si="41"/>
        <v>8.0087419432387619E-2</v>
      </c>
      <c r="AM211" s="14" t="str">
        <f t="shared" si="43"/>
        <v>*</v>
      </c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</row>
    <row r="212" spans="1:56" ht="27" customHeight="1" x14ac:dyDescent="0.2">
      <c r="A212" s="9" t="s">
        <v>356</v>
      </c>
      <c r="B212" s="11">
        <v>25</v>
      </c>
      <c r="C212" s="2">
        <v>887.56548576529804</v>
      </c>
      <c r="D212" s="2">
        <v>7.6814794117647001</v>
      </c>
      <c r="E212" s="2">
        <v>-1</v>
      </c>
      <c r="F212" s="12" t="s">
        <v>41</v>
      </c>
      <c r="G212" s="12" t="s">
        <v>15</v>
      </c>
      <c r="H212" s="5"/>
      <c r="I212" s="11">
        <v>174159</v>
      </c>
      <c r="J212" s="11">
        <v>152373</v>
      </c>
      <c r="K212" s="11">
        <v>190181</v>
      </c>
      <c r="L212" s="11">
        <v>142575</v>
      </c>
      <c r="M212" s="11">
        <v>199597</v>
      </c>
      <c r="N212" s="11">
        <v>224786</v>
      </c>
      <c r="O212" s="11">
        <v>275353</v>
      </c>
      <c r="P212" s="11"/>
      <c r="Q212" s="11">
        <v>147747</v>
      </c>
      <c r="R212" s="11">
        <v>183052</v>
      </c>
      <c r="S212" s="11">
        <v>155567</v>
      </c>
      <c r="T212" s="11">
        <v>181313</v>
      </c>
      <c r="U212" s="11">
        <v>125047</v>
      </c>
      <c r="V212" s="11">
        <v>185134</v>
      </c>
      <c r="W212" s="11">
        <v>225663</v>
      </c>
      <c r="X212" s="11"/>
      <c r="Y212" s="11">
        <v>68</v>
      </c>
      <c r="Z212" s="11">
        <v>217544</v>
      </c>
      <c r="AA212" s="11">
        <v>183919</v>
      </c>
      <c r="AB212" s="11">
        <v>239914</v>
      </c>
      <c r="AC212" s="17">
        <f t="shared" si="33"/>
        <v>0.1318353676564851</v>
      </c>
      <c r="AD212" s="11">
        <f t="shared" si="34"/>
        <v>194146.28571428571</v>
      </c>
      <c r="AE212" s="11">
        <f t="shared" si="35"/>
        <v>171931.85714285713</v>
      </c>
      <c r="AF212" s="28">
        <f t="shared" si="42"/>
        <v>0.88557891545697498</v>
      </c>
      <c r="AG212" s="42">
        <f t="shared" si="36"/>
        <v>0.31538314249938637</v>
      </c>
      <c r="AH212" s="14" t="str">
        <f t="shared" si="37"/>
        <v>-</v>
      </c>
      <c r="AI212" s="11">
        <f t="shared" si="38"/>
        <v>275</v>
      </c>
      <c r="AJ212" s="11">
        <f t="shared" si="39"/>
        <v>275</v>
      </c>
      <c r="AK212" s="11">
        <f t="shared" si="40"/>
        <v>0.44383009508095461</v>
      </c>
      <c r="AL212" s="42">
        <f t="shared" si="41"/>
        <v>0.44383009508095461</v>
      </c>
      <c r="AM212" s="14" t="str">
        <f t="shared" si="43"/>
        <v/>
      </c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</row>
    <row r="213" spans="1:56" ht="27" customHeight="1" x14ac:dyDescent="0.2">
      <c r="A213" s="9" t="s">
        <v>356</v>
      </c>
      <c r="B213" s="11">
        <v>28</v>
      </c>
      <c r="C213" s="2">
        <v>857.51892273290105</v>
      </c>
      <c r="D213" s="2">
        <v>7.1461088235294099</v>
      </c>
      <c r="E213" s="2">
        <v>-1</v>
      </c>
      <c r="F213" s="12" t="s">
        <v>45</v>
      </c>
      <c r="G213" s="12" t="s">
        <v>15</v>
      </c>
      <c r="H213" s="5"/>
      <c r="I213" s="11">
        <v>183845</v>
      </c>
      <c r="J213" s="11">
        <v>172326</v>
      </c>
      <c r="K213" s="11">
        <v>206593</v>
      </c>
      <c r="L213" s="11">
        <v>124540</v>
      </c>
      <c r="M213" s="11">
        <v>132041</v>
      </c>
      <c r="N213" s="11">
        <v>213913</v>
      </c>
      <c r="O213" s="11">
        <v>212838</v>
      </c>
      <c r="P213" s="11"/>
      <c r="Q213" s="11">
        <v>162258</v>
      </c>
      <c r="R213" s="11">
        <v>201679</v>
      </c>
      <c r="S213" s="11">
        <v>181394</v>
      </c>
      <c r="T213" s="11">
        <v>220971</v>
      </c>
      <c r="U213" s="11">
        <v>192242</v>
      </c>
      <c r="V213" s="11">
        <v>237707</v>
      </c>
      <c r="W213" s="11">
        <v>205578</v>
      </c>
      <c r="X213" s="11"/>
      <c r="Y213" s="11">
        <v>0</v>
      </c>
      <c r="Z213" s="11">
        <v>153828</v>
      </c>
      <c r="AA213" s="11">
        <v>226850</v>
      </c>
      <c r="AB213" s="11">
        <v>229511</v>
      </c>
      <c r="AC213" s="17">
        <f t="shared" si="33"/>
        <v>0.21115449381224397</v>
      </c>
      <c r="AD213" s="11">
        <f t="shared" si="34"/>
        <v>178013.71428571429</v>
      </c>
      <c r="AE213" s="11">
        <f t="shared" si="35"/>
        <v>200261.28571428571</v>
      </c>
      <c r="AF213" s="28">
        <f t="shared" si="42"/>
        <v>1.1249767273147493</v>
      </c>
      <c r="AG213" s="42">
        <f t="shared" si="36"/>
        <v>0.2176955229880061</v>
      </c>
      <c r="AH213" s="14" t="str">
        <f t="shared" si="37"/>
        <v>-</v>
      </c>
      <c r="AI213" s="11">
        <f t="shared" si="38"/>
        <v>248</v>
      </c>
      <c r="AJ213" s="11">
        <f t="shared" si="39"/>
        <v>248</v>
      </c>
      <c r="AK213" s="11">
        <f t="shared" si="40"/>
        <v>0.33971035240467079</v>
      </c>
      <c r="AL213" s="42">
        <f t="shared" si="41"/>
        <v>0.33971035240467079</v>
      </c>
      <c r="AM213" s="14" t="str">
        <f t="shared" si="43"/>
        <v/>
      </c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</row>
    <row r="214" spans="1:56" ht="27" customHeight="1" x14ac:dyDescent="0.2">
      <c r="A214" s="9" t="s">
        <v>356</v>
      </c>
      <c r="B214" s="11">
        <v>30</v>
      </c>
      <c r="C214" s="2">
        <v>833.51945196895099</v>
      </c>
      <c r="D214" s="2">
        <v>7.1447656862745204</v>
      </c>
      <c r="E214" s="2">
        <v>-1</v>
      </c>
      <c r="F214" s="12" t="s">
        <v>46</v>
      </c>
      <c r="G214" s="12" t="s">
        <v>15</v>
      </c>
      <c r="H214" s="5"/>
      <c r="I214" s="11">
        <v>197675</v>
      </c>
      <c r="J214" s="11">
        <v>162082</v>
      </c>
      <c r="K214" s="11">
        <v>207671</v>
      </c>
      <c r="L214" s="11">
        <v>125831</v>
      </c>
      <c r="M214" s="11">
        <v>112578</v>
      </c>
      <c r="N214" s="11">
        <v>183115</v>
      </c>
      <c r="O214" s="11">
        <v>188667</v>
      </c>
      <c r="P214" s="11"/>
      <c r="Q214" s="11">
        <v>122602</v>
      </c>
      <c r="R214" s="11">
        <v>118755</v>
      </c>
      <c r="S214" s="11">
        <v>123253</v>
      </c>
      <c r="T214" s="11">
        <v>163365</v>
      </c>
      <c r="U214" s="11">
        <v>134857</v>
      </c>
      <c r="V214" s="11">
        <v>150810</v>
      </c>
      <c r="W214" s="11">
        <v>199739</v>
      </c>
      <c r="X214" s="11"/>
      <c r="Y214" s="11">
        <v>811</v>
      </c>
      <c r="Z214" s="11">
        <v>125226</v>
      </c>
      <c r="AA214" s="11">
        <v>179937</v>
      </c>
      <c r="AB214" s="11">
        <v>173503</v>
      </c>
      <c r="AC214" s="17">
        <f t="shared" si="33"/>
        <v>0.18741848648665316</v>
      </c>
      <c r="AD214" s="11">
        <f t="shared" si="34"/>
        <v>168231.28571428571</v>
      </c>
      <c r="AE214" s="11">
        <f t="shared" si="35"/>
        <v>144768.71428571429</v>
      </c>
      <c r="AF214" s="28">
        <f t="shared" si="42"/>
        <v>0.86053383989218923</v>
      </c>
      <c r="AG214" s="42">
        <f t="shared" si="36"/>
        <v>0.21031707720798667</v>
      </c>
      <c r="AH214" s="14" t="str">
        <f t="shared" si="37"/>
        <v>-</v>
      </c>
      <c r="AI214" s="11">
        <f t="shared" si="38"/>
        <v>246</v>
      </c>
      <c r="AJ214" s="11">
        <f t="shared" si="39"/>
        <v>246</v>
      </c>
      <c r="AK214" s="11">
        <f t="shared" si="40"/>
        <v>0.33086467024183269</v>
      </c>
      <c r="AL214" s="42">
        <f t="shared" si="41"/>
        <v>0.33086467024183269</v>
      </c>
      <c r="AM214" s="14" t="str">
        <f t="shared" si="43"/>
        <v/>
      </c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</row>
    <row r="215" spans="1:56" ht="27" customHeight="1" x14ac:dyDescent="0.2">
      <c r="A215" s="9" t="s">
        <v>356</v>
      </c>
      <c r="B215" s="11">
        <v>35</v>
      </c>
      <c r="C215" s="2">
        <v>883.53424655296897</v>
      </c>
      <c r="D215" s="2">
        <v>7.2046229166667501</v>
      </c>
      <c r="E215" s="2">
        <v>-1</v>
      </c>
      <c r="F215" s="12" t="s">
        <v>47</v>
      </c>
      <c r="G215" s="12" t="s">
        <v>15</v>
      </c>
      <c r="H215" s="5"/>
      <c r="I215" s="11">
        <v>112810</v>
      </c>
      <c r="J215" s="11">
        <v>118207</v>
      </c>
      <c r="K215" s="11">
        <v>130687</v>
      </c>
      <c r="L215" s="11">
        <v>116084</v>
      </c>
      <c r="M215" s="11">
        <v>126579</v>
      </c>
      <c r="N215" s="11">
        <v>150837</v>
      </c>
      <c r="O215" s="11">
        <v>190489</v>
      </c>
      <c r="P215" s="11"/>
      <c r="Q215" s="11">
        <v>133473</v>
      </c>
      <c r="R215" s="11">
        <v>177020</v>
      </c>
      <c r="S215" s="11">
        <v>88725</v>
      </c>
      <c r="T215" s="11">
        <v>135181</v>
      </c>
      <c r="U215" s="11">
        <v>152444</v>
      </c>
      <c r="V215" s="11">
        <v>117435</v>
      </c>
      <c r="W215" s="11">
        <v>170985</v>
      </c>
      <c r="X215" s="11"/>
      <c r="Y215" s="11">
        <v>150</v>
      </c>
      <c r="Z215" s="11">
        <v>148862</v>
      </c>
      <c r="AA215" s="11">
        <v>134629</v>
      </c>
      <c r="AB215" s="11">
        <v>157825</v>
      </c>
      <c r="AC215" s="17">
        <f t="shared" si="33"/>
        <v>7.9516835925667745E-2</v>
      </c>
      <c r="AD215" s="11">
        <f t="shared" si="34"/>
        <v>135099</v>
      </c>
      <c r="AE215" s="11">
        <f t="shared" si="35"/>
        <v>139323.28571428571</v>
      </c>
      <c r="AF215" s="28">
        <f t="shared" si="42"/>
        <v>1.0312680753690679</v>
      </c>
      <c r="AG215" s="42">
        <f t="shared" si="36"/>
        <v>0.7913776725634134</v>
      </c>
      <c r="AH215" s="14" t="str">
        <f t="shared" si="37"/>
        <v>-</v>
      </c>
      <c r="AI215" s="11">
        <f t="shared" si="38"/>
        <v>366</v>
      </c>
      <c r="AJ215" s="11">
        <f t="shared" si="39"/>
        <v>366</v>
      </c>
      <c r="AK215" s="11">
        <f t="shared" si="40"/>
        <v>0.83678458820229773</v>
      </c>
      <c r="AL215" s="42">
        <f t="shared" si="41"/>
        <v>0.83678458820229773</v>
      </c>
      <c r="AM215" s="14" t="str">
        <f t="shared" si="43"/>
        <v/>
      </c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</row>
    <row r="216" spans="1:56" ht="27" customHeight="1" x14ac:dyDescent="0.2">
      <c r="A216" s="9" t="s">
        <v>356</v>
      </c>
      <c r="B216" s="11">
        <v>38</v>
      </c>
      <c r="C216" s="2">
        <v>881.51919986392602</v>
      </c>
      <c r="D216" s="2">
        <v>7.1143416666666797</v>
      </c>
      <c r="E216" s="2">
        <v>-1</v>
      </c>
      <c r="F216" s="12" t="s">
        <v>65</v>
      </c>
      <c r="G216" s="12" t="s">
        <v>15</v>
      </c>
      <c r="H216" s="5"/>
      <c r="I216" s="11">
        <v>75892</v>
      </c>
      <c r="J216" s="11">
        <v>82413</v>
      </c>
      <c r="K216" s="11">
        <v>80376</v>
      </c>
      <c r="L216" s="11">
        <v>60214</v>
      </c>
      <c r="M216" s="11">
        <v>80665</v>
      </c>
      <c r="N216" s="11">
        <v>109334</v>
      </c>
      <c r="O216" s="11">
        <v>126089</v>
      </c>
      <c r="P216" s="11"/>
      <c r="Q216" s="11">
        <v>99364</v>
      </c>
      <c r="R216" s="11">
        <v>133127</v>
      </c>
      <c r="S216" s="11">
        <v>110486</v>
      </c>
      <c r="T216" s="11">
        <v>117918</v>
      </c>
      <c r="U216" s="11">
        <v>169284</v>
      </c>
      <c r="V216" s="11">
        <v>146808</v>
      </c>
      <c r="W216" s="11">
        <v>168925</v>
      </c>
      <c r="X216" s="11"/>
      <c r="Y216" s="11">
        <v>146</v>
      </c>
      <c r="Z216" s="11">
        <v>121894</v>
      </c>
      <c r="AA216" s="11">
        <v>112368</v>
      </c>
      <c r="AB216" s="11">
        <v>141971</v>
      </c>
      <c r="AC216" s="17">
        <f t="shared" si="33"/>
        <v>0.12049684841199508</v>
      </c>
      <c r="AD216" s="11">
        <f t="shared" si="34"/>
        <v>87854.71428571429</v>
      </c>
      <c r="AE216" s="11">
        <f t="shared" si="35"/>
        <v>135130.28571428571</v>
      </c>
      <c r="AF216" s="28">
        <f t="shared" si="42"/>
        <v>1.5381108095670937</v>
      </c>
      <c r="AG216" s="42">
        <f t="shared" si="36"/>
        <v>4.5662749300441853E-3</v>
      </c>
      <c r="AH216" s="14" t="str">
        <f t="shared" si="37"/>
        <v>**</v>
      </c>
      <c r="AI216" s="11">
        <f t="shared" si="38"/>
        <v>50</v>
      </c>
      <c r="AJ216" s="11">
        <f t="shared" si="39"/>
        <v>50</v>
      </c>
      <c r="AK216" s="11">
        <f t="shared" si="40"/>
        <v>3.5342967958541992E-2</v>
      </c>
      <c r="AL216" s="42">
        <f t="shared" si="41"/>
        <v>3.5130671062942702E-2</v>
      </c>
      <c r="AM216" s="14" t="str">
        <f t="shared" si="43"/>
        <v>**</v>
      </c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</row>
    <row r="217" spans="1:56" ht="27" customHeight="1" x14ac:dyDescent="0.2">
      <c r="A217" s="9" t="s">
        <v>356</v>
      </c>
      <c r="B217" s="11">
        <v>45</v>
      </c>
      <c r="C217" s="2">
        <v>859.53191018662699</v>
      </c>
      <c r="D217" s="2">
        <v>7.2046990740741599</v>
      </c>
      <c r="E217" s="2">
        <v>-1</v>
      </c>
      <c r="F217" s="12" t="s">
        <v>54</v>
      </c>
      <c r="G217" s="12" t="s">
        <v>15</v>
      </c>
      <c r="H217" s="5"/>
      <c r="I217" s="11">
        <v>117620</v>
      </c>
      <c r="J217" s="11">
        <v>91504</v>
      </c>
      <c r="K217" s="11">
        <v>125178</v>
      </c>
      <c r="L217" s="11">
        <v>73941</v>
      </c>
      <c r="M217" s="11">
        <v>80226</v>
      </c>
      <c r="N217" s="11">
        <v>101815</v>
      </c>
      <c r="O217" s="11">
        <v>130282</v>
      </c>
      <c r="P217" s="11"/>
      <c r="Q217" s="11">
        <v>76195</v>
      </c>
      <c r="R217" s="11">
        <v>92416</v>
      </c>
      <c r="S217" s="11">
        <v>61754</v>
      </c>
      <c r="T217" s="11">
        <v>76960</v>
      </c>
      <c r="U217" s="11">
        <v>92134</v>
      </c>
      <c r="V217" s="11">
        <v>64638</v>
      </c>
      <c r="W217" s="11">
        <v>99664</v>
      </c>
      <c r="X217" s="11"/>
      <c r="Y217" s="11">
        <v>1558</v>
      </c>
      <c r="Z217" s="11">
        <v>94430</v>
      </c>
      <c r="AA217" s="11">
        <v>85441</v>
      </c>
      <c r="AB217" s="11">
        <v>110425</v>
      </c>
      <c r="AC217" s="17">
        <f t="shared" si="33"/>
        <v>0.13077678542781798</v>
      </c>
      <c r="AD217" s="11">
        <f t="shared" si="34"/>
        <v>102938</v>
      </c>
      <c r="AE217" s="11">
        <f t="shared" si="35"/>
        <v>80537.28571428571</v>
      </c>
      <c r="AF217" s="28">
        <f t="shared" si="42"/>
        <v>0.78238634628888948</v>
      </c>
      <c r="AG217" s="42">
        <f t="shared" si="36"/>
        <v>4.8619145774778903E-2</v>
      </c>
      <c r="AH217" s="14" t="str">
        <f t="shared" si="37"/>
        <v>*</v>
      </c>
      <c r="AI217" s="11">
        <f t="shared" si="38"/>
        <v>159</v>
      </c>
      <c r="AJ217" s="11">
        <f t="shared" si="39"/>
        <v>159</v>
      </c>
      <c r="AK217" s="11">
        <f t="shared" si="40"/>
        <v>0.11833716613106564</v>
      </c>
      <c r="AL217" s="42">
        <f t="shared" si="41"/>
        <v>0.11777822484150421</v>
      </c>
      <c r="AM217" s="14" t="str">
        <f t="shared" si="43"/>
        <v/>
      </c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</row>
    <row r="218" spans="1:56" ht="27" customHeight="1" x14ac:dyDescent="0.2">
      <c r="A218" s="9" t="s">
        <v>356</v>
      </c>
      <c r="B218" s="11">
        <v>57</v>
      </c>
      <c r="C218" s="2">
        <v>911.564949236762</v>
      </c>
      <c r="D218" s="2">
        <v>7.5956588888888001</v>
      </c>
      <c r="E218" s="2">
        <v>-1</v>
      </c>
      <c r="F218" s="12" t="s">
        <v>71</v>
      </c>
      <c r="G218" s="12" t="s">
        <v>15</v>
      </c>
      <c r="H218" s="5"/>
      <c r="I218" s="11">
        <v>59334</v>
      </c>
      <c r="J218" s="11">
        <v>64289</v>
      </c>
      <c r="K218" s="11">
        <v>66400</v>
      </c>
      <c r="L218" s="11">
        <v>49169</v>
      </c>
      <c r="M218" s="11">
        <v>59328</v>
      </c>
      <c r="N218" s="11">
        <v>78699</v>
      </c>
      <c r="O218" s="11">
        <v>74017</v>
      </c>
      <c r="P218" s="11"/>
      <c r="Q218" s="11">
        <v>77620</v>
      </c>
      <c r="R218" s="11">
        <v>82360</v>
      </c>
      <c r="S218" s="11">
        <v>65470</v>
      </c>
      <c r="T218" s="11">
        <v>79236</v>
      </c>
      <c r="U218" s="11">
        <v>86020</v>
      </c>
      <c r="V218" s="11">
        <v>92909</v>
      </c>
      <c r="W218" s="11">
        <v>88681</v>
      </c>
      <c r="X218" s="11"/>
      <c r="Y218" s="11">
        <v>233</v>
      </c>
      <c r="Z218" s="11">
        <v>69109</v>
      </c>
      <c r="AA218" s="11">
        <v>83061</v>
      </c>
      <c r="AB218" s="11">
        <v>81031</v>
      </c>
      <c r="AC218" s="17">
        <f t="shared" si="33"/>
        <v>9.6969953150549917E-2</v>
      </c>
      <c r="AD218" s="11">
        <f t="shared" si="34"/>
        <v>64462.285714285717</v>
      </c>
      <c r="AE218" s="11">
        <f t="shared" si="35"/>
        <v>81756.571428571435</v>
      </c>
      <c r="AF218" s="28">
        <f t="shared" si="42"/>
        <v>1.2682853318440905</v>
      </c>
      <c r="AG218" s="42">
        <f t="shared" si="36"/>
        <v>4.9944789303563294E-3</v>
      </c>
      <c r="AH218" s="14" t="str">
        <f t="shared" si="37"/>
        <v>**</v>
      </c>
      <c r="AI218" s="11">
        <f t="shared" si="38"/>
        <v>55</v>
      </c>
      <c r="AJ218" s="11">
        <f t="shared" si="39"/>
        <v>55</v>
      </c>
      <c r="AK218" s="11">
        <f t="shared" si="40"/>
        <v>3.5142969928143628E-2</v>
      </c>
      <c r="AL218" s="42">
        <f t="shared" si="41"/>
        <v>3.5142969928143628E-2</v>
      </c>
      <c r="AM218" s="14" t="str">
        <f t="shared" si="43"/>
        <v>**</v>
      </c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</row>
    <row r="219" spans="1:56" ht="27" customHeight="1" x14ac:dyDescent="0.2">
      <c r="A219" s="9" t="s">
        <v>356</v>
      </c>
      <c r="B219" s="11">
        <v>95</v>
      </c>
      <c r="C219" s="2">
        <v>871.53348630174901</v>
      </c>
      <c r="D219" s="2">
        <v>7.3251450980392896</v>
      </c>
      <c r="E219" s="2">
        <v>-1</v>
      </c>
      <c r="F219" s="12" t="s">
        <v>106</v>
      </c>
      <c r="G219" s="12" t="s">
        <v>15</v>
      </c>
      <c r="H219" s="5"/>
      <c r="I219" s="11">
        <v>33245</v>
      </c>
      <c r="J219" s="11">
        <v>36468</v>
      </c>
      <c r="K219" s="11">
        <v>39924</v>
      </c>
      <c r="L219" s="11">
        <v>29297</v>
      </c>
      <c r="M219" s="11">
        <v>31997</v>
      </c>
      <c r="N219" s="11">
        <v>38836</v>
      </c>
      <c r="O219" s="11">
        <v>44422</v>
      </c>
      <c r="P219" s="11"/>
      <c r="Q219" s="11">
        <v>29920</v>
      </c>
      <c r="R219" s="11">
        <v>40005</v>
      </c>
      <c r="S219" s="11">
        <v>31910</v>
      </c>
      <c r="T219" s="11">
        <v>33040</v>
      </c>
      <c r="U219" s="11">
        <v>35764</v>
      </c>
      <c r="V219" s="11">
        <v>34968</v>
      </c>
      <c r="W219" s="11">
        <v>42566</v>
      </c>
      <c r="X219" s="11"/>
      <c r="Y219" s="11">
        <v>228</v>
      </c>
      <c r="Z219" s="11">
        <v>35319</v>
      </c>
      <c r="AA219" s="11">
        <v>46716</v>
      </c>
      <c r="AB219" s="11">
        <v>36421</v>
      </c>
      <c r="AC219" s="17">
        <f t="shared" si="33"/>
        <v>0.15920179750084137</v>
      </c>
      <c r="AD219" s="11">
        <f t="shared" si="34"/>
        <v>36312.714285714283</v>
      </c>
      <c r="AE219" s="11">
        <f t="shared" si="35"/>
        <v>35453.285714285717</v>
      </c>
      <c r="AF219" s="28">
        <f t="shared" si="42"/>
        <v>0.97633257143306773</v>
      </c>
      <c r="AG219" s="42">
        <f t="shared" si="36"/>
        <v>0.74644926568954428</v>
      </c>
      <c r="AH219" s="14" t="str">
        <f t="shared" si="37"/>
        <v>-</v>
      </c>
      <c r="AI219" s="11">
        <f t="shared" si="38"/>
        <v>356</v>
      </c>
      <c r="AJ219" s="11">
        <f t="shared" si="39"/>
        <v>356</v>
      </c>
      <c r="AK219" s="11">
        <f t="shared" si="40"/>
        <v>0.81144906129734173</v>
      </c>
      <c r="AL219" s="42">
        <f t="shared" si="41"/>
        <v>0.81144906129734173</v>
      </c>
      <c r="AM219" s="14" t="str">
        <f t="shared" si="43"/>
        <v/>
      </c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</row>
    <row r="220" spans="1:56" ht="27" customHeight="1" x14ac:dyDescent="0.2">
      <c r="A220" s="9" t="s">
        <v>356</v>
      </c>
      <c r="B220" s="11">
        <v>102</v>
      </c>
      <c r="C220" s="2">
        <v>899.56595843125297</v>
      </c>
      <c r="D220" s="2">
        <v>7.7432999999999401</v>
      </c>
      <c r="E220" s="2">
        <v>-1</v>
      </c>
      <c r="F220" s="12" t="s">
        <v>118</v>
      </c>
      <c r="G220" s="12" t="s">
        <v>15</v>
      </c>
      <c r="H220" s="5"/>
      <c r="I220" s="11">
        <v>34484</v>
      </c>
      <c r="J220" s="11">
        <v>28250</v>
      </c>
      <c r="K220" s="11">
        <v>34890</v>
      </c>
      <c r="L220" s="11">
        <v>29834</v>
      </c>
      <c r="M220" s="11">
        <v>35995</v>
      </c>
      <c r="N220" s="11">
        <v>36610</v>
      </c>
      <c r="O220" s="11">
        <v>43939</v>
      </c>
      <c r="P220" s="11"/>
      <c r="Q220" s="11">
        <v>17897</v>
      </c>
      <c r="R220" s="11">
        <v>37858</v>
      </c>
      <c r="S220" s="11">
        <v>19806</v>
      </c>
      <c r="T220" s="11">
        <v>25437</v>
      </c>
      <c r="U220" s="11">
        <v>25666</v>
      </c>
      <c r="V220" s="11">
        <v>25425</v>
      </c>
      <c r="W220" s="11">
        <v>28905</v>
      </c>
      <c r="X220" s="11"/>
      <c r="Y220" s="11">
        <v>1094</v>
      </c>
      <c r="Z220" s="11">
        <v>31928</v>
      </c>
      <c r="AA220" s="11">
        <v>32829</v>
      </c>
      <c r="AB220" s="11">
        <v>36998</v>
      </c>
      <c r="AC220" s="17">
        <f t="shared" si="33"/>
        <v>7.9745941048768573E-2</v>
      </c>
      <c r="AD220" s="11">
        <f t="shared" si="34"/>
        <v>34857.428571428572</v>
      </c>
      <c r="AE220" s="11">
        <f t="shared" si="35"/>
        <v>25856.285714285714</v>
      </c>
      <c r="AF220" s="28">
        <f t="shared" si="42"/>
        <v>0.74177260842124237</v>
      </c>
      <c r="AG220" s="42">
        <f t="shared" si="36"/>
        <v>1.4477785947746845E-2</v>
      </c>
      <c r="AH220" s="14" t="str">
        <f t="shared" si="37"/>
        <v>*</v>
      </c>
      <c r="AI220" s="11">
        <f t="shared" si="38"/>
        <v>92</v>
      </c>
      <c r="AJ220" s="11">
        <f t="shared" si="39"/>
        <v>92</v>
      </c>
      <c r="AK220" s="11">
        <f t="shared" si="40"/>
        <v>6.0901121323674222E-2</v>
      </c>
      <c r="AL220" s="42">
        <f t="shared" si="41"/>
        <v>6.0716179565952259E-2</v>
      </c>
      <c r="AM220" s="14" t="str">
        <f t="shared" si="43"/>
        <v>*</v>
      </c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</row>
    <row r="221" spans="1:56" ht="27" customHeight="1" x14ac:dyDescent="0.2">
      <c r="A221" s="9" t="s">
        <v>356</v>
      </c>
      <c r="B221" s="11">
        <v>150</v>
      </c>
      <c r="C221" s="2">
        <v>907.53472371458702</v>
      </c>
      <c r="D221" s="2">
        <v>7.1661676470589404</v>
      </c>
      <c r="E221" s="2">
        <v>-1</v>
      </c>
      <c r="F221" s="12" t="s">
        <v>136</v>
      </c>
      <c r="G221" s="12" t="s">
        <v>15</v>
      </c>
      <c r="H221" s="5"/>
      <c r="I221" s="11">
        <v>11723</v>
      </c>
      <c r="J221" s="11">
        <v>12575</v>
      </c>
      <c r="K221" s="11">
        <v>12891</v>
      </c>
      <c r="L221" s="11">
        <v>10029</v>
      </c>
      <c r="M221" s="11">
        <v>10052</v>
      </c>
      <c r="N221" s="11">
        <v>15189</v>
      </c>
      <c r="O221" s="11">
        <v>18161</v>
      </c>
      <c r="P221" s="11"/>
      <c r="Q221" s="11">
        <v>14028</v>
      </c>
      <c r="R221" s="11">
        <v>25776</v>
      </c>
      <c r="S221" s="11">
        <v>15127</v>
      </c>
      <c r="T221" s="11">
        <v>19528</v>
      </c>
      <c r="U221" s="11">
        <v>22587</v>
      </c>
      <c r="V221" s="11">
        <v>22295</v>
      </c>
      <c r="W221" s="11">
        <v>23619</v>
      </c>
      <c r="X221" s="11"/>
      <c r="Y221" s="11">
        <v>186</v>
      </c>
      <c r="Z221" s="11">
        <v>14921</v>
      </c>
      <c r="AA221" s="11">
        <v>19287</v>
      </c>
      <c r="AB221" s="11">
        <v>21302</v>
      </c>
      <c r="AC221" s="17">
        <f t="shared" si="33"/>
        <v>0.17628631647161636</v>
      </c>
      <c r="AD221" s="11">
        <f t="shared" si="34"/>
        <v>12945.714285714286</v>
      </c>
      <c r="AE221" s="11">
        <f t="shared" si="35"/>
        <v>20422.857142857141</v>
      </c>
      <c r="AF221" s="28">
        <f t="shared" si="42"/>
        <v>1.577576693886559</v>
      </c>
      <c r="AG221" s="42">
        <f t="shared" si="36"/>
        <v>3.5813946160248361E-3</v>
      </c>
      <c r="AH221" s="14" t="str">
        <f t="shared" si="37"/>
        <v>**</v>
      </c>
      <c r="AI221" s="11">
        <f t="shared" si="38"/>
        <v>42</v>
      </c>
      <c r="AJ221" s="11">
        <f t="shared" si="39"/>
        <v>42</v>
      </c>
      <c r="AK221" s="11">
        <f t="shared" si="40"/>
        <v>3.2999993247657421E-2</v>
      </c>
      <c r="AL221" s="42">
        <f t="shared" si="41"/>
        <v>3.2330070061871032E-2</v>
      </c>
      <c r="AM221" s="14" t="str">
        <f t="shared" si="43"/>
        <v>**</v>
      </c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</row>
    <row r="222" spans="1:56" ht="27" customHeight="1" x14ac:dyDescent="0.2">
      <c r="A222" s="9" t="s">
        <v>356</v>
      </c>
      <c r="B222" s="11">
        <v>159</v>
      </c>
      <c r="C222" s="2">
        <v>857.51739686812095</v>
      </c>
      <c r="D222" s="2">
        <v>6.9762760416666802</v>
      </c>
      <c r="E222" s="2">
        <v>-1</v>
      </c>
      <c r="F222" s="12" t="s">
        <v>128</v>
      </c>
      <c r="G222" s="12" t="s">
        <v>15</v>
      </c>
      <c r="H222" s="5"/>
      <c r="I222" s="11">
        <v>23743</v>
      </c>
      <c r="J222" s="11">
        <v>19126</v>
      </c>
      <c r="K222" s="11">
        <v>22962</v>
      </c>
      <c r="L222" s="11">
        <v>10526</v>
      </c>
      <c r="M222" s="11">
        <v>14254</v>
      </c>
      <c r="N222" s="11">
        <v>17001</v>
      </c>
      <c r="O222" s="11">
        <v>24118</v>
      </c>
      <c r="P222" s="11"/>
      <c r="Q222" s="11">
        <v>10602</v>
      </c>
      <c r="R222" s="11">
        <v>16703</v>
      </c>
      <c r="S222" s="11">
        <v>10419</v>
      </c>
      <c r="T222" s="11">
        <v>15082</v>
      </c>
      <c r="U222" s="11">
        <v>24000</v>
      </c>
      <c r="V222" s="11">
        <v>12303</v>
      </c>
      <c r="W222" s="11">
        <v>17407</v>
      </c>
      <c r="X222" s="11"/>
      <c r="Y222" s="11">
        <v>0</v>
      </c>
      <c r="Z222" s="11">
        <v>18604</v>
      </c>
      <c r="AA222" s="11">
        <v>16560</v>
      </c>
      <c r="AB222" s="11">
        <v>20552</v>
      </c>
      <c r="AC222" s="17">
        <f t="shared" si="33"/>
        <v>0.10748397455841668</v>
      </c>
      <c r="AD222" s="11">
        <f t="shared" si="34"/>
        <v>18818.571428571428</v>
      </c>
      <c r="AE222" s="11">
        <f t="shared" si="35"/>
        <v>15216.571428571429</v>
      </c>
      <c r="AF222" s="28">
        <f t="shared" si="42"/>
        <v>0.80859333485159046</v>
      </c>
      <c r="AG222" s="42">
        <f t="shared" si="36"/>
        <v>0.20244317564696024</v>
      </c>
      <c r="AH222" s="14" t="str">
        <f t="shared" si="37"/>
        <v>-</v>
      </c>
      <c r="AI222" s="11">
        <f t="shared" si="38"/>
        <v>244</v>
      </c>
      <c r="AJ222" s="11">
        <f t="shared" si="39"/>
        <v>244</v>
      </c>
      <c r="AK222" s="11">
        <f t="shared" si="40"/>
        <v>0.32108815153841647</v>
      </c>
      <c r="AL222" s="42">
        <f t="shared" si="41"/>
        <v>0.32108815153841647</v>
      </c>
      <c r="AM222" s="14" t="str">
        <f t="shared" si="43"/>
        <v/>
      </c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</row>
    <row r="223" spans="1:56" ht="27" customHeight="1" x14ac:dyDescent="0.2">
      <c r="A223" s="9" t="s">
        <v>356</v>
      </c>
      <c r="B223" s="11">
        <v>171</v>
      </c>
      <c r="C223" s="2">
        <v>855.50254154551203</v>
      </c>
      <c r="D223" s="2">
        <v>6.9538637254902902</v>
      </c>
      <c r="E223" s="2">
        <v>-1</v>
      </c>
      <c r="F223" s="12" t="s">
        <v>152</v>
      </c>
      <c r="G223" s="12" t="s">
        <v>15</v>
      </c>
      <c r="H223" s="5"/>
      <c r="I223" s="11">
        <v>13613</v>
      </c>
      <c r="J223" s="11">
        <v>11133</v>
      </c>
      <c r="K223" s="11">
        <v>15703</v>
      </c>
      <c r="L223" s="11">
        <v>10230</v>
      </c>
      <c r="M223" s="11">
        <v>11087</v>
      </c>
      <c r="N223" s="11">
        <v>11654</v>
      </c>
      <c r="O223" s="11">
        <v>14071</v>
      </c>
      <c r="P223" s="11"/>
      <c r="Q223" s="11">
        <v>15958</v>
      </c>
      <c r="R223" s="11">
        <v>13619</v>
      </c>
      <c r="S223" s="11">
        <v>16277</v>
      </c>
      <c r="T223" s="11">
        <v>19956</v>
      </c>
      <c r="U223" s="11">
        <v>21935</v>
      </c>
      <c r="V223" s="11">
        <v>16386</v>
      </c>
      <c r="W223" s="11">
        <v>22558</v>
      </c>
      <c r="X223" s="11"/>
      <c r="Y223" s="11">
        <v>510</v>
      </c>
      <c r="Z223" s="11">
        <v>14475</v>
      </c>
      <c r="AA223" s="11">
        <v>17093</v>
      </c>
      <c r="AB223" s="11">
        <v>18235</v>
      </c>
      <c r="AC223" s="17">
        <f t="shared" si="33"/>
        <v>0.1161182720276405</v>
      </c>
      <c r="AD223" s="11">
        <f t="shared" si="34"/>
        <v>12498.714285714286</v>
      </c>
      <c r="AE223" s="11">
        <f t="shared" si="35"/>
        <v>18098.428571428572</v>
      </c>
      <c r="AF223" s="28">
        <f t="shared" si="42"/>
        <v>1.4480232252460252</v>
      </c>
      <c r="AG223" s="42">
        <f t="shared" si="36"/>
        <v>3.871172044807269E-3</v>
      </c>
      <c r="AH223" s="14" t="str">
        <f t="shared" si="37"/>
        <v>**</v>
      </c>
      <c r="AI223" s="11">
        <f t="shared" si="38"/>
        <v>44</v>
      </c>
      <c r="AJ223" s="11">
        <f t="shared" si="39"/>
        <v>44</v>
      </c>
      <c r="AK223" s="11">
        <f t="shared" si="40"/>
        <v>3.4048717757736664E-2</v>
      </c>
      <c r="AL223" s="42">
        <f t="shared" si="41"/>
        <v>3.3605010270169405E-2</v>
      </c>
      <c r="AM223" s="14" t="str">
        <f t="shared" si="43"/>
        <v>**</v>
      </c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</row>
    <row r="224" spans="1:56" ht="27" customHeight="1" x14ac:dyDescent="0.2">
      <c r="A224" s="9" t="s">
        <v>356</v>
      </c>
      <c r="B224" s="11">
        <v>203</v>
      </c>
      <c r="C224" s="2">
        <v>881.51680542901204</v>
      </c>
      <c r="D224" s="2">
        <v>6.9946099999999998</v>
      </c>
      <c r="E224" s="2">
        <v>-1</v>
      </c>
      <c r="F224" s="12" t="s">
        <v>542</v>
      </c>
      <c r="G224" s="12" t="s">
        <v>15</v>
      </c>
      <c r="H224" s="5"/>
      <c r="I224" s="11">
        <v>13463</v>
      </c>
      <c r="J224" s="11">
        <v>11517</v>
      </c>
      <c r="K224" s="11">
        <v>14790</v>
      </c>
      <c r="L224" s="11">
        <v>10545</v>
      </c>
      <c r="M224" s="11">
        <v>12538</v>
      </c>
      <c r="N224" s="11">
        <v>14934</v>
      </c>
      <c r="O224" s="11">
        <v>17322</v>
      </c>
      <c r="P224" s="11"/>
      <c r="Q224" s="11">
        <v>12551</v>
      </c>
      <c r="R224" s="11">
        <v>15190</v>
      </c>
      <c r="S224" s="11">
        <v>11497</v>
      </c>
      <c r="T224" s="11">
        <v>15909</v>
      </c>
      <c r="U224" s="11">
        <v>18784</v>
      </c>
      <c r="V224" s="11">
        <v>14165</v>
      </c>
      <c r="W224" s="11">
        <v>19179</v>
      </c>
      <c r="X224" s="11"/>
      <c r="Y224" s="11">
        <v>0</v>
      </c>
      <c r="Z224" s="11">
        <v>14736</v>
      </c>
      <c r="AA224" s="11">
        <v>14868</v>
      </c>
      <c r="AB224" s="11">
        <v>16153</v>
      </c>
      <c r="AC224" s="17">
        <f t="shared" si="33"/>
        <v>5.132247789544217E-2</v>
      </c>
      <c r="AD224" s="11">
        <f t="shared" si="34"/>
        <v>13587</v>
      </c>
      <c r="AE224" s="11">
        <f t="shared" si="35"/>
        <v>15325</v>
      </c>
      <c r="AF224" s="28">
        <f t="shared" si="42"/>
        <v>1.1279163906675498</v>
      </c>
      <c r="AG224" s="42">
        <f t="shared" si="36"/>
        <v>0.24050548043388817</v>
      </c>
      <c r="AH224" s="14" t="str">
        <f t="shared" si="37"/>
        <v>-</v>
      </c>
      <c r="AI224" s="11">
        <f t="shared" si="38"/>
        <v>252</v>
      </c>
      <c r="AJ224" s="11">
        <f t="shared" si="39"/>
        <v>252</v>
      </c>
      <c r="AK224" s="11">
        <f t="shared" si="40"/>
        <v>0.3693477020948997</v>
      </c>
      <c r="AL224" s="42">
        <f t="shared" si="41"/>
        <v>0.3693477020948997</v>
      </c>
      <c r="AM224" s="14" t="str">
        <f t="shared" si="43"/>
        <v/>
      </c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</row>
    <row r="225" spans="1:56" ht="27" customHeight="1" x14ac:dyDescent="0.2">
      <c r="A225" s="9" t="s">
        <v>356</v>
      </c>
      <c r="B225" s="11">
        <v>210</v>
      </c>
      <c r="C225" s="2">
        <v>847.53406335445698</v>
      </c>
      <c r="D225" s="2">
        <v>7.3238019607844702</v>
      </c>
      <c r="E225" s="2">
        <v>-1</v>
      </c>
      <c r="F225" s="12" t="s">
        <v>148</v>
      </c>
      <c r="G225" s="12" t="s">
        <v>15</v>
      </c>
      <c r="H225" s="5"/>
      <c r="I225" s="11">
        <v>17120</v>
      </c>
      <c r="J225" s="11">
        <v>16002</v>
      </c>
      <c r="K225" s="11">
        <v>17325</v>
      </c>
      <c r="L225" s="11">
        <v>12351</v>
      </c>
      <c r="M225" s="11">
        <v>11362</v>
      </c>
      <c r="N225" s="11">
        <v>15892</v>
      </c>
      <c r="O225" s="11">
        <v>18643</v>
      </c>
      <c r="P225" s="11"/>
      <c r="Q225" s="11">
        <v>9975</v>
      </c>
      <c r="R225" s="11">
        <v>14416</v>
      </c>
      <c r="S225" s="11">
        <v>10116</v>
      </c>
      <c r="T225" s="11">
        <v>11616</v>
      </c>
      <c r="U225" s="11">
        <v>12921</v>
      </c>
      <c r="V225" s="11">
        <v>12035</v>
      </c>
      <c r="W225" s="11">
        <v>17289</v>
      </c>
      <c r="X225" s="11"/>
      <c r="Y225" s="11">
        <v>515</v>
      </c>
      <c r="Z225" s="11">
        <v>13349</v>
      </c>
      <c r="AA225" s="11">
        <v>15459</v>
      </c>
      <c r="AB225" s="11">
        <v>15256</v>
      </c>
      <c r="AC225" s="17">
        <f t="shared" si="33"/>
        <v>7.9251202745162119E-2</v>
      </c>
      <c r="AD225" s="11">
        <f t="shared" si="34"/>
        <v>15527.857142857143</v>
      </c>
      <c r="AE225" s="11">
        <f t="shared" si="35"/>
        <v>12624</v>
      </c>
      <c r="AF225" s="28">
        <f t="shared" si="42"/>
        <v>0.81299047794286761</v>
      </c>
      <c r="AG225" s="42">
        <f t="shared" si="36"/>
        <v>6.1203093492052045E-2</v>
      </c>
      <c r="AH225" s="14" t="str">
        <f t="shared" si="37"/>
        <v>-</v>
      </c>
      <c r="AI225" s="11">
        <f t="shared" si="38"/>
        <v>169</v>
      </c>
      <c r="AJ225" s="11">
        <f t="shared" si="39"/>
        <v>169</v>
      </c>
      <c r="AK225" s="11">
        <f t="shared" si="40"/>
        <v>0.14015146261197717</v>
      </c>
      <c r="AL225" s="42">
        <f t="shared" si="41"/>
        <v>0.13999845224717955</v>
      </c>
      <c r="AM225" s="14" t="str">
        <f t="shared" si="43"/>
        <v/>
      </c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</row>
    <row r="226" spans="1:56" ht="27" customHeight="1" x14ac:dyDescent="0.2">
      <c r="A226" s="9" t="s">
        <v>356</v>
      </c>
      <c r="B226" s="11">
        <v>300</v>
      </c>
      <c r="C226" s="2">
        <v>895.53312882936598</v>
      </c>
      <c r="D226" s="2">
        <v>7.29235937499993</v>
      </c>
      <c r="E226" s="2">
        <v>-1</v>
      </c>
      <c r="F226" s="12" t="s">
        <v>189</v>
      </c>
      <c r="G226" s="12" t="s">
        <v>15</v>
      </c>
      <c r="H226" s="5"/>
      <c r="I226" s="11">
        <v>5734</v>
      </c>
      <c r="J226" s="11">
        <v>6867</v>
      </c>
      <c r="K226" s="11">
        <v>9173</v>
      </c>
      <c r="L226" s="11">
        <v>1841</v>
      </c>
      <c r="M226" s="11">
        <v>7000</v>
      </c>
      <c r="N226" s="11">
        <v>7724</v>
      </c>
      <c r="O226" s="11">
        <v>8799</v>
      </c>
      <c r="P226" s="11"/>
      <c r="Q226" s="11">
        <v>6826</v>
      </c>
      <c r="R226" s="11">
        <v>12585</v>
      </c>
      <c r="S226" s="11">
        <v>6975</v>
      </c>
      <c r="T226" s="11">
        <v>9693</v>
      </c>
      <c r="U226" s="11">
        <v>11586</v>
      </c>
      <c r="V226" s="11">
        <v>11113</v>
      </c>
      <c r="W226" s="11">
        <v>9847</v>
      </c>
      <c r="X226" s="11"/>
      <c r="Y226" s="11">
        <v>523</v>
      </c>
      <c r="Z226" s="11">
        <v>8553</v>
      </c>
      <c r="AA226" s="11">
        <v>9394</v>
      </c>
      <c r="AB226" s="11">
        <v>10182</v>
      </c>
      <c r="AC226" s="17">
        <f t="shared" si="33"/>
        <v>8.6882969699385193E-2</v>
      </c>
      <c r="AD226" s="11">
        <f t="shared" si="34"/>
        <v>6734</v>
      </c>
      <c r="AE226" s="11">
        <f t="shared" si="35"/>
        <v>9803.5714285714294</v>
      </c>
      <c r="AF226" s="28">
        <f t="shared" si="42"/>
        <v>1.4558318129746701</v>
      </c>
      <c r="AG226" s="42">
        <f t="shared" si="36"/>
        <v>3.0576933694294404E-2</v>
      </c>
      <c r="AH226" s="14" t="str">
        <f t="shared" si="37"/>
        <v>*</v>
      </c>
      <c r="AI226" s="11">
        <f t="shared" si="38"/>
        <v>129</v>
      </c>
      <c r="AJ226" s="11">
        <f t="shared" si="39"/>
        <v>129</v>
      </c>
      <c r="AK226" s="11">
        <f t="shared" si="40"/>
        <v>9.1730801082883201E-2</v>
      </c>
      <c r="AL226" s="42">
        <f t="shared" si="41"/>
        <v>9.1233024603603066E-2</v>
      </c>
      <c r="AM226" s="14" t="str">
        <f t="shared" si="43"/>
        <v>*</v>
      </c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</row>
    <row r="227" spans="1:56" ht="27" customHeight="1" x14ac:dyDescent="0.2">
      <c r="A227" s="9" t="s">
        <v>356</v>
      </c>
      <c r="B227" s="11">
        <v>375</v>
      </c>
      <c r="C227" s="2">
        <v>875.56431337558502</v>
      </c>
      <c r="D227" s="2">
        <v>7.7414676470588804</v>
      </c>
      <c r="E227" s="2">
        <v>-1</v>
      </c>
      <c r="F227" s="12" t="s">
        <v>548</v>
      </c>
      <c r="G227" s="12" t="s">
        <v>15</v>
      </c>
      <c r="H227" s="5"/>
      <c r="I227" s="11">
        <v>6873</v>
      </c>
      <c r="J227" s="11">
        <v>5917</v>
      </c>
      <c r="K227" s="11">
        <v>7849</v>
      </c>
      <c r="L227" s="11">
        <v>6405</v>
      </c>
      <c r="M227" s="11">
        <v>8855</v>
      </c>
      <c r="N227" s="11">
        <v>9218</v>
      </c>
      <c r="O227" s="11">
        <v>9782</v>
      </c>
      <c r="P227" s="11"/>
      <c r="Q227" s="11">
        <v>4542</v>
      </c>
      <c r="R227" s="11">
        <v>6393</v>
      </c>
      <c r="S227" s="11">
        <v>3875</v>
      </c>
      <c r="T227" s="11">
        <v>5079</v>
      </c>
      <c r="U227" s="11">
        <v>2878</v>
      </c>
      <c r="V227" s="11">
        <v>4344</v>
      </c>
      <c r="W227" s="11">
        <v>5755</v>
      </c>
      <c r="X227" s="11"/>
      <c r="Y227" s="11">
        <v>170</v>
      </c>
      <c r="Z227" s="11">
        <v>6668</v>
      </c>
      <c r="AA227" s="11">
        <v>6341</v>
      </c>
      <c r="AB227" s="11">
        <v>7678</v>
      </c>
      <c r="AC227" s="17">
        <f t="shared" si="33"/>
        <v>0.10107353293803489</v>
      </c>
      <c r="AD227" s="11">
        <f t="shared" si="34"/>
        <v>7842.7142857142853</v>
      </c>
      <c r="AE227" s="11">
        <f t="shared" si="35"/>
        <v>4695.1428571428569</v>
      </c>
      <c r="AF227" s="28">
        <f t="shared" si="42"/>
        <v>0.59866299932603506</v>
      </c>
      <c r="AG227" s="42">
        <f t="shared" si="36"/>
        <v>1.0138358986085659E-3</v>
      </c>
      <c r="AH227" s="14" t="str">
        <f t="shared" si="37"/>
        <v>**</v>
      </c>
      <c r="AI227" s="11">
        <f t="shared" si="38"/>
        <v>21</v>
      </c>
      <c r="AJ227" s="11">
        <f t="shared" si="39"/>
        <v>21</v>
      </c>
      <c r="AK227" s="11">
        <f t="shared" si="40"/>
        <v>1.8683547274357854E-2</v>
      </c>
      <c r="AL227" s="42">
        <f t="shared" si="41"/>
        <v>1.7929650792532514E-2</v>
      </c>
      <c r="AM227" s="14" t="str">
        <f t="shared" si="43"/>
        <v>**</v>
      </c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</row>
    <row r="228" spans="1:56" ht="27" customHeight="1" x14ac:dyDescent="0.2">
      <c r="A228" s="9" t="s">
        <v>356</v>
      </c>
      <c r="B228" s="11">
        <v>387</v>
      </c>
      <c r="C228" s="2">
        <v>909.54874759383199</v>
      </c>
      <c r="D228" s="2">
        <v>7.2656833333333299</v>
      </c>
      <c r="E228" s="2">
        <v>-1</v>
      </c>
      <c r="F228" s="12" t="s">
        <v>549</v>
      </c>
      <c r="G228" s="12" t="s">
        <v>15</v>
      </c>
      <c r="H228" s="5"/>
      <c r="I228" s="11">
        <v>4254</v>
      </c>
      <c r="J228" s="11">
        <v>4522</v>
      </c>
      <c r="K228" s="11">
        <v>5226</v>
      </c>
      <c r="L228" s="11">
        <v>3856</v>
      </c>
      <c r="M228" s="11">
        <v>4969</v>
      </c>
      <c r="N228" s="11">
        <v>5310</v>
      </c>
      <c r="O228" s="11">
        <v>6696</v>
      </c>
      <c r="P228" s="11"/>
      <c r="Q228" s="11">
        <v>6889</v>
      </c>
      <c r="R228" s="11">
        <v>9577</v>
      </c>
      <c r="S228" s="11">
        <v>4847</v>
      </c>
      <c r="T228" s="11">
        <v>6639</v>
      </c>
      <c r="U228" s="11">
        <v>8199</v>
      </c>
      <c r="V228" s="11">
        <v>5438</v>
      </c>
      <c r="W228" s="11">
        <v>8509</v>
      </c>
      <c r="X228" s="11"/>
      <c r="Y228" s="11">
        <v>385</v>
      </c>
      <c r="Z228" s="11">
        <v>5676</v>
      </c>
      <c r="AA228" s="11">
        <v>7159</v>
      </c>
      <c r="AB228" s="11">
        <v>7024</v>
      </c>
      <c r="AC228" s="17">
        <f t="shared" si="33"/>
        <v>0.12387665353325042</v>
      </c>
      <c r="AD228" s="11">
        <f t="shared" si="34"/>
        <v>4976.1428571428569</v>
      </c>
      <c r="AE228" s="11">
        <f t="shared" si="35"/>
        <v>7156.8571428571431</v>
      </c>
      <c r="AF228" s="28">
        <f t="shared" si="42"/>
        <v>1.4382338586972125</v>
      </c>
      <c r="AG228" s="42">
        <f t="shared" si="36"/>
        <v>1.504471775520046E-2</v>
      </c>
      <c r="AH228" s="14" t="str">
        <f t="shared" si="37"/>
        <v>*</v>
      </c>
      <c r="AI228" s="11">
        <f t="shared" si="38"/>
        <v>94</v>
      </c>
      <c r="AJ228" s="11">
        <f t="shared" si="39"/>
        <v>94</v>
      </c>
      <c r="AK228" s="11">
        <f t="shared" si="40"/>
        <v>6.1939423098538067E-2</v>
      </c>
      <c r="AL228" s="42">
        <f t="shared" si="41"/>
        <v>6.145585314357644E-2</v>
      </c>
      <c r="AM228" s="14" t="str">
        <f t="shared" si="43"/>
        <v>*</v>
      </c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</row>
    <row r="229" spans="1:56" ht="27" customHeight="1" x14ac:dyDescent="0.2">
      <c r="A229" s="9" t="s">
        <v>356</v>
      </c>
      <c r="B229" s="11">
        <v>512</v>
      </c>
      <c r="C229" s="2">
        <v>897.54779880684396</v>
      </c>
      <c r="D229" s="2">
        <v>7.3849072916667504</v>
      </c>
      <c r="E229" s="2">
        <v>-1</v>
      </c>
      <c r="F229" s="12" t="s">
        <v>554</v>
      </c>
      <c r="G229" s="12" t="s">
        <v>15</v>
      </c>
      <c r="H229" s="5"/>
      <c r="I229" s="11">
        <v>2999</v>
      </c>
      <c r="J229" s="11">
        <v>3359</v>
      </c>
      <c r="K229" s="11">
        <v>4153</v>
      </c>
      <c r="L229" s="11">
        <v>2898</v>
      </c>
      <c r="M229" s="11">
        <v>3761</v>
      </c>
      <c r="N229" s="11">
        <v>5537</v>
      </c>
      <c r="O229" s="11">
        <v>4842</v>
      </c>
      <c r="P229" s="11"/>
      <c r="Q229" s="11">
        <v>4241</v>
      </c>
      <c r="R229" s="11">
        <v>6847</v>
      </c>
      <c r="S229" s="11">
        <v>3346</v>
      </c>
      <c r="T229" s="11">
        <v>4064</v>
      </c>
      <c r="U229" s="11">
        <v>4753</v>
      </c>
      <c r="V229" s="11">
        <v>4451</v>
      </c>
      <c r="W229" s="11">
        <v>4575</v>
      </c>
      <c r="X229" s="11"/>
      <c r="Y229" s="11">
        <v>0</v>
      </c>
      <c r="Z229" s="11">
        <v>3768</v>
      </c>
      <c r="AA229" s="11">
        <v>5660</v>
      </c>
      <c r="AB229" s="11">
        <v>4686</v>
      </c>
      <c r="AC229" s="17">
        <f t="shared" si="33"/>
        <v>0.20110630197493468</v>
      </c>
      <c r="AD229" s="11">
        <f t="shared" si="34"/>
        <v>3935.5714285714284</v>
      </c>
      <c r="AE229" s="11">
        <f t="shared" si="35"/>
        <v>4611</v>
      </c>
      <c r="AF229" s="28">
        <f t="shared" si="42"/>
        <v>1.171621474463683</v>
      </c>
      <c r="AG229" s="42">
        <f t="shared" si="36"/>
        <v>0.24545161520809036</v>
      </c>
      <c r="AH229" s="14" t="str">
        <f t="shared" si="37"/>
        <v>-</v>
      </c>
      <c r="AI229" s="11">
        <f t="shared" si="38"/>
        <v>254</v>
      </c>
      <c r="AJ229" s="11">
        <f t="shared" si="39"/>
        <v>254</v>
      </c>
      <c r="AK229" s="11">
        <f t="shared" si="40"/>
        <v>0.37397549246272033</v>
      </c>
      <c r="AL229" s="42">
        <f t="shared" si="41"/>
        <v>0.37397549246272033</v>
      </c>
      <c r="AM229" s="14" t="str">
        <f t="shared" si="43"/>
        <v/>
      </c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</row>
    <row r="230" spans="1:56" ht="27" customHeight="1" x14ac:dyDescent="0.2">
      <c r="A230" s="9" t="s">
        <v>356</v>
      </c>
      <c r="B230" s="11">
        <v>580</v>
      </c>
      <c r="C230" s="2">
        <v>873.54933434195004</v>
      </c>
      <c r="D230" s="2">
        <v>7.4551551282050701</v>
      </c>
      <c r="E230" s="2">
        <v>-1</v>
      </c>
      <c r="F230" s="12" t="s">
        <v>555</v>
      </c>
      <c r="G230" s="12" t="s">
        <v>15</v>
      </c>
      <c r="H230" s="5"/>
      <c r="I230" s="11">
        <v>4323</v>
      </c>
      <c r="J230" s="11">
        <v>2311</v>
      </c>
      <c r="K230" s="11">
        <v>5014</v>
      </c>
      <c r="L230" s="11">
        <v>2833</v>
      </c>
      <c r="M230" s="11">
        <v>3744</v>
      </c>
      <c r="N230" s="11">
        <v>4029</v>
      </c>
      <c r="O230" s="11">
        <v>6026</v>
      </c>
      <c r="P230" s="11"/>
      <c r="Q230" s="11">
        <v>2701</v>
      </c>
      <c r="R230" s="11">
        <v>3102</v>
      </c>
      <c r="S230" s="11">
        <v>918</v>
      </c>
      <c r="T230" s="11">
        <v>3034</v>
      </c>
      <c r="U230" s="11">
        <v>2179</v>
      </c>
      <c r="V230" s="11">
        <v>939</v>
      </c>
      <c r="W230" s="11">
        <v>3437</v>
      </c>
      <c r="X230" s="11"/>
      <c r="Y230" s="11">
        <v>187</v>
      </c>
      <c r="Z230" s="11">
        <v>3045</v>
      </c>
      <c r="AA230" s="11">
        <v>3636</v>
      </c>
      <c r="AB230" s="11">
        <v>3578</v>
      </c>
      <c r="AC230" s="17">
        <f t="shared" si="33"/>
        <v>9.5261983528013461E-2</v>
      </c>
      <c r="AD230" s="11">
        <f t="shared" si="34"/>
        <v>4040</v>
      </c>
      <c r="AE230" s="11">
        <f t="shared" si="35"/>
        <v>2330</v>
      </c>
      <c r="AF230" s="28">
        <f t="shared" si="42"/>
        <v>0.57673267326732669</v>
      </c>
      <c r="AG230" s="42">
        <f t="shared" si="36"/>
        <v>1.7230540458405764E-2</v>
      </c>
      <c r="AH230" s="14" t="str">
        <f t="shared" si="37"/>
        <v>*</v>
      </c>
      <c r="AI230" s="11">
        <f t="shared" si="38"/>
        <v>107</v>
      </c>
      <c r="AJ230" s="11">
        <f t="shared" si="39"/>
        <v>107</v>
      </c>
      <c r="AK230" s="11">
        <f t="shared" si="40"/>
        <v>6.2319805209374121E-2</v>
      </c>
      <c r="AL230" s="42">
        <f t="shared" si="41"/>
        <v>6.2319805209374121E-2</v>
      </c>
      <c r="AM230" s="14" t="str">
        <f t="shared" si="43"/>
        <v>*</v>
      </c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</row>
    <row r="231" spans="1:56" ht="27" customHeight="1" x14ac:dyDescent="0.2">
      <c r="A231" s="9" t="s">
        <v>356</v>
      </c>
      <c r="B231" s="11">
        <v>682</v>
      </c>
      <c r="C231" s="2">
        <v>905.51717799695905</v>
      </c>
      <c r="D231" s="2">
        <v>6.9479843750000603</v>
      </c>
      <c r="E231" s="2">
        <v>-1</v>
      </c>
      <c r="F231" s="12" t="s">
        <v>276</v>
      </c>
      <c r="G231" s="12" t="s">
        <v>15</v>
      </c>
      <c r="H231" s="5"/>
      <c r="I231" s="11">
        <v>2091</v>
      </c>
      <c r="J231" s="11">
        <v>1901</v>
      </c>
      <c r="K231" s="11">
        <v>2492</v>
      </c>
      <c r="L231" s="11">
        <v>1681</v>
      </c>
      <c r="M231" s="11">
        <v>1299</v>
      </c>
      <c r="N231" s="11">
        <v>1642</v>
      </c>
      <c r="O231" s="11">
        <v>3581</v>
      </c>
      <c r="P231" s="11"/>
      <c r="Q231" s="11">
        <v>3118</v>
      </c>
      <c r="R231" s="11">
        <v>5206</v>
      </c>
      <c r="S231" s="11">
        <v>2498</v>
      </c>
      <c r="T231" s="11">
        <v>3781</v>
      </c>
      <c r="U231" s="11">
        <v>4507</v>
      </c>
      <c r="V231" s="11">
        <v>2972</v>
      </c>
      <c r="W231" s="11">
        <v>3921</v>
      </c>
      <c r="X231" s="11"/>
      <c r="Y231" s="11">
        <v>123</v>
      </c>
      <c r="Z231" s="11">
        <v>3095</v>
      </c>
      <c r="AA231" s="11">
        <v>3776</v>
      </c>
      <c r="AB231" s="11">
        <v>2809</v>
      </c>
      <c r="AC231" s="17">
        <f t="shared" si="33"/>
        <v>0.15395574196363573</v>
      </c>
      <c r="AD231" s="11">
        <f t="shared" si="34"/>
        <v>2098.1428571428573</v>
      </c>
      <c r="AE231" s="11">
        <f t="shared" si="35"/>
        <v>3714.7142857142858</v>
      </c>
      <c r="AF231" s="28">
        <f t="shared" si="42"/>
        <v>1.7704772928440116</v>
      </c>
      <c r="AG231" s="42">
        <f t="shared" si="36"/>
        <v>4.2610340321850172E-3</v>
      </c>
      <c r="AH231" s="14" t="str">
        <f t="shared" si="37"/>
        <v>**</v>
      </c>
      <c r="AI231" s="11">
        <f t="shared" si="38"/>
        <v>47</v>
      </c>
      <c r="AJ231" s="11">
        <f t="shared" si="39"/>
        <v>47</v>
      </c>
      <c r="AK231" s="11">
        <f t="shared" si="40"/>
        <v>3.5085535541608544E-2</v>
      </c>
      <c r="AL231" s="42">
        <f t="shared" si="41"/>
        <v>3.4496386345808615E-2</v>
      </c>
      <c r="AM231" s="14" t="str">
        <f t="shared" si="43"/>
        <v>**</v>
      </c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</row>
    <row r="232" spans="1:56" ht="27" customHeight="1" x14ac:dyDescent="0.2">
      <c r="A232" s="9" t="s">
        <v>356</v>
      </c>
      <c r="B232" s="11">
        <v>760</v>
      </c>
      <c r="C232" s="2">
        <v>923.56410344652102</v>
      </c>
      <c r="D232" s="2">
        <v>7.7041122222223297</v>
      </c>
      <c r="E232" s="2">
        <v>-1</v>
      </c>
      <c r="F232" s="12" t="s">
        <v>562</v>
      </c>
      <c r="G232" s="12" t="s">
        <v>15</v>
      </c>
      <c r="H232" s="5"/>
      <c r="I232" s="11">
        <v>2374</v>
      </c>
      <c r="J232" s="11">
        <v>3262</v>
      </c>
      <c r="K232" s="11">
        <v>3631</v>
      </c>
      <c r="L232" s="11">
        <v>2891</v>
      </c>
      <c r="M232" s="11">
        <v>3283</v>
      </c>
      <c r="N232" s="11">
        <v>3577</v>
      </c>
      <c r="O232" s="11">
        <v>3822</v>
      </c>
      <c r="P232" s="11"/>
      <c r="Q232" s="11">
        <v>961</v>
      </c>
      <c r="R232" s="11">
        <v>3113</v>
      </c>
      <c r="S232" s="11">
        <v>3194</v>
      </c>
      <c r="T232" s="11">
        <v>2913</v>
      </c>
      <c r="U232" s="11">
        <v>3629</v>
      </c>
      <c r="V232" s="11">
        <v>3331</v>
      </c>
      <c r="W232" s="11">
        <v>1344</v>
      </c>
      <c r="X232" s="11"/>
      <c r="Y232" s="11">
        <v>0</v>
      </c>
      <c r="Z232" s="11">
        <v>3622</v>
      </c>
      <c r="AA232" s="11">
        <v>3918</v>
      </c>
      <c r="AB232" s="11">
        <v>4571</v>
      </c>
      <c r="AC232" s="17">
        <f t="shared" si="33"/>
        <v>0.12027806795539926</v>
      </c>
      <c r="AD232" s="11">
        <f t="shared" si="34"/>
        <v>3262.8571428571427</v>
      </c>
      <c r="AE232" s="11">
        <f t="shared" si="35"/>
        <v>2640.7142857142858</v>
      </c>
      <c r="AF232" s="28">
        <f t="shared" si="42"/>
        <v>0.80932574430823123</v>
      </c>
      <c r="AG232" s="42">
        <f t="shared" si="36"/>
        <v>0.19027354735389806</v>
      </c>
      <c r="AH232" s="14" t="str">
        <f t="shared" si="37"/>
        <v>-</v>
      </c>
      <c r="AI232" s="11">
        <f t="shared" si="38"/>
        <v>240</v>
      </c>
      <c r="AJ232" s="11">
        <f t="shared" si="39"/>
        <v>240</v>
      </c>
      <c r="AK232" s="11">
        <f t="shared" si="40"/>
        <v>0.30681609510816066</v>
      </c>
      <c r="AL232" s="42">
        <f t="shared" si="41"/>
        <v>0.30555529139321241</v>
      </c>
      <c r="AM232" s="14" t="str">
        <f t="shared" si="43"/>
        <v/>
      </c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</row>
    <row r="233" spans="1:56" ht="27" customHeight="1" x14ac:dyDescent="0.2">
      <c r="A233" s="9" t="s">
        <v>356</v>
      </c>
      <c r="B233" s="11">
        <v>1167</v>
      </c>
      <c r="C233" s="2">
        <v>845.51796979667802</v>
      </c>
      <c r="D233" s="2">
        <v>7.0446627450979999</v>
      </c>
      <c r="E233" s="2">
        <v>-1</v>
      </c>
      <c r="F233" s="12" t="s">
        <v>311</v>
      </c>
      <c r="G233" s="12" t="s">
        <v>15</v>
      </c>
      <c r="H233" s="5"/>
      <c r="I233" s="11">
        <v>2803</v>
      </c>
      <c r="J233" s="11">
        <v>1348</v>
      </c>
      <c r="K233" s="11">
        <v>1608</v>
      </c>
      <c r="L233" s="11">
        <v>1289</v>
      </c>
      <c r="M233" s="11">
        <v>1811</v>
      </c>
      <c r="N233" s="11">
        <v>1519</v>
      </c>
      <c r="O233" s="11">
        <v>1898</v>
      </c>
      <c r="P233" s="11"/>
      <c r="Q233" s="11">
        <v>897</v>
      </c>
      <c r="R233" s="11">
        <v>1420</v>
      </c>
      <c r="S233" s="11">
        <v>981</v>
      </c>
      <c r="T233" s="11">
        <v>1774</v>
      </c>
      <c r="U233" s="11">
        <v>1703</v>
      </c>
      <c r="V233" s="11">
        <v>1261</v>
      </c>
      <c r="W233" s="11">
        <v>1835</v>
      </c>
      <c r="X233" s="11"/>
      <c r="Y233" s="11">
        <v>0</v>
      </c>
      <c r="Z233" s="11">
        <v>1274</v>
      </c>
      <c r="AA233" s="11">
        <v>1798</v>
      </c>
      <c r="AB233" s="11">
        <v>1657</v>
      </c>
      <c r="AC233" s="17">
        <f t="shared" si="33"/>
        <v>0.1720154628548517</v>
      </c>
      <c r="AD233" s="11">
        <f t="shared" si="34"/>
        <v>1753.7142857142858</v>
      </c>
      <c r="AE233" s="11">
        <f t="shared" si="35"/>
        <v>1410.1428571428571</v>
      </c>
      <c r="AF233" s="28">
        <f t="shared" si="42"/>
        <v>0.80408927989573142</v>
      </c>
      <c r="AG233" s="42">
        <f t="shared" si="36"/>
        <v>0.18249470591386222</v>
      </c>
      <c r="AH233" s="14" t="str">
        <f t="shared" si="37"/>
        <v>-</v>
      </c>
      <c r="AI233" s="11">
        <f t="shared" si="38"/>
        <v>237</v>
      </c>
      <c r="AJ233" s="11">
        <f t="shared" si="39"/>
        <v>237</v>
      </c>
      <c r="AK233" s="11">
        <f t="shared" si="40"/>
        <v>0.29799768434035734</v>
      </c>
      <c r="AL233" s="42">
        <f t="shared" si="41"/>
        <v>0.29799768434035734</v>
      </c>
      <c r="AM233" s="14" t="str">
        <f t="shared" si="43"/>
        <v/>
      </c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</row>
    <row r="234" spans="1:56" ht="27" customHeight="1" x14ac:dyDescent="0.2">
      <c r="A234" s="9" t="s">
        <v>356</v>
      </c>
      <c r="B234" s="11">
        <v>1171</v>
      </c>
      <c r="C234" s="2">
        <v>855.50152948273205</v>
      </c>
      <c r="D234" s="2">
        <v>6.7853033333333999</v>
      </c>
      <c r="E234" s="2">
        <v>-1</v>
      </c>
      <c r="F234" s="12" t="s">
        <v>573</v>
      </c>
      <c r="G234" s="12" t="s">
        <v>15</v>
      </c>
      <c r="H234" s="5"/>
      <c r="I234" s="11">
        <v>1442</v>
      </c>
      <c r="J234" s="11">
        <v>1482</v>
      </c>
      <c r="K234" s="11">
        <v>1364</v>
      </c>
      <c r="L234" s="11">
        <v>883</v>
      </c>
      <c r="M234" s="11">
        <v>679</v>
      </c>
      <c r="N234" s="11">
        <v>1050</v>
      </c>
      <c r="O234" s="11">
        <v>2104</v>
      </c>
      <c r="P234" s="11"/>
      <c r="Q234" s="11">
        <v>1075</v>
      </c>
      <c r="R234" s="11">
        <v>1261</v>
      </c>
      <c r="S234" s="11">
        <v>1271</v>
      </c>
      <c r="T234" s="11">
        <v>2145</v>
      </c>
      <c r="U234" s="11">
        <v>2795</v>
      </c>
      <c r="V234" s="11">
        <v>910</v>
      </c>
      <c r="W234" s="11">
        <v>2159</v>
      </c>
      <c r="X234" s="11"/>
      <c r="Y234" s="11">
        <v>0</v>
      </c>
      <c r="Z234" s="11">
        <v>1220</v>
      </c>
      <c r="AA234" s="11">
        <v>1872</v>
      </c>
      <c r="AB234" s="11">
        <v>1528</v>
      </c>
      <c r="AC234" s="17">
        <f t="shared" si="33"/>
        <v>0.21179584552619418</v>
      </c>
      <c r="AD234" s="11">
        <f t="shared" si="34"/>
        <v>1286.2857142857142</v>
      </c>
      <c r="AE234" s="11">
        <f t="shared" si="35"/>
        <v>1659.4285714285713</v>
      </c>
      <c r="AF234" s="28">
        <f t="shared" si="42"/>
        <v>1.2900932918702799</v>
      </c>
      <c r="AG234" s="42">
        <f t="shared" si="36"/>
        <v>0.27011609039682993</v>
      </c>
      <c r="AH234" s="14" t="str">
        <f t="shared" si="37"/>
        <v>-</v>
      </c>
      <c r="AI234" s="11">
        <f t="shared" si="38"/>
        <v>261</v>
      </c>
      <c r="AJ234" s="11">
        <f t="shared" si="39"/>
        <v>261</v>
      </c>
      <c r="AK234" s="11">
        <f t="shared" si="40"/>
        <v>0.40051696162288575</v>
      </c>
      <c r="AL234" s="42">
        <f t="shared" si="41"/>
        <v>0.399032759748641</v>
      </c>
      <c r="AM234" s="14" t="str">
        <f t="shared" si="43"/>
        <v/>
      </c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</row>
    <row r="235" spans="1:56" ht="27" customHeight="1" x14ac:dyDescent="0.2">
      <c r="A235" s="9" t="s">
        <v>356</v>
      </c>
      <c r="B235" s="11">
        <v>1283</v>
      </c>
      <c r="C235" s="2">
        <v>879.50344415234804</v>
      </c>
      <c r="D235" s="2">
        <v>6.7834316666665897</v>
      </c>
      <c r="E235" s="2">
        <v>-1</v>
      </c>
      <c r="F235" s="12" t="s">
        <v>577</v>
      </c>
      <c r="G235" s="12" t="s">
        <v>15</v>
      </c>
      <c r="H235" s="5"/>
      <c r="I235" s="11">
        <v>2139</v>
      </c>
      <c r="J235" s="11">
        <v>1363</v>
      </c>
      <c r="K235" s="11">
        <v>1411</v>
      </c>
      <c r="L235" s="11">
        <v>1274</v>
      </c>
      <c r="M235" s="11">
        <v>1344</v>
      </c>
      <c r="N235" s="11">
        <v>1519</v>
      </c>
      <c r="O235" s="11">
        <v>2532</v>
      </c>
      <c r="P235" s="11"/>
      <c r="Q235" s="11">
        <v>1814</v>
      </c>
      <c r="R235" s="11">
        <v>2132</v>
      </c>
      <c r="S235" s="11">
        <v>1381</v>
      </c>
      <c r="T235" s="11">
        <v>2080</v>
      </c>
      <c r="U235" s="11">
        <v>3455</v>
      </c>
      <c r="V235" s="11">
        <v>863</v>
      </c>
      <c r="W235" s="11">
        <v>2133</v>
      </c>
      <c r="X235" s="11"/>
      <c r="Y235" s="11">
        <v>0</v>
      </c>
      <c r="Z235" s="11">
        <v>1807</v>
      </c>
      <c r="AA235" s="11">
        <v>2223</v>
      </c>
      <c r="AB235" s="11">
        <v>2365</v>
      </c>
      <c r="AC235" s="17">
        <f t="shared" si="33"/>
        <v>0.13604162733185451</v>
      </c>
      <c r="AD235" s="11">
        <f t="shared" si="34"/>
        <v>1654.5714285714287</v>
      </c>
      <c r="AE235" s="11">
        <f t="shared" si="35"/>
        <v>1979.7142857142858</v>
      </c>
      <c r="AF235" s="28">
        <f t="shared" si="42"/>
        <v>1.1965118286997065</v>
      </c>
      <c r="AG235" s="42">
        <f t="shared" si="36"/>
        <v>0.38078482120865564</v>
      </c>
      <c r="AH235" s="14" t="str">
        <f t="shared" si="37"/>
        <v>-</v>
      </c>
      <c r="AI235" s="11">
        <f t="shared" si="38"/>
        <v>290</v>
      </c>
      <c r="AJ235" s="11">
        <f t="shared" si="39"/>
        <v>290</v>
      </c>
      <c r="AK235" s="11">
        <f t="shared" si="40"/>
        <v>0.50815077864741287</v>
      </c>
      <c r="AL235" s="42">
        <f t="shared" si="41"/>
        <v>0.50815077864741287</v>
      </c>
      <c r="AM235" s="14" t="str">
        <f t="shared" si="43"/>
        <v/>
      </c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</row>
    <row r="236" spans="1:56" ht="27" customHeight="1" x14ac:dyDescent="0.2">
      <c r="A236" s="9" t="s">
        <v>356</v>
      </c>
      <c r="B236" s="11">
        <v>202</v>
      </c>
      <c r="C236" s="2">
        <v>482.25378608389099</v>
      </c>
      <c r="D236" s="2">
        <v>7.0372217948717601</v>
      </c>
      <c r="E236" s="2">
        <v>-2</v>
      </c>
      <c r="F236" s="12" t="s">
        <v>226</v>
      </c>
      <c r="G236" s="12" t="s">
        <v>227</v>
      </c>
      <c r="H236" s="5"/>
      <c r="I236" s="11">
        <v>10043</v>
      </c>
      <c r="J236" s="11">
        <v>12946</v>
      </c>
      <c r="K236" s="11">
        <v>8188</v>
      </c>
      <c r="L236" s="11">
        <v>6523</v>
      </c>
      <c r="M236" s="11">
        <v>12294</v>
      </c>
      <c r="N236" s="11">
        <v>15554</v>
      </c>
      <c r="O236" s="11">
        <v>14786</v>
      </c>
      <c r="P236" s="11"/>
      <c r="Q236" s="11">
        <v>12211</v>
      </c>
      <c r="R236" s="11">
        <v>19239</v>
      </c>
      <c r="S236" s="11">
        <v>7810</v>
      </c>
      <c r="T236" s="11">
        <v>12566</v>
      </c>
      <c r="U236" s="11">
        <v>12296</v>
      </c>
      <c r="V236" s="11">
        <v>12225</v>
      </c>
      <c r="W236" s="11">
        <v>14275</v>
      </c>
      <c r="X236" s="11"/>
      <c r="Y236" s="11">
        <v>84</v>
      </c>
      <c r="Z236" s="11">
        <v>11714</v>
      </c>
      <c r="AA236" s="11">
        <v>11708</v>
      </c>
      <c r="AB236" s="11">
        <v>12946</v>
      </c>
      <c r="AC236" s="17">
        <f t="shared" si="33"/>
        <v>5.8818238028285362E-2</v>
      </c>
      <c r="AD236" s="11">
        <f t="shared" si="34"/>
        <v>11476.285714285714</v>
      </c>
      <c r="AE236" s="11">
        <f t="shared" si="35"/>
        <v>12946</v>
      </c>
      <c r="AF236" s="28">
        <f t="shared" si="42"/>
        <v>1.1280653272586949</v>
      </c>
      <c r="AG236" s="42">
        <f t="shared" si="36"/>
        <v>0.43193978475209294</v>
      </c>
      <c r="AH236" s="14" t="str">
        <f t="shared" si="37"/>
        <v>-</v>
      </c>
      <c r="AI236" s="11">
        <f t="shared" si="38"/>
        <v>306</v>
      </c>
      <c r="AJ236" s="11">
        <f t="shared" si="39"/>
        <v>306</v>
      </c>
      <c r="AK236" s="11">
        <f t="shared" si="40"/>
        <v>0.5462767865982352</v>
      </c>
      <c r="AL236" s="42">
        <f t="shared" si="41"/>
        <v>0.5462767865982352</v>
      </c>
      <c r="AM236" s="14" t="str">
        <f t="shared" si="43"/>
        <v/>
      </c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</row>
    <row r="237" spans="1:56" ht="27" customHeight="1" x14ac:dyDescent="0.2">
      <c r="A237" s="9" t="s">
        <v>356</v>
      </c>
      <c r="B237" s="11">
        <v>846</v>
      </c>
      <c r="C237" s="2">
        <v>470.254356923751</v>
      </c>
      <c r="D237" s="2">
        <v>7.0383142857142804</v>
      </c>
      <c r="E237" s="2">
        <v>-2</v>
      </c>
      <c r="F237" s="12" t="s">
        <v>315</v>
      </c>
      <c r="G237" s="12" t="s">
        <v>227</v>
      </c>
      <c r="H237" s="5"/>
      <c r="I237" s="11">
        <v>2558</v>
      </c>
      <c r="J237" s="11">
        <v>2926</v>
      </c>
      <c r="K237" s="11">
        <v>1998</v>
      </c>
      <c r="L237" s="11">
        <v>1389</v>
      </c>
      <c r="M237" s="11">
        <v>3178</v>
      </c>
      <c r="N237" s="11">
        <v>3021</v>
      </c>
      <c r="O237" s="11">
        <v>2927</v>
      </c>
      <c r="P237" s="11"/>
      <c r="Q237" s="11">
        <v>2389</v>
      </c>
      <c r="R237" s="11">
        <v>3897</v>
      </c>
      <c r="S237" s="11">
        <v>1544</v>
      </c>
      <c r="T237" s="11">
        <v>2087</v>
      </c>
      <c r="U237" s="11">
        <v>2503</v>
      </c>
      <c r="V237" s="11">
        <v>2537</v>
      </c>
      <c r="W237" s="11">
        <v>4061</v>
      </c>
      <c r="X237" s="11"/>
      <c r="Y237" s="11">
        <v>9</v>
      </c>
      <c r="Z237" s="11">
        <v>2448</v>
      </c>
      <c r="AA237" s="11">
        <v>2737</v>
      </c>
      <c r="AB237" s="11">
        <v>2259</v>
      </c>
      <c r="AC237" s="17">
        <f t="shared" si="33"/>
        <v>9.7019235350603958E-2</v>
      </c>
      <c r="AD237" s="11">
        <f t="shared" si="34"/>
        <v>2571</v>
      </c>
      <c r="AE237" s="11">
        <f t="shared" si="35"/>
        <v>2716.8571428571427</v>
      </c>
      <c r="AF237" s="28">
        <f t="shared" si="42"/>
        <v>1.0567316775018059</v>
      </c>
      <c r="AG237" s="42">
        <f t="shared" si="36"/>
        <v>0.74002976574508261</v>
      </c>
      <c r="AH237" s="14" t="str">
        <f t="shared" si="37"/>
        <v>-</v>
      </c>
      <c r="AI237" s="11">
        <f t="shared" si="38"/>
        <v>355</v>
      </c>
      <c r="AJ237" s="11">
        <f t="shared" si="39"/>
        <v>355</v>
      </c>
      <c r="AK237" s="11">
        <f t="shared" si="40"/>
        <v>0.80673667420661122</v>
      </c>
      <c r="AL237" s="42">
        <f t="shared" si="41"/>
        <v>0.80673667420661122</v>
      </c>
      <c r="AM237" s="14" t="str">
        <f t="shared" si="43"/>
        <v/>
      </c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</row>
    <row r="238" spans="1:56" ht="27" customHeight="1" x14ac:dyDescent="0.2">
      <c r="A238" s="9" t="s">
        <v>356</v>
      </c>
      <c r="B238" s="11">
        <v>999</v>
      </c>
      <c r="C238" s="2">
        <v>494.25424730684</v>
      </c>
      <c r="D238" s="2">
        <v>7.0085208333333702</v>
      </c>
      <c r="E238" s="2">
        <v>-2</v>
      </c>
      <c r="F238" s="12" t="s">
        <v>325</v>
      </c>
      <c r="G238" s="12" t="s">
        <v>227</v>
      </c>
      <c r="H238" s="5"/>
      <c r="I238" s="11">
        <v>1134</v>
      </c>
      <c r="J238" s="11">
        <v>1468</v>
      </c>
      <c r="K238" s="11">
        <v>743</v>
      </c>
      <c r="L238" s="11">
        <v>894</v>
      </c>
      <c r="M238" s="11">
        <v>1084</v>
      </c>
      <c r="N238" s="11">
        <v>1929</v>
      </c>
      <c r="O238" s="11">
        <v>1865</v>
      </c>
      <c r="P238" s="11"/>
      <c r="Q238" s="11">
        <v>1630</v>
      </c>
      <c r="R238" s="11">
        <v>3333</v>
      </c>
      <c r="S238" s="11">
        <v>1050</v>
      </c>
      <c r="T238" s="11">
        <v>2356</v>
      </c>
      <c r="U238" s="11">
        <v>2067</v>
      </c>
      <c r="V238" s="11">
        <v>1678</v>
      </c>
      <c r="W238" s="11">
        <v>2858</v>
      </c>
      <c r="X238" s="11"/>
      <c r="Y238" s="11">
        <v>0</v>
      </c>
      <c r="Z238" s="11">
        <v>1668</v>
      </c>
      <c r="AA238" s="11">
        <v>1856</v>
      </c>
      <c r="AB238" s="11">
        <v>2314</v>
      </c>
      <c r="AC238" s="17">
        <f t="shared" si="33"/>
        <v>0.17074561857906254</v>
      </c>
      <c r="AD238" s="11">
        <f t="shared" si="34"/>
        <v>1302.4285714285713</v>
      </c>
      <c r="AE238" s="11">
        <f t="shared" si="35"/>
        <v>2138.8571428571427</v>
      </c>
      <c r="AF238" s="28">
        <f t="shared" si="42"/>
        <v>1.642206866293737</v>
      </c>
      <c r="AG238" s="42">
        <f t="shared" si="36"/>
        <v>3.5507722070763116E-2</v>
      </c>
      <c r="AH238" s="14" t="str">
        <f t="shared" si="37"/>
        <v>*</v>
      </c>
      <c r="AI238" s="11">
        <f t="shared" si="38"/>
        <v>142</v>
      </c>
      <c r="AJ238" s="11">
        <f t="shared" si="39"/>
        <v>142</v>
      </c>
      <c r="AK238" s="11">
        <f t="shared" si="40"/>
        <v>9.6771045361868493E-2</v>
      </c>
      <c r="AL238" s="42">
        <f t="shared" si="41"/>
        <v>9.6771045361868493E-2</v>
      </c>
      <c r="AM238" s="14" t="str">
        <f t="shared" si="43"/>
        <v>*</v>
      </c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</row>
    <row r="239" spans="1:56" ht="27" customHeight="1" x14ac:dyDescent="0.2">
      <c r="A239" s="9" t="s">
        <v>356</v>
      </c>
      <c r="B239" s="11">
        <v>2043</v>
      </c>
      <c r="C239" s="2">
        <v>481.24650222380302</v>
      </c>
      <c r="D239" s="2">
        <v>6.8268129629630003</v>
      </c>
      <c r="E239" s="2">
        <v>-2</v>
      </c>
      <c r="F239" s="12" t="s">
        <v>588</v>
      </c>
      <c r="G239" s="12" t="s">
        <v>227</v>
      </c>
      <c r="H239" s="5"/>
      <c r="I239" s="11">
        <v>912</v>
      </c>
      <c r="J239" s="11">
        <v>896</v>
      </c>
      <c r="K239" s="11">
        <v>797</v>
      </c>
      <c r="L239" s="11">
        <v>663</v>
      </c>
      <c r="M239" s="11">
        <v>1052</v>
      </c>
      <c r="N239" s="11">
        <v>1374</v>
      </c>
      <c r="O239" s="11">
        <v>1359</v>
      </c>
      <c r="P239" s="11"/>
      <c r="Q239" s="11">
        <v>1109</v>
      </c>
      <c r="R239" s="11">
        <v>1536</v>
      </c>
      <c r="S239" s="11">
        <v>566</v>
      </c>
      <c r="T239" s="11">
        <v>1168</v>
      </c>
      <c r="U239" s="11">
        <v>1412</v>
      </c>
      <c r="V239" s="11">
        <v>1196</v>
      </c>
      <c r="W239" s="11">
        <v>1445</v>
      </c>
      <c r="X239" s="11"/>
      <c r="Y239" s="11">
        <v>9</v>
      </c>
      <c r="Z239" s="11">
        <v>1144</v>
      </c>
      <c r="AA239" s="11">
        <v>1493</v>
      </c>
      <c r="AB239" s="11">
        <v>1392</v>
      </c>
      <c r="AC239" s="17">
        <f t="shared" si="33"/>
        <v>0.13371975738594849</v>
      </c>
      <c r="AD239" s="11">
        <f t="shared" si="34"/>
        <v>1007.5714285714286</v>
      </c>
      <c r="AE239" s="11">
        <f t="shared" si="35"/>
        <v>1204.5714285714287</v>
      </c>
      <c r="AF239" s="28">
        <f t="shared" si="42"/>
        <v>1.1955196370338863</v>
      </c>
      <c r="AG239" s="42">
        <f t="shared" si="36"/>
        <v>0.24212301708405784</v>
      </c>
      <c r="AH239" s="14" t="str">
        <f t="shared" si="37"/>
        <v>-</v>
      </c>
      <c r="AI239" s="11">
        <f t="shared" si="38"/>
        <v>253</v>
      </c>
      <c r="AJ239" s="11">
        <f t="shared" si="39"/>
        <v>253</v>
      </c>
      <c r="AK239" s="11">
        <f t="shared" si="40"/>
        <v>0.37036208542106869</v>
      </c>
      <c r="AL239" s="42">
        <f t="shared" si="41"/>
        <v>0.37036208542106869</v>
      </c>
      <c r="AM239" s="14" t="str">
        <f t="shared" si="43"/>
        <v/>
      </c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</row>
    <row r="240" spans="1:56" ht="27" customHeight="1" x14ac:dyDescent="0.2">
      <c r="A240" s="9" t="s">
        <v>356</v>
      </c>
      <c r="B240" s="11">
        <v>4329</v>
      </c>
      <c r="C240" s="2">
        <v>480.23868067823099</v>
      </c>
      <c r="D240" s="2">
        <v>6.61425999999999</v>
      </c>
      <c r="E240" s="2">
        <v>-1</v>
      </c>
      <c r="F240" s="12" t="s">
        <v>598</v>
      </c>
      <c r="G240" s="12" t="s">
        <v>227</v>
      </c>
      <c r="H240" s="5"/>
      <c r="I240" s="11">
        <v>216</v>
      </c>
      <c r="J240" s="11">
        <v>393</v>
      </c>
      <c r="K240" s="11">
        <v>124</v>
      </c>
      <c r="L240" s="11">
        <v>420</v>
      </c>
      <c r="M240" s="11">
        <v>364</v>
      </c>
      <c r="N240" s="11">
        <v>727</v>
      </c>
      <c r="O240" s="11">
        <v>656</v>
      </c>
      <c r="P240" s="11"/>
      <c r="Q240" s="11">
        <v>213</v>
      </c>
      <c r="R240" s="11">
        <v>692</v>
      </c>
      <c r="S240" s="11">
        <v>230</v>
      </c>
      <c r="T240" s="11">
        <v>529</v>
      </c>
      <c r="U240" s="11">
        <v>415</v>
      </c>
      <c r="V240" s="11">
        <v>472</v>
      </c>
      <c r="W240" s="11">
        <v>575</v>
      </c>
      <c r="X240" s="11"/>
      <c r="Y240" s="11">
        <v>0</v>
      </c>
      <c r="Z240" s="11">
        <v>402</v>
      </c>
      <c r="AA240" s="11">
        <v>386</v>
      </c>
      <c r="AB240" s="11">
        <v>478</v>
      </c>
      <c r="AC240" s="17">
        <f t="shared" si="33"/>
        <v>0.11647588367245978</v>
      </c>
      <c r="AD240" s="11">
        <f t="shared" si="34"/>
        <v>414.28571428571428</v>
      </c>
      <c r="AE240" s="11">
        <f t="shared" si="35"/>
        <v>446.57142857142856</v>
      </c>
      <c r="AF240" s="28">
        <f t="shared" si="42"/>
        <v>1.0779310344827586</v>
      </c>
      <c r="AG240" s="42">
        <f t="shared" si="36"/>
        <v>0.76552318319376556</v>
      </c>
      <c r="AH240" s="14" t="str">
        <f t="shared" si="37"/>
        <v>-</v>
      </c>
      <c r="AI240" s="11">
        <f t="shared" si="38"/>
        <v>361</v>
      </c>
      <c r="AJ240" s="11">
        <f t="shared" si="39"/>
        <v>361</v>
      </c>
      <c r="AK240" s="11">
        <f t="shared" si="40"/>
        <v>0.82065781688639139</v>
      </c>
      <c r="AL240" s="42">
        <f t="shared" si="41"/>
        <v>0.82065781688639139</v>
      </c>
      <c r="AM240" s="14" t="str">
        <f t="shared" si="43"/>
        <v/>
      </c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</row>
    <row r="241" spans="1:56" ht="27" customHeight="1" x14ac:dyDescent="0.2">
      <c r="A241" s="9" t="s">
        <v>356</v>
      </c>
      <c r="B241" s="11">
        <v>6</v>
      </c>
      <c r="C241" s="2">
        <v>834.52980492779295</v>
      </c>
      <c r="D241" s="2">
        <v>7.5011362745097001</v>
      </c>
      <c r="E241" s="2">
        <v>-1</v>
      </c>
      <c r="F241" s="12" t="s">
        <v>20</v>
      </c>
      <c r="G241" s="12" t="s">
        <v>21</v>
      </c>
      <c r="H241" s="5"/>
      <c r="I241" s="11">
        <v>582164</v>
      </c>
      <c r="J241" s="11">
        <v>549864</v>
      </c>
      <c r="K241" s="11">
        <v>693962</v>
      </c>
      <c r="L241" s="11">
        <v>615361</v>
      </c>
      <c r="M241" s="11">
        <v>692877</v>
      </c>
      <c r="N241" s="11">
        <v>698065</v>
      </c>
      <c r="O241" s="11">
        <v>833258</v>
      </c>
      <c r="P241" s="11"/>
      <c r="Q241" s="11">
        <v>636023</v>
      </c>
      <c r="R241" s="11">
        <v>675988</v>
      </c>
      <c r="S241" s="11">
        <v>619728</v>
      </c>
      <c r="T241" s="11">
        <v>778445</v>
      </c>
      <c r="U241" s="11">
        <v>820618</v>
      </c>
      <c r="V241" s="11">
        <v>759899</v>
      </c>
      <c r="W241" s="11">
        <v>871973</v>
      </c>
      <c r="X241" s="11"/>
      <c r="Y241" s="11">
        <v>108</v>
      </c>
      <c r="Z241" s="11">
        <v>735046</v>
      </c>
      <c r="AA241" s="11">
        <v>714417</v>
      </c>
      <c r="AB241" s="11">
        <v>786032</v>
      </c>
      <c r="AC241" s="17">
        <f t="shared" si="33"/>
        <v>4.9471253473753925E-2</v>
      </c>
      <c r="AD241" s="11">
        <f t="shared" si="34"/>
        <v>666507.28571428568</v>
      </c>
      <c r="AE241" s="11">
        <f t="shared" si="35"/>
        <v>737524.85714285716</v>
      </c>
      <c r="AF241" s="28">
        <f t="shared" si="42"/>
        <v>1.1065518306412254</v>
      </c>
      <c r="AG241" s="42">
        <f t="shared" si="36"/>
        <v>0.1880336111296293</v>
      </c>
      <c r="AH241" s="14" t="str">
        <f t="shared" si="37"/>
        <v>-</v>
      </c>
      <c r="AI241" s="11">
        <f t="shared" si="38"/>
        <v>239</v>
      </c>
      <c r="AJ241" s="11">
        <f t="shared" si="39"/>
        <v>239</v>
      </c>
      <c r="AK241" s="11">
        <f t="shared" si="40"/>
        <v>0.30447283475801895</v>
      </c>
      <c r="AL241" s="42">
        <f t="shared" si="41"/>
        <v>0.30447283475801895</v>
      </c>
      <c r="AM241" s="14" t="str">
        <f t="shared" si="43"/>
        <v/>
      </c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</row>
    <row r="242" spans="1:56" ht="27" customHeight="1" x14ac:dyDescent="0.2">
      <c r="A242" s="9" t="s">
        <v>356</v>
      </c>
      <c r="B242" s="11">
        <v>66</v>
      </c>
      <c r="C242" s="2">
        <v>786.52907635888505</v>
      </c>
      <c r="D242" s="2">
        <v>7.5482454545454498</v>
      </c>
      <c r="E242" s="2">
        <v>-1</v>
      </c>
      <c r="F242" s="12" t="s">
        <v>534</v>
      </c>
      <c r="G242" s="12" t="s">
        <v>21</v>
      </c>
      <c r="H242" s="5"/>
      <c r="I242" s="11">
        <v>41660</v>
      </c>
      <c r="J242" s="11">
        <v>39262</v>
      </c>
      <c r="K242" s="11">
        <v>42367</v>
      </c>
      <c r="L242" s="11">
        <v>45146</v>
      </c>
      <c r="M242" s="11">
        <v>44797</v>
      </c>
      <c r="N242" s="11">
        <v>39297</v>
      </c>
      <c r="O242" s="11">
        <v>48000</v>
      </c>
      <c r="P242" s="11"/>
      <c r="Q242" s="11">
        <v>56592</v>
      </c>
      <c r="R242" s="11">
        <v>54762</v>
      </c>
      <c r="S242" s="11">
        <v>60427</v>
      </c>
      <c r="T242" s="11">
        <v>68202</v>
      </c>
      <c r="U242" s="11">
        <v>62504</v>
      </c>
      <c r="V242" s="11">
        <v>61308</v>
      </c>
      <c r="W242" s="11">
        <v>74392</v>
      </c>
      <c r="X242" s="11"/>
      <c r="Y242" s="11">
        <v>0</v>
      </c>
      <c r="Z242" s="11">
        <v>52278</v>
      </c>
      <c r="AA242" s="11">
        <v>48414</v>
      </c>
      <c r="AB242" s="11">
        <v>54419</v>
      </c>
      <c r="AC242" s="17">
        <f t="shared" si="33"/>
        <v>5.8862734131492858E-2</v>
      </c>
      <c r="AD242" s="11">
        <f t="shared" si="34"/>
        <v>42932.714285714283</v>
      </c>
      <c r="AE242" s="11">
        <f t="shared" si="35"/>
        <v>62598.142857142855</v>
      </c>
      <c r="AF242" s="28">
        <f t="shared" si="42"/>
        <v>1.4580523011090445</v>
      </c>
      <c r="AG242" s="42">
        <f t="shared" si="36"/>
        <v>8.3992601076768238E-5</v>
      </c>
      <c r="AH242" s="14" t="str">
        <f t="shared" si="37"/>
        <v>***</v>
      </c>
      <c r="AI242" s="11">
        <f t="shared" si="38"/>
        <v>4</v>
      </c>
      <c r="AJ242" s="11">
        <f t="shared" si="39"/>
        <v>4</v>
      </c>
      <c r="AK242" s="11">
        <f t="shared" si="40"/>
        <v>8.1262841541773264E-3</v>
      </c>
      <c r="AL242" s="42">
        <f t="shared" si="41"/>
        <v>6.4321232640629205E-3</v>
      </c>
      <c r="AM242" s="14" t="str">
        <f t="shared" si="43"/>
        <v>**</v>
      </c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</row>
    <row r="243" spans="1:56" ht="27" customHeight="1" x14ac:dyDescent="0.2">
      <c r="A243" s="9" t="s">
        <v>356</v>
      </c>
      <c r="B243" s="11">
        <v>76</v>
      </c>
      <c r="C243" s="2">
        <v>836.54344001055199</v>
      </c>
      <c r="D243" s="2">
        <v>7.6189583333334996</v>
      </c>
      <c r="E243" s="2">
        <v>-1</v>
      </c>
      <c r="F243" s="12" t="s">
        <v>536</v>
      </c>
      <c r="G243" s="12" t="s">
        <v>21</v>
      </c>
      <c r="H243" s="5"/>
      <c r="I243" s="11">
        <v>33173</v>
      </c>
      <c r="J243" s="11">
        <v>35119</v>
      </c>
      <c r="K243" s="11">
        <v>53707</v>
      </c>
      <c r="L243" s="11">
        <v>32604</v>
      </c>
      <c r="M243" s="11">
        <v>38247</v>
      </c>
      <c r="N243" s="11">
        <v>52460</v>
      </c>
      <c r="O243" s="11">
        <v>92402</v>
      </c>
      <c r="P243" s="11"/>
      <c r="Q243" s="11">
        <v>84757</v>
      </c>
      <c r="R243" s="11">
        <v>58793</v>
      </c>
      <c r="S243" s="11">
        <v>57269</v>
      </c>
      <c r="T243" s="11">
        <v>65698</v>
      </c>
      <c r="U243" s="11">
        <v>79517</v>
      </c>
      <c r="V243" s="11">
        <v>62173</v>
      </c>
      <c r="W243" s="11">
        <v>79895</v>
      </c>
      <c r="X243" s="11"/>
      <c r="Y243" s="11">
        <v>105</v>
      </c>
      <c r="Z243" s="11">
        <v>55070</v>
      </c>
      <c r="AA243" s="11">
        <v>55617</v>
      </c>
      <c r="AB243" s="11">
        <v>68657</v>
      </c>
      <c r="AC243" s="17">
        <f t="shared" si="33"/>
        <v>0.12865917548834152</v>
      </c>
      <c r="AD243" s="11">
        <f t="shared" si="34"/>
        <v>48244.571428571428</v>
      </c>
      <c r="AE243" s="11">
        <f t="shared" si="35"/>
        <v>69728.857142857145</v>
      </c>
      <c r="AF243" s="28">
        <f t="shared" si="42"/>
        <v>1.4453202728952481</v>
      </c>
      <c r="AG243" s="42">
        <f t="shared" si="36"/>
        <v>4.3010785813189539E-2</v>
      </c>
      <c r="AH243" s="14" t="str">
        <f t="shared" si="37"/>
        <v>*</v>
      </c>
      <c r="AI243" s="11">
        <f t="shared" si="38"/>
        <v>153</v>
      </c>
      <c r="AJ243" s="11">
        <f t="shared" si="39"/>
        <v>153</v>
      </c>
      <c r="AK243" s="11">
        <f t="shared" si="40"/>
        <v>0.10879198764512649</v>
      </c>
      <c r="AL243" s="42">
        <f t="shared" si="41"/>
        <v>0.10879198764512649</v>
      </c>
      <c r="AM243" s="14" t="str">
        <f t="shared" si="43"/>
        <v/>
      </c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</row>
    <row r="244" spans="1:56" ht="27" customHeight="1" x14ac:dyDescent="0.2">
      <c r="A244" s="9" t="s">
        <v>356</v>
      </c>
      <c r="B244" s="11">
        <v>78</v>
      </c>
      <c r="C244" s="2">
        <v>810.52874810252001</v>
      </c>
      <c r="D244" s="2">
        <v>7.5487117647058799</v>
      </c>
      <c r="E244" s="2">
        <v>-1</v>
      </c>
      <c r="F244" s="12" t="s">
        <v>72</v>
      </c>
      <c r="G244" s="12" t="s">
        <v>21</v>
      </c>
      <c r="H244" s="5"/>
      <c r="I244" s="11">
        <v>32378</v>
      </c>
      <c r="J244" s="11">
        <v>40025</v>
      </c>
      <c r="K244" s="11">
        <v>44246</v>
      </c>
      <c r="L244" s="11">
        <v>33406</v>
      </c>
      <c r="M244" s="11">
        <v>38862</v>
      </c>
      <c r="N244" s="11">
        <v>42303</v>
      </c>
      <c r="O244" s="11">
        <v>45621</v>
      </c>
      <c r="P244" s="11"/>
      <c r="Q244" s="11">
        <v>35718</v>
      </c>
      <c r="R244" s="11">
        <v>50837</v>
      </c>
      <c r="S244" s="11">
        <v>36657</v>
      </c>
      <c r="T244" s="11">
        <v>49061</v>
      </c>
      <c r="U244" s="11">
        <v>53428</v>
      </c>
      <c r="V244" s="11">
        <v>46586</v>
      </c>
      <c r="W244" s="11">
        <v>53457</v>
      </c>
      <c r="X244" s="11"/>
      <c r="Y244" s="11">
        <v>12</v>
      </c>
      <c r="Z244" s="11">
        <v>49065</v>
      </c>
      <c r="AA244" s="11">
        <v>52414</v>
      </c>
      <c r="AB244" s="11">
        <v>60670</v>
      </c>
      <c r="AC244" s="17">
        <f t="shared" si="33"/>
        <v>0.11050765968483757</v>
      </c>
      <c r="AD244" s="11">
        <f t="shared" si="34"/>
        <v>39548.714285714283</v>
      </c>
      <c r="AE244" s="11">
        <f t="shared" si="35"/>
        <v>46534.857142857145</v>
      </c>
      <c r="AF244" s="28">
        <f t="shared" si="42"/>
        <v>1.1766465227332659</v>
      </c>
      <c r="AG244" s="42">
        <f t="shared" si="36"/>
        <v>6.6757270215938289E-2</v>
      </c>
      <c r="AH244" s="14" t="str">
        <f t="shared" si="37"/>
        <v>-</v>
      </c>
      <c r="AI244" s="11">
        <f t="shared" si="38"/>
        <v>178</v>
      </c>
      <c r="AJ244" s="11">
        <f t="shared" si="39"/>
        <v>178</v>
      </c>
      <c r="AK244" s="11">
        <f t="shared" si="40"/>
        <v>0.14514080659307932</v>
      </c>
      <c r="AL244" s="42">
        <f t="shared" si="41"/>
        <v>0.14486585167607827</v>
      </c>
      <c r="AM244" s="14" t="str">
        <f t="shared" si="43"/>
        <v/>
      </c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</row>
    <row r="245" spans="1:56" ht="27" customHeight="1" x14ac:dyDescent="0.2">
      <c r="A245" s="9" t="s">
        <v>356</v>
      </c>
      <c r="B245" s="11">
        <v>85</v>
      </c>
      <c r="C245" s="2">
        <v>812.54401590421401</v>
      </c>
      <c r="D245" s="2">
        <v>7.6987823529411701</v>
      </c>
      <c r="E245" s="2">
        <v>-1</v>
      </c>
      <c r="F245" s="12" t="s">
        <v>95</v>
      </c>
      <c r="G245" s="12" t="s">
        <v>21</v>
      </c>
      <c r="H245" s="5"/>
      <c r="I245" s="11">
        <v>26229</v>
      </c>
      <c r="J245" s="11">
        <v>33968</v>
      </c>
      <c r="K245" s="11">
        <v>34649</v>
      </c>
      <c r="L245" s="11">
        <v>26854</v>
      </c>
      <c r="M245" s="11">
        <v>30118</v>
      </c>
      <c r="N245" s="11">
        <v>38013</v>
      </c>
      <c r="O245" s="11">
        <v>46608</v>
      </c>
      <c r="P245" s="11"/>
      <c r="Q245" s="11">
        <v>29525</v>
      </c>
      <c r="R245" s="11">
        <v>45767</v>
      </c>
      <c r="S245" s="11">
        <v>31305</v>
      </c>
      <c r="T245" s="11">
        <v>44080</v>
      </c>
      <c r="U245" s="11">
        <v>39466</v>
      </c>
      <c r="V245" s="11">
        <v>44834</v>
      </c>
      <c r="W245" s="11">
        <v>52820</v>
      </c>
      <c r="X245" s="11"/>
      <c r="Y245" s="11">
        <v>87</v>
      </c>
      <c r="Z245" s="11">
        <v>33845</v>
      </c>
      <c r="AA245" s="11">
        <v>43279</v>
      </c>
      <c r="AB245" s="11">
        <v>41550</v>
      </c>
      <c r="AC245" s="17">
        <f t="shared" si="33"/>
        <v>0.12696705576726652</v>
      </c>
      <c r="AD245" s="11">
        <f t="shared" si="34"/>
        <v>33777</v>
      </c>
      <c r="AE245" s="11">
        <f t="shared" si="35"/>
        <v>41113.857142857145</v>
      </c>
      <c r="AF245" s="28">
        <f t="shared" si="42"/>
        <v>1.2172145881178655</v>
      </c>
      <c r="AG245" s="42">
        <f t="shared" si="36"/>
        <v>0.10158114344765028</v>
      </c>
      <c r="AH245" s="14" t="str">
        <f t="shared" si="37"/>
        <v>-</v>
      </c>
      <c r="AI245" s="11">
        <f t="shared" si="38"/>
        <v>199</v>
      </c>
      <c r="AJ245" s="11">
        <f t="shared" si="39"/>
        <v>199</v>
      </c>
      <c r="AK245" s="11">
        <f t="shared" si="40"/>
        <v>0.19754724881527969</v>
      </c>
      <c r="AL245" s="42">
        <f t="shared" si="41"/>
        <v>0.19754724881527969</v>
      </c>
      <c r="AM245" s="14" t="str">
        <f t="shared" si="43"/>
        <v/>
      </c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</row>
    <row r="246" spans="1:56" ht="27" customHeight="1" x14ac:dyDescent="0.2">
      <c r="A246" s="9" t="s">
        <v>356</v>
      </c>
      <c r="B246" s="11">
        <v>112</v>
      </c>
      <c r="C246" s="2">
        <v>788.544653966086</v>
      </c>
      <c r="D246" s="2">
        <v>7.8452988095237801</v>
      </c>
      <c r="E246" s="2">
        <v>-1</v>
      </c>
      <c r="F246" s="12" t="s">
        <v>538</v>
      </c>
      <c r="G246" s="12" t="s">
        <v>21</v>
      </c>
      <c r="H246" s="5"/>
      <c r="I246" s="11">
        <v>30515</v>
      </c>
      <c r="J246" s="11">
        <v>25159</v>
      </c>
      <c r="K246" s="11">
        <v>32130</v>
      </c>
      <c r="L246" s="11">
        <v>21251</v>
      </c>
      <c r="M246" s="11">
        <v>19133</v>
      </c>
      <c r="N246" s="11">
        <v>26972</v>
      </c>
      <c r="O246" s="11">
        <v>22450</v>
      </c>
      <c r="P246" s="11"/>
      <c r="Q246" s="11">
        <v>38898</v>
      </c>
      <c r="R246" s="11">
        <v>31401</v>
      </c>
      <c r="S246" s="11">
        <v>35013</v>
      </c>
      <c r="T246" s="11">
        <v>35665</v>
      </c>
      <c r="U246" s="11">
        <v>30921</v>
      </c>
      <c r="V246" s="11">
        <v>31045</v>
      </c>
      <c r="W246" s="11">
        <v>34711</v>
      </c>
      <c r="X246" s="11"/>
      <c r="Y246" s="11">
        <v>250</v>
      </c>
      <c r="Z246" s="11">
        <v>29739</v>
      </c>
      <c r="AA246" s="11">
        <v>26156</v>
      </c>
      <c r="AB246" s="11">
        <v>35838</v>
      </c>
      <c r="AC246" s="17">
        <f t="shared" si="33"/>
        <v>0.16009009437482344</v>
      </c>
      <c r="AD246" s="11">
        <f t="shared" si="34"/>
        <v>25372.857142857141</v>
      </c>
      <c r="AE246" s="11">
        <f t="shared" si="35"/>
        <v>33950.571428571428</v>
      </c>
      <c r="AF246" s="28">
        <f t="shared" si="42"/>
        <v>1.3380665503068521</v>
      </c>
      <c r="AG246" s="42">
        <f t="shared" si="36"/>
        <v>2.485630822743039E-3</v>
      </c>
      <c r="AH246" s="14" t="str">
        <f t="shared" si="37"/>
        <v>**</v>
      </c>
      <c r="AI246" s="11">
        <f t="shared" si="38"/>
        <v>33</v>
      </c>
      <c r="AJ246" s="11">
        <f t="shared" si="39"/>
        <v>33</v>
      </c>
      <c r="AK246" s="11">
        <f t="shared" si="40"/>
        <v>2.9149670557622912E-2</v>
      </c>
      <c r="AL246" s="42">
        <f t="shared" si="41"/>
        <v>2.8264250137547287E-2</v>
      </c>
      <c r="AM246" s="14" t="str">
        <f t="shared" si="43"/>
        <v>**</v>
      </c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</row>
    <row r="247" spans="1:56" ht="27" customHeight="1" x14ac:dyDescent="0.2">
      <c r="A247" s="9" t="s">
        <v>356</v>
      </c>
      <c r="B247" s="11">
        <v>124</v>
      </c>
      <c r="C247" s="2">
        <v>848.54299829461195</v>
      </c>
      <c r="D247" s="2">
        <v>7.72830833333337</v>
      </c>
      <c r="E247" s="2">
        <v>-1</v>
      </c>
      <c r="F247" s="12" t="s">
        <v>107</v>
      </c>
      <c r="G247" s="12" t="s">
        <v>21</v>
      </c>
      <c r="H247" s="5"/>
      <c r="I247" s="11">
        <v>24382</v>
      </c>
      <c r="J247" s="11">
        <v>25899</v>
      </c>
      <c r="K247" s="11">
        <v>34371</v>
      </c>
      <c r="L247" s="11">
        <v>24124</v>
      </c>
      <c r="M247" s="11">
        <v>31067</v>
      </c>
      <c r="N247" s="11">
        <v>32119</v>
      </c>
      <c r="O247" s="11">
        <v>33535</v>
      </c>
      <c r="P247" s="11"/>
      <c r="Q247" s="11">
        <v>17927</v>
      </c>
      <c r="R247" s="11">
        <v>24207</v>
      </c>
      <c r="S247" s="11">
        <v>19082</v>
      </c>
      <c r="T247" s="11">
        <v>23663</v>
      </c>
      <c r="U247" s="11">
        <v>22195</v>
      </c>
      <c r="V247" s="11">
        <v>24493</v>
      </c>
      <c r="W247" s="11">
        <v>21998</v>
      </c>
      <c r="X247" s="11"/>
      <c r="Y247" s="11">
        <v>233</v>
      </c>
      <c r="Z247" s="11">
        <v>24258</v>
      </c>
      <c r="AA247" s="11">
        <v>30422</v>
      </c>
      <c r="AB247" s="11">
        <v>34176</v>
      </c>
      <c r="AC247" s="17">
        <f t="shared" si="33"/>
        <v>0.16906781353360711</v>
      </c>
      <c r="AD247" s="11">
        <f t="shared" si="34"/>
        <v>29356.714285714286</v>
      </c>
      <c r="AE247" s="11">
        <f t="shared" si="35"/>
        <v>21937.857142857141</v>
      </c>
      <c r="AF247" s="28">
        <f t="shared" si="42"/>
        <v>0.74728584845520851</v>
      </c>
      <c r="AG247" s="42">
        <f t="shared" si="36"/>
        <v>3.4866385530725823E-3</v>
      </c>
      <c r="AH247" s="14" t="str">
        <f t="shared" si="37"/>
        <v>**</v>
      </c>
      <c r="AI247" s="11">
        <f t="shared" si="38"/>
        <v>40</v>
      </c>
      <c r="AJ247" s="11">
        <f t="shared" si="39"/>
        <v>40</v>
      </c>
      <c r="AK247" s="11">
        <f t="shared" si="40"/>
        <v>3.3733228000977236E-2</v>
      </c>
      <c r="AL247" s="42">
        <f t="shared" si="41"/>
        <v>3.2330070061871032E-2</v>
      </c>
      <c r="AM247" s="14" t="str">
        <f t="shared" si="43"/>
        <v>**</v>
      </c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</row>
    <row r="248" spans="1:56" ht="27" customHeight="1" x14ac:dyDescent="0.2">
      <c r="A248" s="9" t="s">
        <v>356</v>
      </c>
      <c r="B248" s="11">
        <v>223</v>
      </c>
      <c r="C248" s="2">
        <v>806.49596636736896</v>
      </c>
      <c r="D248" s="2">
        <v>7.1316011904762098</v>
      </c>
      <c r="E248" s="2">
        <v>-1</v>
      </c>
      <c r="F248" s="12" t="s">
        <v>143</v>
      </c>
      <c r="G248" s="12" t="s">
        <v>21</v>
      </c>
      <c r="H248" s="5"/>
      <c r="I248" s="11">
        <v>10795</v>
      </c>
      <c r="J248" s="11">
        <v>12568</v>
      </c>
      <c r="K248" s="11">
        <v>13782</v>
      </c>
      <c r="L248" s="11">
        <v>8951</v>
      </c>
      <c r="M248" s="11">
        <v>8662</v>
      </c>
      <c r="N248" s="11">
        <v>10526</v>
      </c>
      <c r="O248" s="11">
        <v>12253</v>
      </c>
      <c r="P248" s="11"/>
      <c r="Q248" s="11">
        <v>12184</v>
      </c>
      <c r="R248" s="11">
        <v>17707</v>
      </c>
      <c r="S248" s="11">
        <v>10019</v>
      </c>
      <c r="T248" s="11">
        <v>1159</v>
      </c>
      <c r="U248" s="11">
        <v>9704</v>
      </c>
      <c r="V248" s="11">
        <v>9652</v>
      </c>
      <c r="W248" s="11">
        <v>13179</v>
      </c>
      <c r="X248" s="11"/>
      <c r="Y248" s="11">
        <v>251</v>
      </c>
      <c r="Z248" s="11">
        <v>10243</v>
      </c>
      <c r="AA248" s="11">
        <v>15036</v>
      </c>
      <c r="AB248" s="11">
        <v>13422</v>
      </c>
      <c r="AC248" s="17">
        <f t="shared" si="33"/>
        <v>0.18904252707167274</v>
      </c>
      <c r="AD248" s="11">
        <f t="shared" si="34"/>
        <v>11076.714285714286</v>
      </c>
      <c r="AE248" s="11">
        <f t="shared" si="35"/>
        <v>10514.857142857143</v>
      </c>
      <c r="AF248" s="28">
        <f t="shared" si="42"/>
        <v>0.94927582960393098</v>
      </c>
      <c r="AG248" s="42">
        <f t="shared" si="36"/>
        <v>0.78887277223105445</v>
      </c>
      <c r="AH248" s="14" t="str">
        <f t="shared" si="37"/>
        <v>-</v>
      </c>
      <c r="AI248" s="11">
        <f t="shared" si="38"/>
        <v>364</v>
      </c>
      <c r="AJ248" s="11">
        <f t="shared" si="39"/>
        <v>364</v>
      </c>
      <c r="AK248" s="11">
        <f t="shared" si="40"/>
        <v>0.83871912871818144</v>
      </c>
      <c r="AL248" s="42">
        <f t="shared" si="41"/>
        <v>0.83678458820229773</v>
      </c>
      <c r="AM248" s="14" t="str">
        <f t="shared" si="43"/>
        <v/>
      </c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</row>
    <row r="249" spans="1:56" ht="27" customHeight="1" x14ac:dyDescent="0.2">
      <c r="A249" s="9" t="s">
        <v>356</v>
      </c>
      <c r="B249" s="11">
        <v>227</v>
      </c>
      <c r="C249" s="2">
        <v>808.51294123808896</v>
      </c>
      <c r="D249" s="2">
        <v>7.3245590909091796</v>
      </c>
      <c r="E249" s="2">
        <v>-1</v>
      </c>
      <c r="F249" s="12" t="s">
        <v>147</v>
      </c>
      <c r="G249" s="12" t="s">
        <v>21</v>
      </c>
      <c r="H249" s="5"/>
      <c r="I249" s="11">
        <v>9549</v>
      </c>
      <c r="J249" s="11">
        <v>8940</v>
      </c>
      <c r="K249" s="11">
        <v>11270</v>
      </c>
      <c r="L249" s="11">
        <v>8954</v>
      </c>
      <c r="M249" s="11">
        <v>9993</v>
      </c>
      <c r="N249" s="11">
        <v>9917</v>
      </c>
      <c r="O249" s="11">
        <v>11815</v>
      </c>
      <c r="P249" s="11"/>
      <c r="Q249" s="11">
        <v>13549</v>
      </c>
      <c r="R249" s="11">
        <v>13547</v>
      </c>
      <c r="S249" s="11">
        <v>10900</v>
      </c>
      <c r="T249" s="11">
        <v>15243</v>
      </c>
      <c r="U249" s="11">
        <v>17512</v>
      </c>
      <c r="V249" s="11">
        <v>14777</v>
      </c>
      <c r="W249" s="11">
        <v>17109</v>
      </c>
      <c r="X249" s="11"/>
      <c r="Y249" s="11">
        <v>157</v>
      </c>
      <c r="Z249" s="11">
        <v>12928</v>
      </c>
      <c r="AA249" s="11">
        <v>16262</v>
      </c>
      <c r="AB249" s="11">
        <v>15711</v>
      </c>
      <c r="AC249" s="17">
        <f t="shared" si="33"/>
        <v>0.11940856649505728</v>
      </c>
      <c r="AD249" s="11">
        <f t="shared" si="34"/>
        <v>10062.571428571429</v>
      </c>
      <c r="AE249" s="11">
        <f t="shared" si="35"/>
        <v>14662.428571428571</v>
      </c>
      <c r="AF249" s="28">
        <f t="shared" si="42"/>
        <v>1.4571254152588089</v>
      </c>
      <c r="AG249" s="42">
        <f t="shared" si="36"/>
        <v>1.0655864812099426E-3</v>
      </c>
      <c r="AH249" s="14" t="str">
        <f t="shared" si="37"/>
        <v>**</v>
      </c>
      <c r="AI249" s="11">
        <f t="shared" si="38"/>
        <v>23</v>
      </c>
      <c r="AJ249" s="11">
        <f t="shared" si="39"/>
        <v>23</v>
      </c>
      <c r="AK249" s="11">
        <f t="shared" si="40"/>
        <v>1.7929650792532514E-2</v>
      </c>
      <c r="AL249" s="42">
        <f t="shared" si="41"/>
        <v>1.7929650792532514E-2</v>
      </c>
      <c r="AM249" s="14" t="str">
        <f t="shared" si="43"/>
        <v>**</v>
      </c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</row>
    <row r="250" spans="1:56" ht="27" customHeight="1" x14ac:dyDescent="0.2">
      <c r="A250" s="9" t="s">
        <v>356</v>
      </c>
      <c r="B250" s="11">
        <v>264</v>
      </c>
      <c r="C250" s="2">
        <v>830.49623248681405</v>
      </c>
      <c r="D250" s="2">
        <v>6.9538637254902902</v>
      </c>
      <c r="E250" s="2">
        <v>-1</v>
      </c>
      <c r="F250" s="12" t="s">
        <v>162</v>
      </c>
      <c r="G250" s="12" t="s">
        <v>21</v>
      </c>
      <c r="H250" s="5"/>
      <c r="I250" s="11">
        <v>6720</v>
      </c>
      <c r="J250" s="11">
        <v>5821</v>
      </c>
      <c r="K250" s="11">
        <v>14250</v>
      </c>
      <c r="L250" s="11">
        <v>7165</v>
      </c>
      <c r="M250" s="11">
        <v>5405</v>
      </c>
      <c r="N250" s="11">
        <v>5870</v>
      </c>
      <c r="O250" s="11">
        <v>6784</v>
      </c>
      <c r="P250" s="11"/>
      <c r="Q250" s="11">
        <v>3664</v>
      </c>
      <c r="R250" s="11">
        <v>5977</v>
      </c>
      <c r="S250" s="11">
        <v>3919</v>
      </c>
      <c r="T250" s="11">
        <v>4072</v>
      </c>
      <c r="U250" s="11">
        <v>5835</v>
      </c>
      <c r="V250" s="11">
        <v>5338</v>
      </c>
      <c r="W250" s="11">
        <v>7106</v>
      </c>
      <c r="X250" s="11"/>
      <c r="Y250" s="11">
        <v>122</v>
      </c>
      <c r="Z250" s="11">
        <v>5922</v>
      </c>
      <c r="AA250" s="11">
        <v>6077</v>
      </c>
      <c r="AB250" s="11">
        <v>7761</v>
      </c>
      <c r="AC250" s="17">
        <f t="shared" si="33"/>
        <v>0.15485088197683169</v>
      </c>
      <c r="AD250" s="11">
        <f t="shared" si="34"/>
        <v>7430.7142857142853</v>
      </c>
      <c r="AE250" s="11">
        <f t="shared" si="35"/>
        <v>5130.1428571428569</v>
      </c>
      <c r="AF250" s="28">
        <f t="shared" si="42"/>
        <v>0.69039700086513511</v>
      </c>
      <c r="AG250" s="42">
        <f t="shared" si="36"/>
        <v>0.10479950944021903</v>
      </c>
      <c r="AH250" s="14" t="str">
        <f t="shared" si="37"/>
        <v>-</v>
      </c>
      <c r="AI250" s="11">
        <f t="shared" si="38"/>
        <v>201</v>
      </c>
      <c r="AJ250" s="11">
        <f t="shared" si="39"/>
        <v>201</v>
      </c>
      <c r="AK250" s="11">
        <f t="shared" si="40"/>
        <v>0.20177815996698886</v>
      </c>
      <c r="AL250" s="42">
        <f t="shared" si="41"/>
        <v>0.20177815996698886</v>
      </c>
      <c r="AM250" s="14" t="str">
        <f t="shared" si="43"/>
        <v/>
      </c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</row>
    <row r="251" spans="1:56" ht="27" customHeight="1" x14ac:dyDescent="0.2">
      <c r="A251" s="9" t="s">
        <v>356</v>
      </c>
      <c r="B251" s="11">
        <v>349</v>
      </c>
      <c r="C251" s="2">
        <v>820.51352266603999</v>
      </c>
      <c r="D251" s="2">
        <v>7.30504117647064</v>
      </c>
      <c r="E251" s="2">
        <v>-1</v>
      </c>
      <c r="F251" s="12" t="s">
        <v>194</v>
      </c>
      <c r="G251" s="12" t="s">
        <v>21</v>
      </c>
      <c r="H251" s="5"/>
      <c r="I251" s="11">
        <v>6741</v>
      </c>
      <c r="J251" s="11">
        <v>2972</v>
      </c>
      <c r="K251" s="11">
        <v>9221</v>
      </c>
      <c r="L251" s="11">
        <v>7059</v>
      </c>
      <c r="M251" s="11">
        <v>7346</v>
      </c>
      <c r="N251" s="11">
        <v>7108</v>
      </c>
      <c r="O251" s="11">
        <v>10407</v>
      </c>
      <c r="P251" s="11"/>
      <c r="Q251" s="11">
        <v>5295</v>
      </c>
      <c r="R251" s="11">
        <v>10056</v>
      </c>
      <c r="S251" s="11">
        <v>5220</v>
      </c>
      <c r="T251" s="11">
        <v>5469</v>
      </c>
      <c r="U251" s="11">
        <v>5868</v>
      </c>
      <c r="V251" s="11">
        <v>6629</v>
      </c>
      <c r="W251" s="11">
        <v>7422</v>
      </c>
      <c r="X251" s="11"/>
      <c r="Y251" s="11">
        <v>237</v>
      </c>
      <c r="Z251" s="11">
        <v>7029</v>
      </c>
      <c r="AA251" s="11">
        <v>7295</v>
      </c>
      <c r="AB251" s="11">
        <v>7925</v>
      </c>
      <c r="AC251" s="17">
        <f t="shared" si="33"/>
        <v>6.2046556325988968E-2</v>
      </c>
      <c r="AD251" s="11">
        <f t="shared" si="34"/>
        <v>7264.8571428571431</v>
      </c>
      <c r="AE251" s="11">
        <f t="shared" si="35"/>
        <v>6565.5714285714284</v>
      </c>
      <c r="AF251" s="28">
        <f t="shared" si="42"/>
        <v>0.9037440515986942</v>
      </c>
      <c r="AG251" s="42">
        <f t="shared" si="36"/>
        <v>0.53663622895785457</v>
      </c>
      <c r="AH251" s="14" t="str">
        <f t="shared" si="37"/>
        <v>-</v>
      </c>
      <c r="AI251" s="11">
        <f t="shared" si="38"/>
        <v>330</v>
      </c>
      <c r="AJ251" s="11">
        <f t="shared" si="39"/>
        <v>330</v>
      </c>
      <c r="AK251" s="11">
        <f t="shared" si="40"/>
        <v>0.629327941232393</v>
      </c>
      <c r="AL251" s="42">
        <f t="shared" si="41"/>
        <v>0.6274869859858111</v>
      </c>
      <c r="AM251" s="14" t="str">
        <f t="shared" si="43"/>
        <v/>
      </c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</row>
    <row r="252" spans="1:56" ht="27" customHeight="1" x14ac:dyDescent="0.2">
      <c r="A252" s="9" t="s">
        <v>356</v>
      </c>
      <c r="B252" s="11">
        <v>369</v>
      </c>
      <c r="C252" s="2">
        <v>838.55758620144297</v>
      </c>
      <c r="D252" s="2">
        <v>7.8837607142856401</v>
      </c>
      <c r="E252" s="2">
        <v>-2</v>
      </c>
      <c r="F252" s="12" t="s">
        <v>165</v>
      </c>
      <c r="G252" s="12" t="s">
        <v>21</v>
      </c>
      <c r="H252" s="5"/>
      <c r="I252" s="11">
        <v>6416</v>
      </c>
      <c r="J252" s="11">
        <v>4299</v>
      </c>
      <c r="K252" s="11">
        <v>6483</v>
      </c>
      <c r="L252" s="11">
        <v>4966</v>
      </c>
      <c r="M252" s="11">
        <v>4122</v>
      </c>
      <c r="N252" s="11">
        <v>6353</v>
      </c>
      <c r="O252" s="11">
        <v>7502</v>
      </c>
      <c r="P252" s="11"/>
      <c r="Q252" s="11">
        <v>4729</v>
      </c>
      <c r="R252" s="11">
        <v>9891</v>
      </c>
      <c r="S252" s="11">
        <v>5609</v>
      </c>
      <c r="T252" s="11">
        <v>7986</v>
      </c>
      <c r="U252" s="11">
        <v>4892</v>
      </c>
      <c r="V252" s="11">
        <v>8178</v>
      </c>
      <c r="W252" s="11">
        <v>8870</v>
      </c>
      <c r="X252" s="11"/>
      <c r="Y252" s="11">
        <v>0</v>
      </c>
      <c r="Z252" s="11">
        <v>6608</v>
      </c>
      <c r="AA252" s="11">
        <v>6037</v>
      </c>
      <c r="AB252" s="11">
        <v>9057</v>
      </c>
      <c r="AC252" s="17">
        <f t="shared" si="33"/>
        <v>0.22178203157257478</v>
      </c>
      <c r="AD252" s="11">
        <f t="shared" si="34"/>
        <v>5734.4285714285716</v>
      </c>
      <c r="AE252" s="11">
        <f t="shared" si="35"/>
        <v>7165</v>
      </c>
      <c r="AF252" s="28">
        <f t="shared" si="42"/>
        <v>1.2494706160783238</v>
      </c>
      <c r="AG252" s="42">
        <f t="shared" si="36"/>
        <v>0.14992099390242627</v>
      </c>
      <c r="AH252" s="14" t="str">
        <f t="shared" si="37"/>
        <v>-</v>
      </c>
      <c r="AI252" s="11">
        <f t="shared" si="38"/>
        <v>225</v>
      </c>
      <c r="AJ252" s="11">
        <f t="shared" si="39"/>
        <v>225</v>
      </c>
      <c r="AK252" s="11">
        <f t="shared" si="40"/>
        <v>0.2578641095121732</v>
      </c>
      <c r="AL252" s="42">
        <f t="shared" si="41"/>
        <v>0.2578641095121732</v>
      </c>
      <c r="AM252" s="14" t="str">
        <f t="shared" si="43"/>
        <v/>
      </c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</row>
    <row r="253" spans="1:56" ht="27" customHeight="1" x14ac:dyDescent="0.2">
      <c r="A253" s="9" t="s">
        <v>356</v>
      </c>
      <c r="B253" s="11">
        <v>371</v>
      </c>
      <c r="C253" s="2">
        <v>880.512098574319</v>
      </c>
      <c r="D253" s="2">
        <v>6.9970385416666199</v>
      </c>
      <c r="E253" s="2">
        <v>-1</v>
      </c>
      <c r="F253" s="12" t="s">
        <v>196</v>
      </c>
      <c r="G253" s="12" t="s">
        <v>21</v>
      </c>
      <c r="H253" s="5"/>
      <c r="I253" s="11">
        <v>5129</v>
      </c>
      <c r="J253" s="11">
        <v>4911</v>
      </c>
      <c r="K253" s="11">
        <v>6310</v>
      </c>
      <c r="L253" s="11">
        <v>6761</v>
      </c>
      <c r="M253" s="11">
        <v>7563</v>
      </c>
      <c r="N253" s="11">
        <v>6962</v>
      </c>
      <c r="O253" s="11">
        <v>9825</v>
      </c>
      <c r="P253" s="11"/>
      <c r="Q253" s="11">
        <v>7329</v>
      </c>
      <c r="R253" s="11">
        <v>7615</v>
      </c>
      <c r="S253" s="11">
        <v>5449</v>
      </c>
      <c r="T253" s="11">
        <v>7717</v>
      </c>
      <c r="U253" s="11">
        <v>8567</v>
      </c>
      <c r="V253" s="11">
        <v>5241</v>
      </c>
      <c r="W253" s="11">
        <v>9732</v>
      </c>
      <c r="X253" s="11"/>
      <c r="Y253" s="11">
        <v>46</v>
      </c>
      <c r="Z253" s="11">
        <v>6630</v>
      </c>
      <c r="AA253" s="11">
        <v>7047</v>
      </c>
      <c r="AB253" s="11">
        <v>8554</v>
      </c>
      <c r="AC253" s="17">
        <f t="shared" si="33"/>
        <v>0.13658661245187553</v>
      </c>
      <c r="AD253" s="11">
        <f t="shared" si="34"/>
        <v>6780.1428571428569</v>
      </c>
      <c r="AE253" s="11">
        <f t="shared" si="35"/>
        <v>7378.5714285714284</v>
      </c>
      <c r="AF253" s="28">
        <f t="shared" si="42"/>
        <v>1.0882619413834518</v>
      </c>
      <c r="AG253" s="42">
        <f t="shared" si="36"/>
        <v>0.50453957852428588</v>
      </c>
      <c r="AH253" s="14" t="str">
        <f t="shared" si="37"/>
        <v>-</v>
      </c>
      <c r="AI253" s="11">
        <f t="shared" si="38"/>
        <v>322</v>
      </c>
      <c r="AJ253" s="11">
        <f t="shared" si="39"/>
        <v>322</v>
      </c>
      <c r="AK253" s="11">
        <f t="shared" si="40"/>
        <v>0.60638763008974728</v>
      </c>
      <c r="AL253" s="42">
        <f t="shared" si="41"/>
        <v>0.60638763008974728</v>
      </c>
      <c r="AM253" s="14" t="str">
        <f t="shared" si="43"/>
        <v/>
      </c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</row>
    <row r="254" spans="1:56" ht="27" customHeight="1" x14ac:dyDescent="0.2">
      <c r="A254" s="9" t="s">
        <v>356</v>
      </c>
      <c r="B254" s="11">
        <v>410</v>
      </c>
      <c r="C254" s="2">
        <v>760.51238252096402</v>
      </c>
      <c r="D254" s="2">
        <v>7.4077229166666196</v>
      </c>
      <c r="E254" s="2">
        <v>-1</v>
      </c>
      <c r="F254" s="12" t="s">
        <v>551</v>
      </c>
      <c r="G254" s="12" t="s">
        <v>21</v>
      </c>
      <c r="H254" s="5"/>
      <c r="I254" s="11">
        <v>3690</v>
      </c>
      <c r="J254" s="11">
        <v>3232</v>
      </c>
      <c r="K254" s="11">
        <v>5245</v>
      </c>
      <c r="L254" s="11">
        <v>4784</v>
      </c>
      <c r="M254" s="11">
        <v>4027</v>
      </c>
      <c r="N254" s="11">
        <v>5928</v>
      </c>
      <c r="O254" s="11">
        <v>4834</v>
      </c>
      <c r="P254" s="11"/>
      <c r="Q254" s="11">
        <v>5440</v>
      </c>
      <c r="R254" s="11">
        <v>8812</v>
      </c>
      <c r="S254" s="11">
        <v>5438</v>
      </c>
      <c r="T254" s="11">
        <v>7351</v>
      </c>
      <c r="U254" s="11">
        <v>6811</v>
      </c>
      <c r="V254" s="11">
        <v>6557</v>
      </c>
      <c r="W254" s="11">
        <v>8955</v>
      </c>
      <c r="X254" s="11"/>
      <c r="Y254" s="11">
        <v>0</v>
      </c>
      <c r="Z254" s="11">
        <v>5781</v>
      </c>
      <c r="AA254" s="11">
        <v>6183</v>
      </c>
      <c r="AB254" s="11">
        <v>8481</v>
      </c>
      <c r="AC254" s="17">
        <f t="shared" si="33"/>
        <v>0.21375377239505863</v>
      </c>
      <c r="AD254" s="11">
        <f t="shared" si="34"/>
        <v>4534.2857142857147</v>
      </c>
      <c r="AE254" s="11">
        <f t="shared" si="35"/>
        <v>7052</v>
      </c>
      <c r="AF254" s="28">
        <f t="shared" si="42"/>
        <v>1.5552614996849401</v>
      </c>
      <c r="AG254" s="42">
        <f t="shared" si="36"/>
        <v>2.8209465789843491E-3</v>
      </c>
      <c r="AH254" s="14" t="str">
        <f t="shared" si="37"/>
        <v>**</v>
      </c>
      <c r="AI254" s="11">
        <f t="shared" si="38"/>
        <v>36</v>
      </c>
      <c r="AJ254" s="11">
        <f t="shared" si="39"/>
        <v>36</v>
      </c>
      <c r="AK254" s="11">
        <f t="shared" si="40"/>
        <v>3.0325175724081752E-2</v>
      </c>
      <c r="AL254" s="42">
        <f t="shared" si="41"/>
        <v>3.0325175724081752E-2</v>
      </c>
      <c r="AM254" s="14" t="str">
        <f t="shared" si="43"/>
        <v>**</v>
      </c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</row>
    <row r="255" spans="1:56" ht="27" customHeight="1" x14ac:dyDescent="0.2">
      <c r="A255" s="9" t="s">
        <v>356</v>
      </c>
      <c r="B255" s="11">
        <v>459</v>
      </c>
      <c r="C255" s="2">
        <v>806.496185898465</v>
      </c>
      <c r="D255" s="2">
        <v>6.9771812500000001</v>
      </c>
      <c r="E255" s="2">
        <v>-1</v>
      </c>
      <c r="F255" s="12" t="s">
        <v>553</v>
      </c>
      <c r="G255" s="12" t="s">
        <v>21</v>
      </c>
      <c r="H255" s="5"/>
      <c r="I255" s="11">
        <v>2984</v>
      </c>
      <c r="J255" s="11">
        <v>3092</v>
      </c>
      <c r="K255" s="11">
        <v>7816</v>
      </c>
      <c r="L255" s="11">
        <v>4453</v>
      </c>
      <c r="M255" s="11">
        <v>2920</v>
      </c>
      <c r="N255" s="11">
        <v>2708</v>
      </c>
      <c r="O255" s="11">
        <v>2945</v>
      </c>
      <c r="P255" s="11"/>
      <c r="Q255" s="11">
        <v>2219</v>
      </c>
      <c r="R255" s="11">
        <v>3099</v>
      </c>
      <c r="S255" s="11">
        <v>2072</v>
      </c>
      <c r="T255" s="11">
        <v>1435</v>
      </c>
      <c r="U255" s="11">
        <v>2406</v>
      </c>
      <c r="V255" s="11">
        <v>2645</v>
      </c>
      <c r="W255" s="11">
        <v>3283</v>
      </c>
      <c r="X255" s="11"/>
      <c r="Y255" s="11">
        <v>0</v>
      </c>
      <c r="Z255" s="11">
        <v>2979</v>
      </c>
      <c r="AA255" s="11">
        <v>2940</v>
      </c>
      <c r="AB255" s="11">
        <v>3140</v>
      </c>
      <c r="AC255" s="17">
        <f t="shared" si="33"/>
        <v>3.5109980664923025E-2</v>
      </c>
      <c r="AD255" s="11">
        <f t="shared" si="34"/>
        <v>3845.4285714285716</v>
      </c>
      <c r="AE255" s="11">
        <f t="shared" si="35"/>
        <v>2451.2857142857142</v>
      </c>
      <c r="AF255" s="28">
        <f t="shared" si="42"/>
        <v>0.63745449141838173</v>
      </c>
      <c r="AG255" s="42">
        <f t="shared" si="36"/>
        <v>9.810181644081617E-2</v>
      </c>
      <c r="AH255" s="14" t="str">
        <f t="shared" si="37"/>
        <v>-</v>
      </c>
      <c r="AI255" s="11">
        <f t="shared" si="38"/>
        <v>193</v>
      </c>
      <c r="AJ255" s="11">
        <f t="shared" si="39"/>
        <v>193</v>
      </c>
      <c r="AK255" s="11">
        <f t="shared" si="40"/>
        <v>0.19671193244868321</v>
      </c>
      <c r="AL255" s="42">
        <f t="shared" si="41"/>
        <v>0.19642422013057473</v>
      </c>
      <c r="AM255" s="14" t="str">
        <f t="shared" si="43"/>
        <v/>
      </c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</row>
    <row r="256" spans="1:56" ht="27" customHeight="1" x14ac:dyDescent="0.2">
      <c r="A256" s="9" t="s">
        <v>356</v>
      </c>
      <c r="B256" s="11">
        <v>550</v>
      </c>
      <c r="C256" s="2">
        <v>784.51312477220199</v>
      </c>
      <c r="D256" s="2">
        <v>7.2235352941175197</v>
      </c>
      <c r="E256" s="2">
        <v>-1</v>
      </c>
      <c r="F256" s="12" t="s">
        <v>246</v>
      </c>
      <c r="G256" s="12" t="s">
        <v>21</v>
      </c>
      <c r="H256" s="5"/>
      <c r="I256" s="11">
        <v>3309</v>
      </c>
      <c r="J256" s="11">
        <v>2954</v>
      </c>
      <c r="K256" s="11">
        <v>3693</v>
      </c>
      <c r="L256" s="11">
        <v>3153</v>
      </c>
      <c r="M256" s="11">
        <v>3172</v>
      </c>
      <c r="N256" s="11">
        <v>3214</v>
      </c>
      <c r="O256" s="11">
        <v>3906</v>
      </c>
      <c r="P256" s="11"/>
      <c r="Q256" s="11">
        <v>3705</v>
      </c>
      <c r="R256" s="11">
        <v>6384</v>
      </c>
      <c r="S256" s="11">
        <v>4723</v>
      </c>
      <c r="T256" s="11">
        <v>6319</v>
      </c>
      <c r="U256" s="11">
        <v>4238</v>
      </c>
      <c r="V256" s="11">
        <v>4953</v>
      </c>
      <c r="W256" s="11">
        <v>5148</v>
      </c>
      <c r="X256" s="11"/>
      <c r="Y256" s="11">
        <v>0</v>
      </c>
      <c r="Z256" s="11">
        <v>4218</v>
      </c>
      <c r="AA256" s="11">
        <v>5114</v>
      </c>
      <c r="AB256" s="11">
        <v>4539</v>
      </c>
      <c r="AC256" s="17">
        <f t="shared" si="33"/>
        <v>9.8181973433205769E-2</v>
      </c>
      <c r="AD256" s="11">
        <f t="shared" si="34"/>
        <v>3343</v>
      </c>
      <c r="AE256" s="11">
        <f t="shared" si="35"/>
        <v>5067.1428571428569</v>
      </c>
      <c r="AF256" s="28">
        <f t="shared" si="42"/>
        <v>1.5157471902910131</v>
      </c>
      <c r="AG256" s="42">
        <f t="shared" si="36"/>
        <v>3.0766303092001211E-3</v>
      </c>
      <c r="AH256" s="14" t="str">
        <f t="shared" si="37"/>
        <v>**</v>
      </c>
      <c r="AI256" s="11">
        <f t="shared" si="38"/>
        <v>37</v>
      </c>
      <c r="AJ256" s="11">
        <f t="shared" si="39"/>
        <v>37</v>
      </c>
      <c r="AK256" s="11">
        <f t="shared" si="40"/>
        <v>3.2179889990822885E-2</v>
      </c>
      <c r="AL256" s="42">
        <f t="shared" si="41"/>
        <v>3.2179889990822885E-2</v>
      </c>
      <c r="AM256" s="14" t="str">
        <f t="shared" si="43"/>
        <v>**</v>
      </c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</row>
    <row r="257" spans="1:56" ht="27" customHeight="1" x14ac:dyDescent="0.2">
      <c r="A257" s="9" t="s">
        <v>356</v>
      </c>
      <c r="B257" s="11">
        <v>618</v>
      </c>
      <c r="C257" s="2">
        <v>758.49639296444798</v>
      </c>
      <c r="D257" s="2">
        <v>7.1593177777777299</v>
      </c>
      <c r="E257" s="2">
        <v>-1</v>
      </c>
      <c r="F257" s="12" t="s">
        <v>198</v>
      </c>
      <c r="G257" s="12" t="s">
        <v>21</v>
      </c>
      <c r="H257" s="5"/>
      <c r="I257" s="11">
        <v>2295</v>
      </c>
      <c r="J257" s="11">
        <v>2860</v>
      </c>
      <c r="K257" s="11">
        <v>5035</v>
      </c>
      <c r="L257" s="11">
        <v>2464</v>
      </c>
      <c r="M257" s="11">
        <v>2755</v>
      </c>
      <c r="N257" s="11">
        <v>3154</v>
      </c>
      <c r="O257" s="11">
        <v>2926</v>
      </c>
      <c r="P257" s="11"/>
      <c r="Q257" s="11">
        <v>3090</v>
      </c>
      <c r="R257" s="11">
        <v>4185</v>
      </c>
      <c r="S257" s="11">
        <v>2479</v>
      </c>
      <c r="T257" s="11">
        <v>3258</v>
      </c>
      <c r="U257" s="11">
        <v>4391</v>
      </c>
      <c r="V257" s="11">
        <v>3739</v>
      </c>
      <c r="W257" s="11">
        <v>5778</v>
      </c>
      <c r="X257" s="11"/>
      <c r="Y257" s="11">
        <v>0</v>
      </c>
      <c r="Z257" s="11">
        <v>4895</v>
      </c>
      <c r="AA257" s="11">
        <v>4154</v>
      </c>
      <c r="AB257" s="11">
        <v>4817</v>
      </c>
      <c r="AC257" s="17">
        <f t="shared" si="33"/>
        <v>8.8094321472849735E-2</v>
      </c>
      <c r="AD257" s="11">
        <f t="shared" si="34"/>
        <v>3069.8571428571427</v>
      </c>
      <c r="AE257" s="11">
        <f t="shared" si="35"/>
        <v>3845.7142857142858</v>
      </c>
      <c r="AF257" s="28">
        <f t="shared" si="42"/>
        <v>1.2527339569081857</v>
      </c>
      <c r="AG257" s="42">
        <f t="shared" si="36"/>
        <v>0.17198740296997039</v>
      </c>
      <c r="AH257" s="14" t="str">
        <f t="shared" si="37"/>
        <v>-</v>
      </c>
      <c r="AI257" s="11">
        <f t="shared" si="38"/>
        <v>232</v>
      </c>
      <c r="AJ257" s="11">
        <f t="shared" si="39"/>
        <v>232</v>
      </c>
      <c r="AK257" s="11">
        <f t="shared" si="40"/>
        <v>0.28689277995421786</v>
      </c>
      <c r="AL257" s="42">
        <f t="shared" si="41"/>
        <v>0.28689277995421786</v>
      </c>
      <c r="AM257" s="14" t="str">
        <f t="shared" si="43"/>
        <v/>
      </c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</row>
    <row r="258" spans="1:56" ht="27" customHeight="1" x14ac:dyDescent="0.2">
      <c r="A258" s="9" t="s">
        <v>356</v>
      </c>
      <c r="B258" s="11">
        <v>724</v>
      </c>
      <c r="C258" s="2">
        <v>782.49764160222401</v>
      </c>
      <c r="D258" s="2">
        <v>7.1568147058824101</v>
      </c>
      <c r="E258" s="2">
        <v>-1</v>
      </c>
      <c r="F258" s="12" t="s">
        <v>188</v>
      </c>
      <c r="G258" s="12" t="s">
        <v>21</v>
      </c>
      <c r="H258" s="5"/>
      <c r="I258" s="11">
        <v>1242</v>
      </c>
      <c r="J258" s="11">
        <v>1230</v>
      </c>
      <c r="K258" s="11">
        <v>3930</v>
      </c>
      <c r="L258" s="11">
        <v>2379</v>
      </c>
      <c r="M258" s="11">
        <v>1515</v>
      </c>
      <c r="N258" s="11">
        <v>2541</v>
      </c>
      <c r="O258" s="11">
        <v>1472</v>
      </c>
      <c r="P258" s="11"/>
      <c r="Q258" s="11">
        <v>1859</v>
      </c>
      <c r="R258" s="11">
        <v>3688</v>
      </c>
      <c r="S258" s="11">
        <v>1325</v>
      </c>
      <c r="T258" s="11">
        <v>2606</v>
      </c>
      <c r="U258" s="11">
        <v>2376</v>
      </c>
      <c r="V258" s="11">
        <v>2300</v>
      </c>
      <c r="W258" s="11">
        <v>4794</v>
      </c>
      <c r="X258" s="11"/>
      <c r="Y258" s="11">
        <v>0</v>
      </c>
      <c r="Z258" s="11">
        <v>2741</v>
      </c>
      <c r="AA258" s="11">
        <v>3023</v>
      </c>
      <c r="AB258" s="11">
        <v>2706</v>
      </c>
      <c r="AC258" s="17">
        <f t="shared" si="33"/>
        <v>6.1558332869043483E-2</v>
      </c>
      <c r="AD258" s="11">
        <f t="shared" si="34"/>
        <v>2044.1428571428571</v>
      </c>
      <c r="AE258" s="11">
        <f t="shared" si="35"/>
        <v>2706.8571428571427</v>
      </c>
      <c r="AF258" s="28">
        <f t="shared" si="42"/>
        <v>1.3242015514711021</v>
      </c>
      <c r="AG258" s="42">
        <f t="shared" si="36"/>
        <v>0.27503211365882141</v>
      </c>
      <c r="AH258" s="14" t="str">
        <f t="shared" si="37"/>
        <v>-</v>
      </c>
      <c r="AI258" s="11">
        <f t="shared" si="38"/>
        <v>266</v>
      </c>
      <c r="AJ258" s="11">
        <f t="shared" si="39"/>
        <v>266</v>
      </c>
      <c r="AK258" s="11">
        <f t="shared" si="40"/>
        <v>0.40014070671414992</v>
      </c>
      <c r="AL258" s="42">
        <f t="shared" si="41"/>
        <v>0.40014070671414992</v>
      </c>
      <c r="AM258" s="14" t="str">
        <f t="shared" si="43"/>
        <v/>
      </c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</row>
    <row r="259" spans="1:56" ht="27" customHeight="1" x14ac:dyDescent="0.2">
      <c r="A259" s="9" t="s">
        <v>356</v>
      </c>
      <c r="B259" s="11">
        <v>947</v>
      </c>
      <c r="C259" s="2">
        <v>832.51195913175002</v>
      </c>
      <c r="D259" s="2">
        <v>7.0368527777776597</v>
      </c>
      <c r="E259" s="2">
        <v>-1</v>
      </c>
      <c r="F259" s="12" t="s">
        <v>121</v>
      </c>
      <c r="G259" s="12" t="s">
        <v>21</v>
      </c>
      <c r="H259" s="5"/>
      <c r="I259" s="11">
        <v>2345</v>
      </c>
      <c r="J259" s="11">
        <v>2447</v>
      </c>
      <c r="K259" s="11">
        <v>3506</v>
      </c>
      <c r="L259" s="11">
        <v>1953</v>
      </c>
      <c r="M259" s="11">
        <v>2684</v>
      </c>
      <c r="N259" s="11">
        <v>2632</v>
      </c>
      <c r="O259" s="11">
        <v>4128</v>
      </c>
      <c r="P259" s="11"/>
      <c r="Q259" s="11">
        <v>970</v>
      </c>
      <c r="R259" s="11">
        <v>3559</v>
      </c>
      <c r="S259" s="11">
        <v>1757</v>
      </c>
      <c r="T259" s="11">
        <v>2143</v>
      </c>
      <c r="U259" s="11">
        <v>2047</v>
      </c>
      <c r="V259" s="11">
        <v>1966</v>
      </c>
      <c r="W259" s="11">
        <v>2145</v>
      </c>
      <c r="X259" s="11"/>
      <c r="Y259" s="11">
        <v>0</v>
      </c>
      <c r="Z259" s="11">
        <v>2090</v>
      </c>
      <c r="AA259" s="11">
        <v>2316</v>
      </c>
      <c r="AB259" s="11">
        <v>2992</v>
      </c>
      <c r="AC259" s="17">
        <f t="shared" si="33"/>
        <v>0.19032266859351374</v>
      </c>
      <c r="AD259" s="11">
        <f t="shared" si="34"/>
        <v>2813.5714285714284</v>
      </c>
      <c r="AE259" s="11">
        <f t="shared" si="35"/>
        <v>2083.8571428571427</v>
      </c>
      <c r="AF259" s="28">
        <f t="shared" si="42"/>
        <v>0.74064483371414058</v>
      </c>
      <c r="AG259" s="42">
        <f t="shared" si="36"/>
        <v>9.6943678739021877E-2</v>
      </c>
      <c r="AH259" s="14" t="str">
        <f t="shared" si="37"/>
        <v>-</v>
      </c>
      <c r="AI259" s="11">
        <f t="shared" si="38"/>
        <v>191</v>
      </c>
      <c r="AJ259" s="11">
        <f t="shared" si="39"/>
        <v>191</v>
      </c>
      <c r="AK259" s="11">
        <f t="shared" si="40"/>
        <v>0.19642515011519091</v>
      </c>
      <c r="AL259" s="42">
        <f t="shared" si="41"/>
        <v>0.19642422013057473</v>
      </c>
      <c r="AM259" s="14" t="str">
        <f t="shared" si="43"/>
        <v/>
      </c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</row>
    <row r="260" spans="1:56" ht="27" customHeight="1" x14ac:dyDescent="0.2">
      <c r="A260" s="9" t="s">
        <v>356</v>
      </c>
      <c r="B260" s="11">
        <v>1206</v>
      </c>
      <c r="C260" s="2">
        <v>852.48061147580199</v>
      </c>
      <c r="D260" s="2">
        <v>6.7382311111111903</v>
      </c>
      <c r="E260" s="2">
        <v>-1</v>
      </c>
      <c r="F260" s="12" t="s">
        <v>268</v>
      </c>
      <c r="G260" s="12" t="s">
        <v>21</v>
      </c>
      <c r="H260" s="5"/>
      <c r="I260" s="11">
        <v>1403</v>
      </c>
      <c r="J260" s="11">
        <v>609</v>
      </c>
      <c r="K260" s="11">
        <v>2726</v>
      </c>
      <c r="L260" s="11">
        <v>1837</v>
      </c>
      <c r="M260" s="11">
        <v>1164</v>
      </c>
      <c r="N260" s="11">
        <v>774</v>
      </c>
      <c r="O260" s="11">
        <v>1397</v>
      </c>
      <c r="P260" s="11"/>
      <c r="Q260" s="11">
        <v>1253</v>
      </c>
      <c r="R260" s="11">
        <v>1440</v>
      </c>
      <c r="S260" s="11">
        <v>981</v>
      </c>
      <c r="T260" s="11">
        <v>957</v>
      </c>
      <c r="U260" s="11">
        <v>1907</v>
      </c>
      <c r="V260" s="11">
        <v>1545</v>
      </c>
      <c r="W260" s="11">
        <v>2599</v>
      </c>
      <c r="X260" s="11"/>
      <c r="Y260" s="11">
        <v>0</v>
      </c>
      <c r="Z260" s="11">
        <v>1547</v>
      </c>
      <c r="AA260" s="11">
        <v>1818</v>
      </c>
      <c r="AB260" s="11">
        <v>1384</v>
      </c>
      <c r="AC260" s="17">
        <f t="shared" ref="AC260:AC323" si="44">IFERROR(STDEV(Z260:AB260)/AVERAGE(Z260:AB260),0)</f>
        <v>0.13848906608829772</v>
      </c>
      <c r="AD260" s="11">
        <f t="shared" ref="AD260:AD323" si="45">AVERAGE(I260:O260)</f>
        <v>1415.7142857142858</v>
      </c>
      <c r="AE260" s="11">
        <f t="shared" ref="AE260:AE323" si="46">AVERAGE(Q260:W260)</f>
        <v>1526</v>
      </c>
      <c r="AF260" s="28">
        <f t="shared" si="42"/>
        <v>1.0779011099899092</v>
      </c>
      <c r="AG260" s="42">
        <f t="shared" ref="AG260:AG323" si="47">TTEST(I260:O260,Q260:W260,2,3)</f>
        <v>0.75544215412294269</v>
      </c>
      <c r="AH260" s="14" t="str">
        <f t="shared" ref="AH260:AH323" si="48">IF(AG260&lt;0.001,"***",IF(AG260&lt;0.01,"**",IF(AG260&lt;0.05,"*","-")))</f>
        <v>-</v>
      </c>
      <c r="AI260" s="11">
        <f t="shared" ref="AI260:AI323" si="49">_xlfn.RANK.EQ(AG260,$AG$4:$AG$390,1)</f>
        <v>358</v>
      </c>
      <c r="AJ260" s="11">
        <f t="shared" ref="AJ260:AJ323" si="50">COUNTIF($AI$4:$AI$390,AI260)+AI260-1</f>
        <v>358</v>
      </c>
      <c r="AK260" s="11">
        <f t="shared" ref="AK260:AK323" si="51">MIN(AG260*$AJ$3/AJ260,1)</f>
        <v>0.81663718895413084</v>
      </c>
      <c r="AL260" s="42">
        <f t="shared" ref="AL260:AL323" si="52">MIN(AK260,IFERROR(VLOOKUP(AJ260+1,$AJ$4:$AL$390,3,FALSE),1))</f>
        <v>0.81491766186724424</v>
      </c>
      <c r="AM260" s="14" t="str">
        <f t="shared" si="43"/>
        <v/>
      </c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</row>
    <row r="261" spans="1:56" ht="27" customHeight="1" x14ac:dyDescent="0.2">
      <c r="A261" s="9" t="s">
        <v>356</v>
      </c>
      <c r="B261" s="11">
        <v>1303</v>
      </c>
      <c r="C261" s="2">
        <v>872.63937568704898</v>
      </c>
      <c r="D261" s="2">
        <v>9.6796566666667996</v>
      </c>
      <c r="E261" s="2">
        <v>-1</v>
      </c>
      <c r="F261" s="12" t="s">
        <v>282</v>
      </c>
      <c r="G261" s="12" t="s">
        <v>21</v>
      </c>
      <c r="H261" s="5"/>
      <c r="I261" s="11">
        <v>1719</v>
      </c>
      <c r="J261" s="11">
        <v>1648</v>
      </c>
      <c r="K261" s="11">
        <v>2028</v>
      </c>
      <c r="L261" s="11">
        <v>1837</v>
      </c>
      <c r="M261" s="11">
        <v>1733</v>
      </c>
      <c r="N261" s="11">
        <v>1576</v>
      </c>
      <c r="O261" s="11">
        <v>2555</v>
      </c>
      <c r="P261" s="11"/>
      <c r="Q261" s="11">
        <v>1710</v>
      </c>
      <c r="R261" s="11">
        <v>1645</v>
      </c>
      <c r="S261" s="11">
        <v>1278</v>
      </c>
      <c r="T261" s="11">
        <v>2078</v>
      </c>
      <c r="U261" s="11">
        <v>2265</v>
      </c>
      <c r="V261" s="11">
        <v>1798</v>
      </c>
      <c r="W261" s="11">
        <v>2289</v>
      </c>
      <c r="X261" s="11"/>
      <c r="Y261" s="11">
        <v>0</v>
      </c>
      <c r="Z261" s="11">
        <v>2101</v>
      </c>
      <c r="AA261" s="11">
        <v>2067</v>
      </c>
      <c r="AB261" s="11">
        <v>2489</v>
      </c>
      <c r="AC261" s="17">
        <f t="shared" si="44"/>
        <v>0.10565300728693601</v>
      </c>
      <c r="AD261" s="11">
        <f t="shared" si="45"/>
        <v>1870.8571428571429</v>
      </c>
      <c r="AE261" s="11">
        <f t="shared" si="46"/>
        <v>1866.1428571428571</v>
      </c>
      <c r="AF261" s="28">
        <f t="shared" ref="AF261:AF324" si="53">AE261/AD261</f>
        <v>0.99748014660965179</v>
      </c>
      <c r="AG261" s="42">
        <f t="shared" si="47"/>
        <v>0.98037503649214885</v>
      </c>
      <c r="AH261" s="14" t="str">
        <f t="shared" si="48"/>
        <v>-</v>
      </c>
      <c r="AI261" s="11">
        <f t="shared" si="49"/>
        <v>385</v>
      </c>
      <c r="AJ261" s="11">
        <f t="shared" si="50"/>
        <v>385</v>
      </c>
      <c r="AK261" s="11">
        <f t="shared" si="51"/>
        <v>0.98546789382457556</v>
      </c>
      <c r="AL261" s="42">
        <f t="shared" si="52"/>
        <v>0.98546789382457556</v>
      </c>
      <c r="AM261" s="14" t="str">
        <f t="shared" ref="AM261:AM324" si="54">IF(AL261&lt;0.05,"**",IF(AL261&lt;0.1,"*",""))</f>
        <v/>
      </c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</row>
    <row r="262" spans="1:56" ht="27" customHeight="1" x14ac:dyDescent="0.2">
      <c r="A262" s="9" t="s">
        <v>356</v>
      </c>
      <c r="B262" s="11">
        <v>1525</v>
      </c>
      <c r="C262" s="2">
        <v>782.49988099558402</v>
      </c>
      <c r="D262" s="2">
        <v>6.9860071428571402</v>
      </c>
      <c r="E262" s="2">
        <v>-1</v>
      </c>
      <c r="F262" s="12" t="s">
        <v>309</v>
      </c>
      <c r="G262" s="12" t="s">
        <v>21</v>
      </c>
      <c r="H262" s="5"/>
      <c r="I262" s="11">
        <v>1037</v>
      </c>
      <c r="J262" s="11">
        <v>852</v>
      </c>
      <c r="K262" s="11">
        <v>2119</v>
      </c>
      <c r="L262" s="11">
        <v>1350</v>
      </c>
      <c r="M262" s="11">
        <v>1097</v>
      </c>
      <c r="N262" s="11">
        <v>1543</v>
      </c>
      <c r="O262" s="11">
        <v>1295</v>
      </c>
      <c r="P262" s="11"/>
      <c r="Q262" s="11">
        <v>408</v>
      </c>
      <c r="R262" s="11">
        <v>801</v>
      </c>
      <c r="S262" s="11">
        <v>578</v>
      </c>
      <c r="T262" s="11">
        <v>669</v>
      </c>
      <c r="U262" s="11">
        <v>547</v>
      </c>
      <c r="V262" s="11">
        <v>845</v>
      </c>
      <c r="W262" s="11">
        <v>972</v>
      </c>
      <c r="X262" s="11"/>
      <c r="Y262" s="11">
        <v>0</v>
      </c>
      <c r="Z262" s="11">
        <v>1140</v>
      </c>
      <c r="AA262" s="11">
        <v>1008</v>
      </c>
      <c r="AB262" s="11">
        <v>994</v>
      </c>
      <c r="AC262" s="17">
        <f t="shared" si="44"/>
        <v>7.6915721002249846E-2</v>
      </c>
      <c r="AD262" s="11">
        <f t="shared" si="45"/>
        <v>1327.5714285714287</v>
      </c>
      <c r="AE262" s="11">
        <f t="shared" si="46"/>
        <v>688.57142857142856</v>
      </c>
      <c r="AF262" s="28">
        <f t="shared" si="53"/>
        <v>0.51866996664155807</v>
      </c>
      <c r="AG262" s="42">
        <f t="shared" si="47"/>
        <v>5.5803051405923423E-3</v>
      </c>
      <c r="AH262" s="14" t="str">
        <f t="shared" si="48"/>
        <v>**</v>
      </c>
      <c r="AI262" s="11">
        <f t="shared" si="49"/>
        <v>56</v>
      </c>
      <c r="AJ262" s="11">
        <f t="shared" si="50"/>
        <v>56</v>
      </c>
      <c r="AK262" s="11">
        <f t="shared" si="51"/>
        <v>3.8563894453736369E-2</v>
      </c>
      <c r="AL262" s="42">
        <f t="shared" si="52"/>
        <v>3.8563894453736369E-2</v>
      </c>
      <c r="AM262" s="14" t="str">
        <f t="shared" si="54"/>
        <v>**</v>
      </c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</row>
    <row r="263" spans="1:56" ht="27" customHeight="1" x14ac:dyDescent="0.2">
      <c r="A263" s="9" t="s">
        <v>356</v>
      </c>
      <c r="B263" s="11">
        <v>1894</v>
      </c>
      <c r="C263" s="2">
        <v>878.49905296641896</v>
      </c>
      <c r="D263" s="2">
        <v>6.8995722222221598</v>
      </c>
      <c r="E263" s="2">
        <v>-1</v>
      </c>
      <c r="F263" s="12" t="s">
        <v>328</v>
      </c>
      <c r="G263" s="12" t="s">
        <v>21</v>
      </c>
      <c r="H263" s="5"/>
      <c r="I263" s="11">
        <v>550</v>
      </c>
      <c r="J263" s="11">
        <v>446</v>
      </c>
      <c r="K263" s="11">
        <v>696</v>
      </c>
      <c r="L263" s="11">
        <v>615</v>
      </c>
      <c r="M263" s="11">
        <v>466</v>
      </c>
      <c r="N263" s="11">
        <v>604</v>
      </c>
      <c r="O263" s="11">
        <v>594</v>
      </c>
      <c r="P263" s="11"/>
      <c r="Q263" s="11">
        <v>1030</v>
      </c>
      <c r="R263" s="11">
        <v>775</v>
      </c>
      <c r="S263" s="11">
        <v>823</v>
      </c>
      <c r="T263" s="11">
        <v>953</v>
      </c>
      <c r="U263" s="11">
        <v>1629</v>
      </c>
      <c r="V263" s="11">
        <v>746</v>
      </c>
      <c r="W263" s="11">
        <v>1091</v>
      </c>
      <c r="X263" s="11"/>
      <c r="Y263" s="11">
        <v>0</v>
      </c>
      <c r="Z263" s="11">
        <v>629</v>
      </c>
      <c r="AA263" s="11">
        <v>936</v>
      </c>
      <c r="AB263" s="11">
        <v>939</v>
      </c>
      <c r="AC263" s="17">
        <f t="shared" si="44"/>
        <v>0.21340120706510005</v>
      </c>
      <c r="AD263" s="11">
        <f t="shared" si="45"/>
        <v>567.28571428571433</v>
      </c>
      <c r="AE263" s="11">
        <f t="shared" si="46"/>
        <v>1006.7142857142857</v>
      </c>
      <c r="AF263" s="28">
        <f t="shared" si="53"/>
        <v>1.7746159657516996</v>
      </c>
      <c r="AG263" s="42">
        <f t="shared" si="47"/>
        <v>7.8859297074861789E-3</v>
      </c>
      <c r="AH263" s="14" t="str">
        <f t="shared" si="48"/>
        <v>**</v>
      </c>
      <c r="AI263" s="11">
        <f t="shared" si="49"/>
        <v>67</v>
      </c>
      <c r="AJ263" s="11">
        <f t="shared" si="50"/>
        <v>67</v>
      </c>
      <c r="AK263" s="11">
        <f t="shared" si="51"/>
        <v>4.5550071593987336E-2</v>
      </c>
      <c r="AL263" s="42">
        <f t="shared" si="52"/>
        <v>4.4964454355635758E-2</v>
      </c>
      <c r="AM263" s="14" t="str">
        <f t="shared" si="54"/>
        <v>**</v>
      </c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</row>
    <row r="264" spans="1:56" ht="27" customHeight="1" x14ac:dyDescent="0.2">
      <c r="A264" s="9" t="s">
        <v>356</v>
      </c>
      <c r="B264" s="11">
        <v>2514</v>
      </c>
      <c r="C264" s="2">
        <v>804.48124005719603</v>
      </c>
      <c r="D264" s="2">
        <v>6.7875454545455396</v>
      </c>
      <c r="E264" s="2">
        <v>-1</v>
      </c>
      <c r="F264" s="12" t="s">
        <v>323</v>
      </c>
      <c r="G264" s="12" t="s">
        <v>21</v>
      </c>
      <c r="H264" s="5"/>
      <c r="I264" s="11">
        <v>816</v>
      </c>
      <c r="J264" s="11">
        <v>347</v>
      </c>
      <c r="K264" s="11">
        <v>1197</v>
      </c>
      <c r="L264" s="11">
        <v>1187</v>
      </c>
      <c r="M264" s="11">
        <v>637</v>
      </c>
      <c r="N264" s="11">
        <v>849</v>
      </c>
      <c r="O264" s="11">
        <v>956</v>
      </c>
      <c r="P264" s="11"/>
      <c r="Q264" s="11">
        <v>628</v>
      </c>
      <c r="R264" s="11">
        <v>796</v>
      </c>
      <c r="S264" s="11">
        <v>398</v>
      </c>
      <c r="T264" s="11">
        <v>498</v>
      </c>
      <c r="U264" s="11">
        <v>571</v>
      </c>
      <c r="V264" s="11">
        <v>486</v>
      </c>
      <c r="W264" s="11">
        <v>1430</v>
      </c>
      <c r="X264" s="11"/>
      <c r="Y264" s="11">
        <v>0</v>
      </c>
      <c r="Z264" s="11">
        <v>809</v>
      </c>
      <c r="AA264" s="11">
        <v>826</v>
      </c>
      <c r="AB264" s="11">
        <v>955</v>
      </c>
      <c r="AC264" s="17">
        <f t="shared" si="44"/>
        <v>9.2478095184090087E-2</v>
      </c>
      <c r="AD264" s="11">
        <f t="shared" si="45"/>
        <v>855.57142857142856</v>
      </c>
      <c r="AE264" s="11">
        <f t="shared" si="46"/>
        <v>686.71428571428567</v>
      </c>
      <c r="AF264" s="28">
        <f t="shared" si="53"/>
        <v>0.80263816997829351</v>
      </c>
      <c r="AG264" s="42">
        <f t="shared" si="47"/>
        <v>0.35385449319492179</v>
      </c>
      <c r="AH264" s="14" t="str">
        <f t="shared" si="48"/>
        <v>-</v>
      </c>
      <c r="AI264" s="11">
        <f t="shared" si="49"/>
        <v>282</v>
      </c>
      <c r="AJ264" s="11">
        <f t="shared" si="50"/>
        <v>282</v>
      </c>
      <c r="AK264" s="11">
        <f t="shared" si="51"/>
        <v>0.48560882576749903</v>
      </c>
      <c r="AL264" s="42">
        <f t="shared" si="52"/>
        <v>0.48560882576749903</v>
      </c>
      <c r="AM264" s="14" t="str">
        <f t="shared" si="54"/>
        <v/>
      </c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</row>
    <row r="265" spans="1:56" ht="27" customHeight="1" x14ac:dyDescent="0.2">
      <c r="A265" s="9" t="s">
        <v>356</v>
      </c>
      <c r="B265" s="11">
        <v>301</v>
      </c>
      <c r="C265" s="2">
        <v>818.53409141427505</v>
      </c>
      <c r="D265" s="2">
        <v>7.6849974358973796</v>
      </c>
      <c r="E265" s="2">
        <v>-1</v>
      </c>
      <c r="F265" s="12" t="s">
        <v>190</v>
      </c>
      <c r="G265" s="12" t="s">
        <v>191</v>
      </c>
      <c r="H265" s="5"/>
      <c r="I265" s="11">
        <v>8887</v>
      </c>
      <c r="J265" s="11">
        <v>8508</v>
      </c>
      <c r="K265" s="11">
        <v>6627</v>
      </c>
      <c r="L265" s="11">
        <v>7478</v>
      </c>
      <c r="M265" s="11">
        <v>12534</v>
      </c>
      <c r="N265" s="11">
        <v>9870</v>
      </c>
      <c r="O265" s="11">
        <v>9357</v>
      </c>
      <c r="P265" s="11"/>
      <c r="Q265" s="11">
        <v>5426</v>
      </c>
      <c r="R265" s="11">
        <v>6795</v>
      </c>
      <c r="S265" s="11">
        <v>6909</v>
      </c>
      <c r="T265" s="11">
        <v>8578</v>
      </c>
      <c r="U265" s="11">
        <v>7686</v>
      </c>
      <c r="V265" s="11">
        <v>6171</v>
      </c>
      <c r="W265" s="11">
        <v>6862</v>
      </c>
      <c r="X265" s="11"/>
      <c r="Y265" s="11">
        <v>0</v>
      </c>
      <c r="Z265" s="11">
        <v>8686</v>
      </c>
      <c r="AA265" s="11">
        <v>8605</v>
      </c>
      <c r="AB265" s="11">
        <v>8882</v>
      </c>
      <c r="AC265" s="17">
        <f t="shared" si="44"/>
        <v>1.6324809382284231E-2</v>
      </c>
      <c r="AD265" s="11">
        <f t="shared" si="45"/>
        <v>9037.2857142857138</v>
      </c>
      <c r="AE265" s="11">
        <f t="shared" si="46"/>
        <v>6918.1428571428569</v>
      </c>
      <c r="AF265" s="28">
        <f t="shared" si="53"/>
        <v>0.76551113640315516</v>
      </c>
      <c r="AG265" s="42">
        <f t="shared" si="47"/>
        <v>2.7925444294254382E-2</v>
      </c>
      <c r="AH265" s="14" t="str">
        <f t="shared" si="48"/>
        <v>*</v>
      </c>
      <c r="AI265" s="11">
        <f t="shared" si="49"/>
        <v>125</v>
      </c>
      <c r="AJ265" s="11">
        <f t="shared" si="50"/>
        <v>125</v>
      </c>
      <c r="AK265" s="11">
        <f t="shared" si="51"/>
        <v>8.6457175535011574E-2</v>
      </c>
      <c r="AL265" s="42">
        <f t="shared" si="52"/>
        <v>8.6457175535011574E-2</v>
      </c>
      <c r="AM265" s="14" t="str">
        <f t="shared" si="54"/>
        <v>*</v>
      </c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</row>
    <row r="266" spans="1:56" ht="27" customHeight="1" x14ac:dyDescent="0.2">
      <c r="A266" s="9" t="s">
        <v>356</v>
      </c>
      <c r="B266" s="11">
        <v>11</v>
      </c>
      <c r="C266" s="2">
        <v>747.51858871165496</v>
      </c>
      <c r="D266" s="2">
        <v>7.47583333333335</v>
      </c>
      <c r="E266" s="2">
        <v>-1</v>
      </c>
      <c r="F266" s="12" t="s">
        <v>27</v>
      </c>
      <c r="G266" s="12" t="s">
        <v>28</v>
      </c>
      <c r="H266" s="5"/>
      <c r="I266" s="11">
        <v>254506</v>
      </c>
      <c r="J266" s="11">
        <v>251549</v>
      </c>
      <c r="K266" s="11">
        <v>294981</v>
      </c>
      <c r="L266" s="11">
        <v>312748</v>
      </c>
      <c r="M266" s="11">
        <v>312121</v>
      </c>
      <c r="N266" s="11">
        <v>299257</v>
      </c>
      <c r="O266" s="11">
        <v>407273</v>
      </c>
      <c r="P266" s="11"/>
      <c r="Q266" s="11">
        <v>392880</v>
      </c>
      <c r="R266" s="11">
        <v>413047</v>
      </c>
      <c r="S266" s="11">
        <v>267373</v>
      </c>
      <c r="T266" s="11">
        <v>461349</v>
      </c>
      <c r="U266" s="11">
        <v>503399</v>
      </c>
      <c r="V266" s="11">
        <v>365560</v>
      </c>
      <c r="W266" s="11">
        <v>530741</v>
      </c>
      <c r="X266" s="11"/>
      <c r="Y266" s="11">
        <v>0</v>
      </c>
      <c r="Z266" s="11">
        <v>377572</v>
      </c>
      <c r="AA266" s="11">
        <v>406046</v>
      </c>
      <c r="AB266" s="11">
        <v>423559</v>
      </c>
      <c r="AC266" s="17">
        <f t="shared" si="44"/>
        <v>5.7680501974052611E-2</v>
      </c>
      <c r="AD266" s="11">
        <f t="shared" si="45"/>
        <v>304633.57142857142</v>
      </c>
      <c r="AE266" s="11">
        <f t="shared" si="46"/>
        <v>419192.71428571426</v>
      </c>
      <c r="AF266" s="28">
        <f t="shared" si="53"/>
        <v>1.3760555421384473</v>
      </c>
      <c r="AG266" s="42">
        <f t="shared" si="47"/>
        <v>1.5562464103541319E-2</v>
      </c>
      <c r="AH266" s="14" t="str">
        <f t="shared" si="48"/>
        <v>*</v>
      </c>
      <c r="AI266" s="11">
        <f t="shared" si="49"/>
        <v>98</v>
      </c>
      <c r="AJ266" s="11">
        <f t="shared" si="50"/>
        <v>98</v>
      </c>
      <c r="AK266" s="11">
        <f t="shared" si="51"/>
        <v>6.145585314357644E-2</v>
      </c>
      <c r="AL266" s="42">
        <f t="shared" si="52"/>
        <v>6.145585314357644E-2</v>
      </c>
      <c r="AM266" s="14" t="str">
        <f t="shared" si="54"/>
        <v>*</v>
      </c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</row>
    <row r="267" spans="1:56" ht="27" customHeight="1" x14ac:dyDescent="0.2">
      <c r="A267" s="9" t="s">
        <v>356</v>
      </c>
      <c r="B267" s="11">
        <v>41</v>
      </c>
      <c r="C267" s="2">
        <v>745.50252735847596</v>
      </c>
      <c r="D267" s="2">
        <v>7.24086862745094</v>
      </c>
      <c r="E267" s="2">
        <v>-1</v>
      </c>
      <c r="F267" s="12" t="s">
        <v>61</v>
      </c>
      <c r="G267" s="12" t="s">
        <v>28</v>
      </c>
      <c r="H267" s="5"/>
      <c r="I267" s="11">
        <v>109098</v>
      </c>
      <c r="J267" s="11">
        <v>95514</v>
      </c>
      <c r="K267" s="11">
        <v>133430</v>
      </c>
      <c r="L267" s="11">
        <v>105121</v>
      </c>
      <c r="M267" s="11">
        <v>114912</v>
      </c>
      <c r="N267" s="11">
        <v>120789</v>
      </c>
      <c r="O267" s="11">
        <v>162868</v>
      </c>
      <c r="P267" s="11"/>
      <c r="Q267" s="11">
        <v>77505</v>
      </c>
      <c r="R267" s="11">
        <v>82804</v>
      </c>
      <c r="S267" s="11">
        <v>47793</v>
      </c>
      <c r="T267" s="11">
        <v>86361</v>
      </c>
      <c r="U267" s="11">
        <v>85153</v>
      </c>
      <c r="V267" s="11">
        <v>74613</v>
      </c>
      <c r="W267" s="11">
        <v>127924</v>
      </c>
      <c r="X267" s="11"/>
      <c r="Y267" s="11">
        <v>0</v>
      </c>
      <c r="Z267" s="11">
        <v>98142</v>
      </c>
      <c r="AA267" s="11">
        <v>113815</v>
      </c>
      <c r="AB267" s="11">
        <v>113467</v>
      </c>
      <c r="AC267" s="17">
        <f t="shared" si="44"/>
        <v>8.2508143564754263E-2</v>
      </c>
      <c r="AD267" s="11">
        <f t="shared" si="45"/>
        <v>120247.42857142857</v>
      </c>
      <c r="AE267" s="11">
        <f t="shared" si="46"/>
        <v>83164.71428571429</v>
      </c>
      <c r="AF267" s="28">
        <f t="shared" si="53"/>
        <v>0.69161324507087774</v>
      </c>
      <c r="AG267" s="42">
        <f t="shared" si="47"/>
        <v>1.0823790886472359E-2</v>
      </c>
      <c r="AH267" s="14" t="str">
        <f t="shared" si="48"/>
        <v>*</v>
      </c>
      <c r="AI267" s="11">
        <f t="shared" si="49"/>
        <v>77</v>
      </c>
      <c r="AJ267" s="11">
        <f t="shared" si="50"/>
        <v>77</v>
      </c>
      <c r="AK267" s="11">
        <f t="shared" si="51"/>
        <v>5.4400091857984452E-2</v>
      </c>
      <c r="AL267" s="42">
        <f t="shared" si="52"/>
        <v>5.3985976757940361E-2</v>
      </c>
      <c r="AM267" s="14" t="str">
        <f t="shared" si="54"/>
        <v>*</v>
      </c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</row>
    <row r="268" spans="1:56" ht="27" customHeight="1" x14ac:dyDescent="0.2">
      <c r="A268" s="9" t="s">
        <v>356</v>
      </c>
      <c r="B268" s="11">
        <v>81</v>
      </c>
      <c r="C268" s="2">
        <v>773.53271584672905</v>
      </c>
      <c r="D268" s="2">
        <v>7.6235214285714203</v>
      </c>
      <c r="E268" s="2">
        <v>-1</v>
      </c>
      <c r="F268" s="12" t="s">
        <v>88</v>
      </c>
      <c r="G268" s="12" t="s">
        <v>28</v>
      </c>
      <c r="H268" s="5"/>
      <c r="I268" s="11">
        <v>22164</v>
      </c>
      <c r="J268" s="11">
        <v>20371</v>
      </c>
      <c r="K268" s="11">
        <v>27322</v>
      </c>
      <c r="L268" s="11">
        <v>28138</v>
      </c>
      <c r="M268" s="11">
        <v>36974</v>
      </c>
      <c r="N268" s="11">
        <v>30645</v>
      </c>
      <c r="O268" s="11">
        <v>36007</v>
      </c>
      <c r="P268" s="11"/>
      <c r="Q268" s="11">
        <v>37010</v>
      </c>
      <c r="R268" s="11">
        <v>28559</v>
      </c>
      <c r="S268" s="11">
        <v>31653</v>
      </c>
      <c r="T268" s="11">
        <v>45065</v>
      </c>
      <c r="U268" s="11">
        <v>51470</v>
      </c>
      <c r="V268" s="11">
        <v>47081</v>
      </c>
      <c r="W268" s="11">
        <v>57478</v>
      </c>
      <c r="X268" s="11"/>
      <c r="Y268" s="11">
        <v>406</v>
      </c>
      <c r="Z268" s="11">
        <v>33746</v>
      </c>
      <c r="AA268" s="11">
        <v>31918</v>
      </c>
      <c r="AB268" s="11">
        <v>44246</v>
      </c>
      <c r="AC268" s="17">
        <f t="shared" si="44"/>
        <v>0.18159290802918626</v>
      </c>
      <c r="AD268" s="11">
        <f t="shared" si="45"/>
        <v>28803</v>
      </c>
      <c r="AE268" s="11">
        <f t="shared" si="46"/>
        <v>42616.571428571428</v>
      </c>
      <c r="AF268" s="28">
        <f t="shared" si="53"/>
        <v>1.4795879397483396</v>
      </c>
      <c r="AG268" s="42">
        <f t="shared" si="47"/>
        <v>1.4590709818174574E-2</v>
      </c>
      <c r="AH268" s="14" t="str">
        <f t="shared" si="48"/>
        <v>*</v>
      </c>
      <c r="AI268" s="11">
        <f t="shared" si="49"/>
        <v>93</v>
      </c>
      <c r="AJ268" s="11">
        <f t="shared" si="50"/>
        <v>93</v>
      </c>
      <c r="AK268" s="11">
        <f t="shared" si="51"/>
        <v>6.0716179565952259E-2</v>
      </c>
      <c r="AL268" s="42">
        <f t="shared" si="52"/>
        <v>6.0716179565952259E-2</v>
      </c>
      <c r="AM268" s="14" t="str">
        <f t="shared" si="54"/>
        <v>*</v>
      </c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</row>
    <row r="269" spans="1:56" ht="27" customHeight="1" x14ac:dyDescent="0.2">
      <c r="A269" s="9" t="s">
        <v>356</v>
      </c>
      <c r="B269" s="11">
        <v>233</v>
      </c>
      <c r="C269" s="2">
        <v>775.54794236259397</v>
      </c>
      <c r="D269" s="2">
        <v>7.9182547619047803</v>
      </c>
      <c r="E269" s="2">
        <v>-1</v>
      </c>
      <c r="F269" s="12" t="s">
        <v>140</v>
      </c>
      <c r="G269" s="12" t="s">
        <v>28</v>
      </c>
      <c r="H269" s="5"/>
      <c r="I269" s="11">
        <v>12267</v>
      </c>
      <c r="J269" s="11">
        <v>9258</v>
      </c>
      <c r="K269" s="11">
        <v>13599</v>
      </c>
      <c r="L269" s="11">
        <v>15171</v>
      </c>
      <c r="M269" s="11">
        <v>13884</v>
      </c>
      <c r="N269" s="11">
        <v>12262</v>
      </c>
      <c r="O269" s="11">
        <v>9520</v>
      </c>
      <c r="P269" s="11"/>
      <c r="Q269" s="11">
        <v>14486</v>
      </c>
      <c r="R269" s="11">
        <v>11749</v>
      </c>
      <c r="S269" s="11">
        <v>12886</v>
      </c>
      <c r="T269" s="11">
        <v>15400</v>
      </c>
      <c r="U269" s="11">
        <v>16382</v>
      </c>
      <c r="V269" s="11">
        <v>17060</v>
      </c>
      <c r="W269" s="11">
        <v>14869</v>
      </c>
      <c r="X269" s="11"/>
      <c r="Y269" s="11">
        <v>0</v>
      </c>
      <c r="Z269" s="11">
        <v>12562</v>
      </c>
      <c r="AA269" s="11">
        <v>13537</v>
      </c>
      <c r="AB269" s="11">
        <v>15662</v>
      </c>
      <c r="AC269" s="17">
        <f t="shared" si="44"/>
        <v>0.11387316853644798</v>
      </c>
      <c r="AD269" s="11">
        <f t="shared" si="45"/>
        <v>12280.142857142857</v>
      </c>
      <c r="AE269" s="11">
        <f t="shared" si="46"/>
        <v>14690.285714285714</v>
      </c>
      <c r="AF269" s="28">
        <f t="shared" si="53"/>
        <v>1.1962634217842976</v>
      </c>
      <c r="AG269" s="42">
        <f t="shared" si="47"/>
        <v>4.8693839727753679E-2</v>
      </c>
      <c r="AH269" s="14" t="str">
        <f t="shared" si="48"/>
        <v>*</v>
      </c>
      <c r="AI269" s="11">
        <f t="shared" si="49"/>
        <v>160</v>
      </c>
      <c r="AJ269" s="11">
        <f t="shared" si="50"/>
        <v>160</v>
      </c>
      <c r="AK269" s="11">
        <f t="shared" si="51"/>
        <v>0.11777822484150421</v>
      </c>
      <c r="AL269" s="42">
        <f t="shared" si="52"/>
        <v>0.11777822484150421</v>
      </c>
      <c r="AM269" s="14" t="str">
        <f t="shared" si="54"/>
        <v/>
      </c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</row>
    <row r="270" spans="1:56" ht="27" customHeight="1" x14ac:dyDescent="0.2">
      <c r="A270" s="9" t="s">
        <v>356</v>
      </c>
      <c r="B270" s="11">
        <v>307</v>
      </c>
      <c r="C270" s="2">
        <v>771.51719453512601</v>
      </c>
      <c r="D270" s="2">
        <v>7.3011033333332902</v>
      </c>
      <c r="E270" s="2">
        <v>-1</v>
      </c>
      <c r="F270" s="12" t="s">
        <v>157</v>
      </c>
      <c r="G270" s="12" t="s">
        <v>28</v>
      </c>
      <c r="H270" s="5"/>
      <c r="I270" s="11">
        <v>9533</v>
      </c>
      <c r="J270" s="11">
        <v>7145</v>
      </c>
      <c r="K270" s="11">
        <v>11921</v>
      </c>
      <c r="L270" s="11">
        <v>7888</v>
      </c>
      <c r="M270" s="11">
        <v>9576</v>
      </c>
      <c r="N270" s="11">
        <v>10217</v>
      </c>
      <c r="O270" s="11">
        <v>11500</v>
      </c>
      <c r="P270" s="11"/>
      <c r="Q270" s="11">
        <v>6133</v>
      </c>
      <c r="R270" s="11">
        <v>7371</v>
      </c>
      <c r="S270" s="11">
        <v>5083</v>
      </c>
      <c r="T270" s="11">
        <v>9441</v>
      </c>
      <c r="U270" s="11">
        <v>7332</v>
      </c>
      <c r="V270" s="11">
        <v>7598</v>
      </c>
      <c r="W270" s="11">
        <v>8499</v>
      </c>
      <c r="X270" s="11"/>
      <c r="Y270" s="11">
        <v>0</v>
      </c>
      <c r="Z270" s="11">
        <v>7905</v>
      </c>
      <c r="AA270" s="11">
        <v>9174</v>
      </c>
      <c r="AB270" s="11">
        <v>9848</v>
      </c>
      <c r="AC270" s="17">
        <f t="shared" si="44"/>
        <v>0.10991572880290579</v>
      </c>
      <c r="AD270" s="11">
        <f t="shared" si="45"/>
        <v>9682.8571428571431</v>
      </c>
      <c r="AE270" s="11">
        <f t="shared" si="46"/>
        <v>7351</v>
      </c>
      <c r="AF270" s="28">
        <f t="shared" si="53"/>
        <v>0.75917674830333426</v>
      </c>
      <c r="AG270" s="42">
        <f t="shared" si="47"/>
        <v>1.8838251835978925E-2</v>
      </c>
      <c r="AH270" s="14" t="str">
        <f t="shared" si="48"/>
        <v>*</v>
      </c>
      <c r="AI270" s="11">
        <f t="shared" si="49"/>
        <v>112</v>
      </c>
      <c r="AJ270" s="11">
        <f t="shared" si="50"/>
        <v>112</v>
      </c>
      <c r="AK270" s="11">
        <f t="shared" si="51"/>
        <v>6.5092888040391469E-2</v>
      </c>
      <c r="AL270" s="42">
        <f t="shared" si="52"/>
        <v>6.5092888040391469E-2</v>
      </c>
      <c r="AM270" s="14" t="str">
        <f t="shared" si="54"/>
        <v>*</v>
      </c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</row>
    <row r="271" spans="1:56" ht="27" customHeight="1" x14ac:dyDescent="0.2">
      <c r="A271" s="9" t="s">
        <v>356</v>
      </c>
      <c r="B271" s="11">
        <v>385</v>
      </c>
      <c r="C271" s="2">
        <v>721.50185231287401</v>
      </c>
      <c r="D271" s="2">
        <v>7.4177588235294101</v>
      </c>
      <c r="E271" s="2">
        <v>-1</v>
      </c>
      <c r="F271" s="12" t="s">
        <v>230</v>
      </c>
      <c r="G271" s="12" t="s">
        <v>28</v>
      </c>
      <c r="H271" s="5"/>
      <c r="I271" s="11">
        <v>6552</v>
      </c>
      <c r="J271" s="11">
        <v>6076</v>
      </c>
      <c r="K271" s="11">
        <v>9136</v>
      </c>
      <c r="L271" s="11">
        <v>4925</v>
      </c>
      <c r="M271" s="11">
        <v>7077</v>
      </c>
      <c r="N271" s="11">
        <v>7895</v>
      </c>
      <c r="O271" s="11">
        <v>9583</v>
      </c>
      <c r="P271" s="11"/>
      <c r="Q271" s="11">
        <v>4165</v>
      </c>
      <c r="R271" s="11">
        <v>6473</v>
      </c>
      <c r="S271" s="11">
        <v>3484</v>
      </c>
      <c r="T271" s="11">
        <v>4742</v>
      </c>
      <c r="U271" s="11">
        <v>4353</v>
      </c>
      <c r="V271" s="11">
        <v>4178</v>
      </c>
      <c r="W271" s="11">
        <v>6310</v>
      </c>
      <c r="X271" s="11"/>
      <c r="Y271" s="11">
        <v>0</v>
      </c>
      <c r="Z271" s="11">
        <v>7591</v>
      </c>
      <c r="AA271" s="11">
        <v>6641</v>
      </c>
      <c r="AB271" s="11">
        <v>6749</v>
      </c>
      <c r="AC271" s="17">
        <f t="shared" si="44"/>
        <v>7.4369665923739864E-2</v>
      </c>
      <c r="AD271" s="11">
        <f t="shared" si="45"/>
        <v>7320.5714285714284</v>
      </c>
      <c r="AE271" s="11">
        <f t="shared" si="46"/>
        <v>4815</v>
      </c>
      <c r="AF271" s="28">
        <f t="shared" si="53"/>
        <v>0.65773553977050969</v>
      </c>
      <c r="AG271" s="42">
        <f t="shared" si="47"/>
        <v>7.66168848038235E-3</v>
      </c>
      <c r="AH271" s="14" t="str">
        <f t="shared" si="48"/>
        <v>**</v>
      </c>
      <c r="AI271" s="11">
        <f t="shared" si="49"/>
        <v>64</v>
      </c>
      <c r="AJ271" s="11">
        <f t="shared" si="50"/>
        <v>64</v>
      </c>
      <c r="AK271" s="11">
        <f t="shared" si="51"/>
        <v>4.6329272529812025E-2</v>
      </c>
      <c r="AL271" s="42">
        <f t="shared" si="52"/>
        <v>4.4964454355635758E-2</v>
      </c>
      <c r="AM271" s="14" t="str">
        <f t="shared" si="54"/>
        <v>**</v>
      </c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</row>
    <row r="272" spans="1:56" ht="27" customHeight="1" x14ac:dyDescent="0.2">
      <c r="A272" s="9" t="s">
        <v>356</v>
      </c>
      <c r="B272" s="11">
        <v>407</v>
      </c>
      <c r="C272" s="2">
        <v>821.53283672320299</v>
      </c>
      <c r="D272" s="2">
        <v>7.6033855555554597</v>
      </c>
      <c r="E272" s="2">
        <v>-1</v>
      </c>
      <c r="F272" s="12" t="s">
        <v>151</v>
      </c>
      <c r="G272" s="12" t="s">
        <v>28</v>
      </c>
      <c r="H272" s="5"/>
      <c r="I272" s="11">
        <v>4987</v>
      </c>
      <c r="J272" s="11">
        <v>6668</v>
      </c>
      <c r="K272" s="11">
        <v>6294</v>
      </c>
      <c r="L272" s="11">
        <v>7842</v>
      </c>
      <c r="M272" s="11">
        <v>9066</v>
      </c>
      <c r="N272" s="11">
        <v>6212</v>
      </c>
      <c r="O272" s="11">
        <v>7030</v>
      </c>
      <c r="P272" s="11"/>
      <c r="Q272" s="11">
        <v>6058</v>
      </c>
      <c r="R272" s="11">
        <v>4957</v>
      </c>
      <c r="S272" s="11">
        <v>7660</v>
      </c>
      <c r="T272" s="11">
        <v>8804</v>
      </c>
      <c r="U272" s="11">
        <v>7871</v>
      </c>
      <c r="V272" s="11">
        <v>8743</v>
      </c>
      <c r="W272" s="11">
        <v>8324</v>
      </c>
      <c r="X272" s="11"/>
      <c r="Y272" s="11">
        <v>0</v>
      </c>
      <c r="Z272" s="11">
        <v>6209</v>
      </c>
      <c r="AA272" s="11">
        <v>7471</v>
      </c>
      <c r="AB272" s="11">
        <v>8272</v>
      </c>
      <c r="AC272" s="17">
        <f t="shared" si="44"/>
        <v>0.14213500331008011</v>
      </c>
      <c r="AD272" s="11">
        <f t="shared" si="45"/>
        <v>6871.2857142857147</v>
      </c>
      <c r="AE272" s="11">
        <f t="shared" si="46"/>
        <v>7488.1428571428569</v>
      </c>
      <c r="AF272" s="28">
        <f t="shared" si="53"/>
        <v>1.0897731761575085</v>
      </c>
      <c r="AG272" s="42">
        <f t="shared" si="47"/>
        <v>0.41879118084725209</v>
      </c>
      <c r="AH272" s="14" t="str">
        <f t="shared" si="48"/>
        <v>-</v>
      </c>
      <c r="AI272" s="11">
        <f t="shared" si="49"/>
        <v>300</v>
      </c>
      <c r="AJ272" s="11">
        <f t="shared" si="50"/>
        <v>300</v>
      </c>
      <c r="AK272" s="11">
        <f t="shared" si="51"/>
        <v>0.54024062329295519</v>
      </c>
      <c r="AL272" s="42">
        <f t="shared" si="52"/>
        <v>0.53860697496030663</v>
      </c>
      <c r="AM272" s="14" t="str">
        <f t="shared" si="54"/>
        <v/>
      </c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</row>
    <row r="273" spans="1:56" ht="27" customHeight="1" x14ac:dyDescent="0.2">
      <c r="A273" s="9" t="s">
        <v>356</v>
      </c>
      <c r="B273" s="11">
        <v>421</v>
      </c>
      <c r="C273" s="2">
        <v>793.50396251617201</v>
      </c>
      <c r="D273" s="2">
        <v>7.2063739583334296</v>
      </c>
      <c r="E273" s="2">
        <v>-1</v>
      </c>
      <c r="F273" s="12" t="s">
        <v>193</v>
      </c>
      <c r="G273" s="12" t="s">
        <v>28</v>
      </c>
      <c r="H273" s="5"/>
      <c r="I273" s="11">
        <v>2829</v>
      </c>
      <c r="J273" s="11">
        <v>3148</v>
      </c>
      <c r="K273" s="11">
        <v>5813</v>
      </c>
      <c r="L273" s="11">
        <v>5793</v>
      </c>
      <c r="M273" s="11">
        <v>5428</v>
      </c>
      <c r="N273" s="11">
        <v>5444</v>
      </c>
      <c r="O273" s="11">
        <v>5414</v>
      </c>
      <c r="P273" s="11"/>
      <c r="Q273" s="11">
        <v>4427</v>
      </c>
      <c r="R273" s="11">
        <v>4345</v>
      </c>
      <c r="S273" s="11">
        <v>5269</v>
      </c>
      <c r="T273" s="11">
        <v>7149</v>
      </c>
      <c r="U273" s="11">
        <v>8650</v>
      </c>
      <c r="V273" s="11">
        <v>7600</v>
      </c>
      <c r="W273" s="11">
        <v>7254</v>
      </c>
      <c r="X273" s="11"/>
      <c r="Y273" s="11">
        <v>129</v>
      </c>
      <c r="Z273" s="11">
        <v>4867</v>
      </c>
      <c r="AA273" s="11">
        <v>4749</v>
      </c>
      <c r="AB273" s="11">
        <v>6751</v>
      </c>
      <c r="AC273" s="17">
        <f t="shared" si="44"/>
        <v>0.20590371556537418</v>
      </c>
      <c r="AD273" s="11">
        <f t="shared" si="45"/>
        <v>4838.4285714285716</v>
      </c>
      <c r="AE273" s="11">
        <f t="shared" si="46"/>
        <v>6384.8571428571431</v>
      </c>
      <c r="AF273" s="28">
        <f t="shared" si="53"/>
        <v>1.3196138061354041</v>
      </c>
      <c r="AG273" s="42">
        <f t="shared" si="47"/>
        <v>7.9510763691828981E-2</v>
      </c>
      <c r="AH273" s="14" t="str">
        <f t="shared" si="48"/>
        <v>-</v>
      </c>
      <c r="AI273" s="11">
        <f t="shared" si="49"/>
        <v>185</v>
      </c>
      <c r="AJ273" s="11">
        <f t="shared" si="50"/>
        <v>185</v>
      </c>
      <c r="AK273" s="11">
        <f t="shared" si="51"/>
        <v>0.16632792188506929</v>
      </c>
      <c r="AL273" s="42">
        <f t="shared" si="52"/>
        <v>0.16632792188506929</v>
      </c>
      <c r="AM273" s="14" t="str">
        <f t="shared" si="54"/>
        <v/>
      </c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</row>
    <row r="274" spans="1:56" ht="27" customHeight="1" x14ac:dyDescent="0.2">
      <c r="A274" s="9" t="s">
        <v>356</v>
      </c>
      <c r="B274" s="11">
        <v>785</v>
      </c>
      <c r="C274" s="2">
        <v>769.50212144588704</v>
      </c>
      <c r="D274" s="2">
        <v>7.0744049019608202</v>
      </c>
      <c r="E274" s="2">
        <v>-1</v>
      </c>
      <c r="F274" s="12" t="s">
        <v>272</v>
      </c>
      <c r="G274" s="12" t="s">
        <v>28</v>
      </c>
      <c r="H274" s="5"/>
      <c r="I274" s="11">
        <v>2882</v>
      </c>
      <c r="J274" s="11">
        <v>2510</v>
      </c>
      <c r="K274" s="11">
        <v>4380</v>
      </c>
      <c r="L274" s="11">
        <v>2875</v>
      </c>
      <c r="M274" s="11">
        <v>3206</v>
      </c>
      <c r="N274" s="11">
        <v>1992</v>
      </c>
      <c r="O274" s="11">
        <v>3921</v>
      </c>
      <c r="P274" s="11"/>
      <c r="Q274" s="11">
        <v>2402</v>
      </c>
      <c r="R274" s="11">
        <v>398</v>
      </c>
      <c r="S274" s="11">
        <v>1525</v>
      </c>
      <c r="T274" s="11">
        <v>4364</v>
      </c>
      <c r="U274" s="11">
        <v>2104</v>
      </c>
      <c r="V274" s="11">
        <v>2396</v>
      </c>
      <c r="W274" s="11">
        <v>2287</v>
      </c>
      <c r="X274" s="11"/>
      <c r="Y274" s="11">
        <v>0</v>
      </c>
      <c r="Z274" s="11">
        <v>2364</v>
      </c>
      <c r="AA274" s="11">
        <v>3529</v>
      </c>
      <c r="AB274" s="11">
        <v>3640</v>
      </c>
      <c r="AC274" s="17">
        <f t="shared" si="44"/>
        <v>0.22243939955806685</v>
      </c>
      <c r="AD274" s="11">
        <f t="shared" si="45"/>
        <v>3109.4285714285716</v>
      </c>
      <c r="AE274" s="11">
        <f t="shared" si="46"/>
        <v>2210.8571428571427</v>
      </c>
      <c r="AF274" s="28">
        <f t="shared" si="53"/>
        <v>0.7110171827621059</v>
      </c>
      <c r="AG274" s="42">
        <f t="shared" si="47"/>
        <v>0.12844835220063897</v>
      </c>
      <c r="AH274" s="14" t="str">
        <f t="shared" si="48"/>
        <v>-</v>
      </c>
      <c r="AI274" s="11">
        <f t="shared" si="49"/>
        <v>213</v>
      </c>
      <c r="AJ274" s="11">
        <f t="shared" si="50"/>
        <v>213</v>
      </c>
      <c r="AK274" s="11">
        <f t="shared" si="51"/>
        <v>0.23337799202651305</v>
      </c>
      <c r="AL274" s="42">
        <f t="shared" si="52"/>
        <v>0.23298590016281245</v>
      </c>
      <c r="AM274" s="14" t="str">
        <f t="shared" si="54"/>
        <v/>
      </c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</row>
    <row r="275" spans="1:56" ht="27" customHeight="1" x14ac:dyDescent="0.2">
      <c r="A275" s="9" t="s">
        <v>356</v>
      </c>
      <c r="B275" s="11">
        <v>1108</v>
      </c>
      <c r="C275" s="2">
        <v>759.51724188863204</v>
      </c>
      <c r="D275" s="2">
        <v>7.4352458333331199</v>
      </c>
      <c r="E275" s="2">
        <v>-1</v>
      </c>
      <c r="F275" s="12" t="s">
        <v>570</v>
      </c>
      <c r="G275" s="12" t="s">
        <v>28</v>
      </c>
      <c r="H275" s="5"/>
      <c r="I275" s="11">
        <v>2379</v>
      </c>
      <c r="J275" s="11">
        <v>1975</v>
      </c>
      <c r="K275" s="11">
        <v>3013</v>
      </c>
      <c r="L275" s="11">
        <v>1950</v>
      </c>
      <c r="M275" s="11">
        <v>2090</v>
      </c>
      <c r="N275" s="11">
        <v>2225</v>
      </c>
      <c r="O275" s="11">
        <v>2171</v>
      </c>
      <c r="P275" s="11"/>
      <c r="Q275" s="11">
        <v>2020</v>
      </c>
      <c r="R275" s="11">
        <v>2437</v>
      </c>
      <c r="S275" s="11">
        <v>1571</v>
      </c>
      <c r="T275" s="11">
        <v>2522</v>
      </c>
      <c r="U275" s="11">
        <v>2263</v>
      </c>
      <c r="V275" s="11">
        <v>2162</v>
      </c>
      <c r="W275" s="11">
        <v>2986</v>
      </c>
      <c r="X275" s="11"/>
      <c r="Y275" s="11">
        <v>174</v>
      </c>
      <c r="Z275" s="11">
        <v>2445</v>
      </c>
      <c r="AA275" s="11">
        <v>2291</v>
      </c>
      <c r="AB275" s="11">
        <v>2392</v>
      </c>
      <c r="AC275" s="17">
        <f t="shared" si="44"/>
        <v>3.2927954535469109E-2</v>
      </c>
      <c r="AD275" s="11">
        <f t="shared" si="45"/>
        <v>2257.5714285714284</v>
      </c>
      <c r="AE275" s="11">
        <f t="shared" si="46"/>
        <v>2280.1428571428573</v>
      </c>
      <c r="AF275" s="28">
        <f t="shared" si="53"/>
        <v>1.0099981016262736</v>
      </c>
      <c r="AG275" s="42">
        <f t="shared" si="47"/>
        <v>0.91862526242980058</v>
      </c>
      <c r="AH275" s="14" t="str">
        <f t="shared" si="48"/>
        <v>-</v>
      </c>
      <c r="AI275" s="11">
        <f t="shared" si="49"/>
        <v>378</v>
      </c>
      <c r="AJ275" s="11">
        <f t="shared" si="50"/>
        <v>378</v>
      </c>
      <c r="AK275" s="11">
        <f t="shared" si="51"/>
        <v>0.94049729248765301</v>
      </c>
      <c r="AL275" s="42">
        <f t="shared" si="52"/>
        <v>0.94049729248765301</v>
      </c>
      <c r="AM275" s="14" t="str">
        <f t="shared" si="54"/>
        <v/>
      </c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</row>
    <row r="276" spans="1:56" ht="27" customHeight="1" x14ac:dyDescent="0.2">
      <c r="A276" s="9" t="s">
        <v>356</v>
      </c>
      <c r="B276" s="11">
        <v>1741</v>
      </c>
      <c r="C276" s="2">
        <v>743.48615642893503</v>
      </c>
      <c r="D276" s="2">
        <v>6.9884479166668703</v>
      </c>
      <c r="E276" s="2">
        <v>-1</v>
      </c>
      <c r="F276" s="12" t="s">
        <v>314</v>
      </c>
      <c r="G276" s="12" t="s">
        <v>28</v>
      </c>
      <c r="H276" s="5"/>
      <c r="I276" s="11">
        <v>927</v>
      </c>
      <c r="J276" s="11">
        <v>1196</v>
      </c>
      <c r="K276" s="11">
        <v>1510</v>
      </c>
      <c r="L276" s="11">
        <v>896</v>
      </c>
      <c r="M276" s="11">
        <v>1099</v>
      </c>
      <c r="N276" s="11">
        <v>1232</v>
      </c>
      <c r="O276" s="11">
        <v>1792</v>
      </c>
      <c r="P276" s="11"/>
      <c r="Q276" s="11">
        <v>1279</v>
      </c>
      <c r="R276" s="11">
        <v>1915</v>
      </c>
      <c r="S276" s="11">
        <v>795</v>
      </c>
      <c r="T276" s="11">
        <v>1620</v>
      </c>
      <c r="U276" s="11">
        <v>1450</v>
      </c>
      <c r="V276" s="11">
        <v>1658</v>
      </c>
      <c r="W276" s="11">
        <v>1792</v>
      </c>
      <c r="X276" s="11"/>
      <c r="Y276" s="11">
        <v>0</v>
      </c>
      <c r="Z276" s="11">
        <v>1447</v>
      </c>
      <c r="AA276" s="11">
        <v>1398</v>
      </c>
      <c r="AB276" s="11">
        <v>1631</v>
      </c>
      <c r="AC276" s="17">
        <f t="shared" si="44"/>
        <v>8.2336079983565319E-2</v>
      </c>
      <c r="AD276" s="11">
        <f t="shared" si="45"/>
        <v>1236</v>
      </c>
      <c r="AE276" s="11">
        <f t="shared" si="46"/>
        <v>1501.2857142857142</v>
      </c>
      <c r="AF276" s="28">
        <f t="shared" si="53"/>
        <v>1.2146324549237171</v>
      </c>
      <c r="AG276" s="42">
        <f t="shared" si="47"/>
        <v>0.18098765117636584</v>
      </c>
      <c r="AH276" s="14" t="str">
        <f t="shared" si="48"/>
        <v>-</v>
      </c>
      <c r="AI276" s="11">
        <f t="shared" si="49"/>
        <v>236</v>
      </c>
      <c r="AJ276" s="11">
        <f t="shared" si="50"/>
        <v>236</v>
      </c>
      <c r="AK276" s="11">
        <f t="shared" si="51"/>
        <v>0.29678907205615923</v>
      </c>
      <c r="AL276" s="42">
        <f t="shared" si="52"/>
        <v>0.29678907205615923</v>
      </c>
      <c r="AM276" s="14" t="str">
        <f t="shared" si="54"/>
        <v/>
      </c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</row>
    <row r="277" spans="1:56" ht="27" customHeight="1" x14ac:dyDescent="0.2">
      <c r="A277" s="9" t="s">
        <v>356</v>
      </c>
      <c r="B277" s="11">
        <v>4892</v>
      </c>
      <c r="C277" s="2">
        <v>693.46988449413902</v>
      </c>
      <c r="D277" s="2">
        <v>7.0580311111110596</v>
      </c>
      <c r="E277" s="2">
        <v>-1</v>
      </c>
      <c r="F277" s="12" t="s">
        <v>599</v>
      </c>
      <c r="G277" s="12" t="s">
        <v>28</v>
      </c>
      <c r="H277" s="5"/>
      <c r="I277" s="11">
        <v>619</v>
      </c>
      <c r="J277" s="11">
        <v>415</v>
      </c>
      <c r="K277" s="11">
        <v>476</v>
      </c>
      <c r="L277" s="11">
        <v>439</v>
      </c>
      <c r="M277" s="11">
        <v>332</v>
      </c>
      <c r="N277" s="11">
        <v>488</v>
      </c>
      <c r="O277" s="11">
        <v>602</v>
      </c>
      <c r="P277" s="11"/>
      <c r="Q277" s="11">
        <v>624</v>
      </c>
      <c r="R277" s="11">
        <v>480</v>
      </c>
      <c r="S277" s="11">
        <v>469</v>
      </c>
      <c r="T277" s="11">
        <v>604</v>
      </c>
      <c r="U277" s="11">
        <v>523</v>
      </c>
      <c r="V277" s="11">
        <v>552</v>
      </c>
      <c r="W277" s="11">
        <v>666</v>
      </c>
      <c r="X277" s="11"/>
      <c r="Y277" s="11">
        <v>0</v>
      </c>
      <c r="Z277" s="11">
        <v>419</v>
      </c>
      <c r="AA277" s="11">
        <v>628</v>
      </c>
      <c r="AB277" s="11">
        <v>640</v>
      </c>
      <c r="AC277" s="17">
        <f t="shared" si="44"/>
        <v>0.22099922734989963</v>
      </c>
      <c r="AD277" s="11">
        <f t="shared" si="45"/>
        <v>481.57142857142856</v>
      </c>
      <c r="AE277" s="11">
        <f t="shared" si="46"/>
        <v>559.71428571428567</v>
      </c>
      <c r="AF277" s="28">
        <f t="shared" si="53"/>
        <v>1.1622663897953129</v>
      </c>
      <c r="AG277" s="42">
        <f t="shared" si="47"/>
        <v>0.12943661120156247</v>
      </c>
      <c r="AH277" s="14" t="str">
        <f t="shared" si="48"/>
        <v>-</v>
      </c>
      <c r="AI277" s="11">
        <f t="shared" si="49"/>
        <v>215</v>
      </c>
      <c r="AJ277" s="11">
        <f t="shared" si="50"/>
        <v>215</v>
      </c>
      <c r="AK277" s="11">
        <f t="shared" si="51"/>
        <v>0.23298590016281245</v>
      </c>
      <c r="AL277" s="42">
        <f t="shared" si="52"/>
        <v>0.23298590016281245</v>
      </c>
      <c r="AM277" s="14" t="str">
        <f t="shared" si="54"/>
        <v/>
      </c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</row>
    <row r="278" spans="1:56" ht="27" customHeight="1" x14ac:dyDescent="0.2">
      <c r="A278" s="9" t="s">
        <v>356</v>
      </c>
      <c r="B278" s="11">
        <v>140</v>
      </c>
      <c r="C278" s="2">
        <v>865.50125667585598</v>
      </c>
      <c r="D278" s="2">
        <v>6.80757395833343</v>
      </c>
      <c r="E278" s="2">
        <v>-1</v>
      </c>
      <c r="F278" s="12" t="s">
        <v>111</v>
      </c>
      <c r="G278" s="12" t="s">
        <v>112</v>
      </c>
      <c r="H278" s="5"/>
      <c r="I278" s="11">
        <v>4504</v>
      </c>
      <c r="J278" s="11">
        <v>5010</v>
      </c>
      <c r="K278" s="11">
        <v>9024</v>
      </c>
      <c r="L278" s="11">
        <v>11628</v>
      </c>
      <c r="M278" s="11">
        <v>13703</v>
      </c>
      <c r="N278" s="11">
        <v>9365</v>
      </c>
      <c r="O278" s="11">
        <v>14612</v>
      </c>
      <c r="P278" s="11"/>
      <c r="Q278" s="11">
        <v>20658</v>
      </c>
      <c r="R278" s="11">
        <v>20464</v>
      </c>
      <c r="S278" s="11">
        <v>19347</v>
      </c>
      <c r="T278" s="11">
        <v>22905</v>
      </c>
      <c r="U278" s="11">
        <v>22183</v>
      </c>
      <c r="V278" s="11">
        <v>26780</v>
      </c>
      <c r="W278" s="11">
        <v>28574</v>
      </c>
      <c r="X278" s="11"/>
      <c r="Y278" s="11">
        <v>0</v>
      </c>
      <c r="Z278" s="11">
        <v>15731</v>
      </c>
      <c r="AA278" s="11">
        <v>18853</v>
      </c>
      <c r="AB278" s="11">
        <v>18729</v>
      </c>
      <c r="AC278" s="17">
        <f t="shared" si="44"/>
        <v>9.9475516178150439E-2</v>
      </c>
      <c r="AD278" s="11">
        <f t="shared" si="45"/>
        <v>9692.2857142857138</v>
      </c>
      <c r="AE278" s="11">
        <f t="shared" si="46"/>
        <v>22987.285714285714</v>
      </c>
      <c r="AF278" s="28">
        <f t="shared" si="53"/>
        <v>2.3717094596586388</v>
      </c>
      <c r="AG278" s="42">
        <f t="shared" si="47"/>
        <v>2.355864608227495E-5</v>
      </c>
      <c r="AH278" s="14" t="str">
        <f t="shared" si="48"/>
        <v>***</v>
      </c>
      <c r="AI278" s="11">
        <f t="shared" si="49"/>
        <v>2</v>
      </c>
      <c r="AJ278" s="11">
        <f t="shared" si="50"/>
        <v>2</v>
      </c>
      <c r="AK278" s="11">
        <f t="shared" si="51"/>
        <v>4.5585980169202027E-3</v>
      </c>
      <c r="AL278" s="42">
        <f t="shared" si="52"/>
        <v>4.5585980169202027E-3</v>
      </c>
      <c r="AM278" s="14" t="str">
        <f t="shared" si="54"/>
        <v>**</v>
      </c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</row>
    <row r="279" spans="1:56" ht="27" customHeight="1" x14ac:dyDescent="0.2">
      <c r="A279" s="9" t="s">
        <v>356</v>
      </c>
      <c r="B279" s="11">
        <v>326</v>
      </c>
      <c r="C279" s="2">
        <v>817.50182067826699</v>
      </c>
      <c r="D279" s="2">
        <v>6.8415874999998696</v>
      </c>
      <c r="E279" s="2">
        <v>-1</v>
      </c>
      <c r="F279" s="12" t="s">
        <v>144</v>
      </c>
      <c r="G279" s="12" t="s">
        <v>112</v>
      </c>
      <c r="H279" s="5"/>
      <c r="I279" s="11">
        <v>7307</v>
      </c>
      <c r="J279" s="11">
        <v>7559</v>
      </c>
      <c r="K279" s="11">
        <v>11221</v>
      </c>
      <c r="L279" s="11">
        <v>7867</v>
      </c>
      <c r="M279" s="11">
        <v>8604</v>
      </c>
      <c r="N279" s="11">
        <v>9679</v>
      </c>
      <c r="O279" s="11">
        <v>9904</v>
      </c>
      <c r="P279" s="11"/>
      <c r="Q279" s="11">
        <v>6008</v>
      </c>
      <c r="R279" s="11">
        <v>5367</v>
      </c>
      <c r="S279" s="11">
        <v>6445</v>
      </c>
      <c r="T279" s="11">
        <v>9542</v>
      </c>
      <c r="U279" s="11">
        <v>10590</v>
      </c>
      <c r="V279" s="11">
        <v>7998</v>
      </c>
      <c r="W279" s="11">
        <v>8852</v>
      </c>
      <c r="X279" s="11"/>
      <c r="Y279" s="11">
        <v>0</v>
      </c>
      <c r="Z279" s="11">
        <v>7511</v>
      </c>
      <c r="AA279" s="11">
        <v>9191</v>
      </c>
      <c r="AB279" s="11">
        <v>10407</v>
      </c>
      <c r="AC279" s="17">
        <f t="shared" si="44"/>
        <v>0.16092611478115254</v>
      </c>
      <c r="AD279" s="11">
        <f t="shared" si="45"/>
        <v>8877.2857142857138</v>
      </c>
      <c r="AE279" s="11">
        <f t="shared" si="46"/>
        <v>7828.8571428571431</v>
      </c>
      <c r="AF279" s="28">
        <f t="shared" si="53"/>
        <v>0.8818976199288715</v>
      </c>
      <c r="AG279" s="42">
        <f t="shared" si="47"/>
        <v>0.2777128277719399</v>
      </c>
      <c r="AH279" s="14" t="str">
        <f t="shared" si="48"/>
        <v>-</v>
      </c>
      <c r="AI279" s="11">
        <f t="shared" si="49"/>
        <v>267</v>
      </c>
      <c r="AJ279" s="11">
        <f t="shared" si="50"/>
        <v>267</v>
      </c>
      <c r="AK279" s="11">
        <f t="shared" si="51"/>
        <v>0.40252758182674431</v>
      </c>
      <c r="AL279" s="42">
        <f t="shared" si="52"/>
        <v>0.40252758182674431</v>
      </c>
      <c r="AM279" s="14" t="str">
        <f t="shared" si="54"/>
        <v/>
      </c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</row>
    <row r="280" spans="1:56" ht="27" customHeight="1" x14ac:dyDescent="0.2">
      <c r="A280" s="9" t="s">
        <v>356</v>
      </c>
      <c r="B280" s="11">
        <v>629</v>
      </c>
      <c r="C280" s="2">
        <v>819.51773006506903</v>
      </c>
      <c r="D280" s="2">
        <v>7.0533447916666203</v>
      </c>
      <c r="E280" s="2">
        <v>-1</v>
      </c>
      <c r="F280" s="12" t="s">
        <v>558</v>
      </c>
      <c r="G280" s="12" t="s">
        <v>112</v>
      </c>
      <c r="H280" s="5"/>
      <c r="I280" s="11">
        <v>4163</v>
      </c>
      <c r="J280" s="11">
        <v>2884</v>
      </c>
      <c r="K280" s="11">
        <v>5515</v>
      </c>
      <c r="L280" s="11">
        <v>4541</v>
      </c>
      <c r="M280" s="11">
        <v>5133</v>
      </c>
      <c r="N280" s="11">
        <v>4928</v>
      </c>
      <c r="O280" s="11">
        <v>5270</v>
      </c>
      <c r="P280" s="11"/>
      <c r="Q280" s="11">
        <v>4143</v>
      </c>
      <c r="R280" s="11">
        <v>2957</v>
      </c>
      <c r="S280" s="11">
        <v>3237</v>
      </c>
      <c r="T280" s="11">
        <v>5707</v>
      </c>
      <c r="U280" s="11">
        <v>5211</v>
      </c>
      <c r="V280" s="11">
        <v>4364</v>
      </c>
      <c r="W280" s="11">
        <v>5225</v>
      </c>
      <c r="X280" s="11"/>
      <c r="Y280" s="11">
        <v>83</v>
      </c>
      <c r="Z280" s="11">
        <v>4028</v>
      </c>
      <c r="AA280" s="11">
        <v>5207</v>
      </c>
      <c r="AB280" s="11">
        <v>5215</v>
      </c>
      <c r="AC280" s="17">
        <f t="shared" si="44"/>
        <v>0.14180285424697148</v>
      </c>
      <c r="AD280" s="11">
        <f t="shared" si="45"/>
        <v>4633.4285714285716</v>
      </c>
      <c r="AE280" s="11">
        <f t="shared" si="46"/>
        <v>4406.2857142857147</v>
      </c>
      <c r="AF280" s="28">
        <f t="shared" si="53"/>
        <v>0.95097736942714439</v>
      </c>
      <c r="AG280" s="42">
        <f t="shared" si="47"/>
        <v>0.67019308119885812</v>
      </c>
      <c r="AH280" s="14" t="str">
        <f t="shared" si="48"/>
        <v>-</v>
      </c>
      <c r="AI280" s="11">
        <f t="shared" si="49"/>
        <v>344</v>
      </c>
      <c r="AJ280" s="11">
        <f t="shared" si="50"/>
        <v>344</v>
      </c>
      <c r="AK280" s="11">
        <f t="shared" si="51"/>
        <v>0.75396721634871533</v>
      </c>
      <c r="AL280" s="42">
        <f t="shared" si="52"/>
        <v>0.75396721634871533</v>
      </c>
      <c r="AM280" s="14" t="str">
        <f t="shared" si="54"/>
        <v/>
      </c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</row>
    <row r="281" spans="1:56" ht="27" customHeight="1" x14ac:dyDescent="0.2">
      <c r="A281" s="9" t="s">
        <v>356</v>
      </c>
      <c r="B281" s="11">
        <v>940</v>
      </c>
      <c r="C281" s="2">
        <v>769.50121060453898</v>
      </c>
      <c r="D281" s="2">
        <v>6.8781763888889103</v>
      </c>
      <c r="E281" s="2">
        <v>-1</v>
      </c>
      <c r="F281" s="12" t="s">
        <v>249</v>
      </c>
      <c r="G281" s="12" t="s">
        <v>112</v>
      </c>
      <c r="H281" s="5"/>
      <c r="I281" s="11">
        <v>4333</v>
      </c>
      <c r="J281" s="11">
        <v>3049</v>
      </c>
      <c r="K281" s="11">
        <v>4650</v>
      </c>
      <c r="L281" s="11">
        <v>3588</v>
      </c>
      <c r="M281" s="11">
        <v>2414</v>
      </c>
      <c r="N281" s="11">
        <v>1939</v>
      </c>
      <c r="O281" s="11">
        <v>3422</v>
      </c>
      <c r="P281" s="11"/>
      <c r="Q281" s="11">
        <v>1923</v>
      </c>
      <c r="R281" s="11">
        <v>743</v>
      </c>
      <c r="S281" s="11">
        <v>1341</v>
      </c>
      <c r="T281" s="11">
        <v>1716</v>
      </c>
      <c r="U281" s="11">
        <v>2212</v>
      </c>
      <c r="V281" s="11">
        <v>782</v>
      </c>
      <c r="W281" s="11">
        <v>1699</v>
      </c>
      <c r="X281" s="11"/>
      <c r="Y281" s="11">
        <v>0</v>
      </c>
      <c r="Z281" s="11">
        <v>2650</v>
      </c>
      <c r="AA281" s="11">
        <v>3328</v>
      </c>
      <c r="AB281" s="11">
        <v>3046</v>
      </c>
      <c r="AC281" s="17">
        <f t="shared" si="44"/>
        <v>0.1132292551429859</v>
      </c>
      <c r="AD281" s="11">
        <f t="shared" si="45"/>
        <v>3342.1428571428573</v>
      </c>
      <c r="AE281" s="11">
        <f t="shared" si="46"/>
        <v>1488</v>
      </c>
      <c r="AF281" s="28">
        <f t="shared" si="53"/>
        <v>0.44522333832015387</v>
      </c>
      <c r="AG281" s="42">
        <f t="shared" si="47"/>
        <v>1.5448418824216563E-3</v>
      </c>
      <c r="AH281" s="14" t="str">
        <f t="shared" si="48"/>
        <v>**</v>
      </c>
      <c r="AI281" s="11">
        <f t="shared" si="49"/>
        <v>26</v>
      </c>
      <c r="AJ281" s="11">
        <f t="shared" si="50"/>
        <v>26</v>
      </c>
      <c r="AK281" s="11">
        <f t="shared" si="51"/>
        <v>2.2994377249891576E-2</v>
      </c>
      <c r="AL281" s="42">
        <f t="shared" si="52"/>
        <v>2.2287012499099531E-2</v>
      </c>
      <c r="AM281" s="14" t="str">
        <f t="shared" si="54"/>
        <v>**</v>
      </c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</row>
    <row r="282" spans="1:56" ht="27" customHeight="1" x14ac:dyDescent="0.2">
      <c r="A282" s="9" t="s">
        <v>356</v>
      </c>
      <c r="B282" s="11">
        <v>1471</v>
      </c>
      <c r="C282" s="2">
        <v>841.50105651101603</v>
      </c>
      <c r="D282" s="2">
        <v>6.8355568627449896</v>
      </c>
      <c r="E282" s="2">
        <v>-1</v>
      </c>
      <c r="F282" s="12" t="s">
        <v>303</v>
      </c>
      <c r="G282" s="12" t="s">
        <v>112</v>
      </c>
      <c r="H282" s="5"/>
      <c r="I282" s="11">
        <v>518</v>
      </c>
      <c r="J282" s="11">
        <v>638</v>
      </c>
      <c r="K282" s="11">
        <v>1012</v>
      </c>
      <c r="L282" s="11">
        <v>1099</v>
      </c>
      <c r="M282" s="11">
        <v>1101</v>
      </c>
      <c r="N282" s="11">
        <v>706</v>
      </c>
      <c r="O282" s="11">
        <v>1548</v>
      </c>
      <c r="P282" s="11"/>
      <c r="Q282" s="11">
        <v>1037</v>
      </c>
      <c r="R282" s="11">
        <v>849</v>
      </c>
      <c r="S282" s="11">
        <v>949</v>
      </c>
      <c r="T282" s="11">
        <v>1332</v>
      </c>
      <c r="U282" s="11">
        <v>1370</v>
      </c>
      <c r="V282" s="11">
        <v>1452</v>
      </c>
      <c r="W282" s="11">
        <v>2191</v>
      </c>
      <c r="X282" s="11"/>
      <c r="Y282" s="11">
        <v>0</v>
      </c>
      <c r="Z282" s="11">
        <v>1171</v>
      </c>
      <c r="AA282" s="11">
        <v>1177</v>
      </c>
      <c r="AB282" s="11">
        <v>1174</v>
      </c>
      <c r="AC282" s="17">
        <f t="shared" si="44"/>
        <v>2.5553662691652468E-3</v>
      </c>
      <c r="AD282" s="11">
        <f t="shared" si="45"/>
        <v>946</v>
      </c>
      <c r="AE282" s="11">
        <f t="shared" si="46"/>
        <v>1311.4285714285713</v>
      </c>
      <c r="AF282" s="28">
        <f t="shared" si="53"/>
        <v>1.386288130474177</v>
      </c>
      <c r="AG282" s="42">
        <f t="shared" si="47"/>
        <v>0.11858514081356691</v>
      </c>
      <c r="AH282" s="14" t="str">
        <f t="shared" si="48"/>
        <v>-</v>
      </c>
      <c r="AI282" s="11">
        <f t="shared" si="49"/>
        <v>209</v>
      </c>
      <c r="AJ282" s="11">
        <f t="shared" si="50"/>
        <v>209</v>
      </c>
      <c r="AK282" s="11">
        <f t="shared" si="51"/>
        <v>0.21958109806148515</v>
      </c>
      <c r="AL282" s="42">
        <f t="shared" si="52"/>
        <v>0.21958109806148515</v>
      </c>
      <c r="AM282" s="14" t="str">
        <f t="shared" si="54"/>
        <v/>
      </c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</row>
    <row r="283" spans="1:56" ht="27" customHeight="1" x14ac:dyDescent="0.2">
      <c r="A283" s="9" t="s">
        <v>356</v>
      </c>
      <c r="B283" s="11">
        <v>285</v>
      </c>
      <c r="C283" s="2">
        <v>923.50515149611397</v>
      </c>
      <c r="D283" s="2">
        <v>6.4555401960785197</v>
      </c>
      <c r="E283" s="2">
        <v>-1</v>
      </c>
      <c r="F283" s="12" t="s">
        <v>159</v>
      </c>
      <c r="G283" s="12" t="s">
        <v>160</v>
      </c>
      <c r="H283" s="5"/>
      <c r="I283" s="11">
        <v>12662</v>
      </c>
      <c r="J283" s="11">
        <v>13360</v>
      </c>
      <c r="K283" s="11">
        <v>10988</v>
      </c>
      <c r="L283" s="11">
        <v>10472</v>
      </c>
      <c r="M283" s="11">
        <v>9272</v>
      </c>
      <c r="N283" s="11">
        <v>13261</v>
      </c>
      <c r="O283" s="11">
        <v>11579</v>
      </c>
      <c r="P283" s="11"/>
      <c r="Q283" s="11">
        <v>8013</v>
      </c>
      <c r="R283" s="11">
        <v>8664</v>
      </c>
      <c r="S283" s="11">
        <v>10055</v>
      </c>
      <c r="T283" s="11">
        <v>11113</v>
      </c>
      <c r="U283" s="11">
        <v>8345</v>
      </c>
      <c r="V283" s="11">
        <v>10408</v>
      </c>
      <c r="W283" s="11">
        <v>6886</v>
      </c>
      <c r="X283" s="11"/>
      <c r="Y283" s="11">
        <v>0</v>
      </c>
      <c r="Z283" s="11">
        <v>9824</v>
      </c>
      <c r="AA283" s="11">
        <v>12301</v>
      </c>
      <c r="AB283" s="11">
        <v>10411</v>
      </c>
      <c r="AC283" s="17">
        <f t="shared" si="44"/>
        <v>0.11934713207501652</v>
      </c>
      <c r="AD283" s="11">
        <f t="shared" si="45"/>
        <v>11656.285714285714</v>
      </c>
      <c r="AE283" s="11">
        <f t="shared" si="46"/>
        <v>9069.1428571428569</v>
      </c>
      <c r="AF283" s="28">
        <f t="shared" si="53"/>
        <v>0.77804740544647888</v>
      </c>
      <c r="AG283" s="42">
        <f t="shared" si="47"/>
        <v>7.7084904847435102E-3</v>
      </c>
      <c r="AH283" s="14" t="str">
        <f t="shared" si="48"/>
        <v>**</v>
      </c>
      <c r="AI283" s="11">
        <f t="shared" si="49"/>
        <v>65</v>
      </c>
      <c r="AJ283" s="11">
        <f t="shared" si="50"/>
        <v>65</v>
      </c>
      <c r="AK283" s="11">
        <f t="shared" si="51"/>
        <v>4.589516642454982E-2</v>
      </c>
      <c r="AL283" s="42">
        <f t="shared" si="52"/>
        <v>4.4964454355635758E-2</v>
      </c>
      <c r="AM283" s="14" t="str">
        <f t="shared" si="54"/>
        <v>**</v>
      </c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</row>
    <row r="284" spans="1:56" ht="27" customHeight="1" x14ac:dyDescent="0.2">
      <c r="A284" s="9" t="s">
        <v>356</v>
      </c>
      <c r="B284" s="11">
        <v>541</v>
      </c>
      <c r="C284" s="2">
        <v>971.50414882320399</v>
      </c>
      <c r="D284" s="2">
        <v>6.4216607843137599</v>
      </c>
      <c r="E284" s="2">
        <v>-1</v>
      </c>
      <c r="F284" s="12" t="s">
        <v>211</v>
      </c>
      <c r="G284" s="12" t="s">
        <v>160</v>
      </c>
      <c r="H284" s="5"/>
      <c r="I284" s="11">
        <v>4344</v>
      </c>
      <c r="J284" s="11">
        <v>4833</v>
      </c>
      <c r="K284" s="11">
        <v>5016</v>
      </c>
      <c r="L284" s="11">
        <v>3104</v>
      </c>
      <c r="M284" s="11">
        <v>3530</v>
      </c>
      <c r="N284" s="11">
        <v>5706</v>
      </c>
      <c r="O284" s="11">
        <v>4827</v>
      </c>
      <c r="P284" s="11"/>
      <c r="Q284" s="11">
        <v>3380</v>
      </c>
      <c r="R284" s="11">
        <v>3406</v>
      </c>
      <c r="S284" s="11">
        <v>6511</v>
      </c>
      <c r="T284" s="11">
        <v>5590</v>
      </c>
      <c r="U284" s="11">
        <v>5112</v>
      </c>
      <c r="V284" s="11">
        <v>6494</v>
      </c>
      <c r="W284" s="11">
        <v>4627</v>
      </c>
      <c r="X284" s="11"/>
      <c r="Y284" s="11">
        <v>0</v>
      </c>
      <c r="Z284" s="11">
        <v>4439</v>
      </c>
      <c r="AA284" s="11">
        <v>5403</v>
      </c>
      <c r="AB284" s="11">
        <v>5443</v>
      </c>
      <c r="AC284" s="17">
        <f t="shared" si="44"/>
        <v>0.11157303213382831</v>
      </c>
      <c r="AD284" s="11">
        <f t="shared" si="45"/>
        <v>4480</v>
      </c>
      <c r="AE284" s="11">
        <f t="shared" si="46"/>
        <v>5017.1428571428569</v>
      </c>
      <c r="AF284" s="28">
        <f t="shared" si="53"/>
        <v>1.1198979591836735</v>
      </c>
      <c r="AG284" s="42">
        <f t="shared" si="47"/>
        <v>0.38902911962057052</v>
      </c>
      <c r="AH284" s="14" t="str">
        <f t="shared" si="48"/>
        <v>-</v>
      </c>
      <c r="AI284" s="11">
        <f t="shared" si="49"/>
        <v>292</v>
      </c>
      <c r="AJ284" s="11">
        <f t="shared" si="50"/>
        <v>292</v>
      </c>
      <c r="AK284" s="11">
        <f t="shared" si="51"/>
        <v>0.51559681264781088</v>
      </c>
      <c r="AL284" s="42">
        <f t="shared" si="52"/>
        <v>0.51177444068705213</v>
      </c>
      <c r="AM284" s="14" t="str">
        <f t="shared" si="54"/>
        <v/>
      </c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</row>
    <row r="285" spans="1:56" ht="27" customHeight="1" x14ac:dyDescent="0.2">
      <c r="A285" s="9" t="s">
        <v>356</v>
      </c>
      <c r="B285" s="11">
        <v>581</v>
      </c>
      <c r="C285" s="2">
        <v>925.52018094279504</v>
      </c>
      <c r="D285" s="2">
        <v>6.6805362745097598</v>
      </c>
      <c r="E285" s="2">
        <v>-1</v>
      </c>
      <c r="F285" s="12" t="s">
        <v>254</v>
      </c>
      <c r="G285" s="12" t="s">
        <v>160</v>
      </c>
      <c r="H285" s="5"/>
      <c r="I285" s="11">
        <v>2501</v>
      </c>
      <c r="J285" s="11">
        <v>3053</v>
      </c>
      <c r="K285" s="11">
        <v>2714</v>
      </c>
      <c r="L285" s="11">
        <v>2134</v>
      </c>
      <c r="M285" s="11">
        <v>2751</v>
      </c>
      <c r="N285" s="11">
        <v>3286</v>
      </c>
      <c r="O285" s="11">
        <v>2621</v>
      </c>
      <c r="P285" s="11"/>
      <c r="Q285" s="11">
        <v>3233</v>
      </c>
      <c r="R285" s="11">
        <v>2870</v>
      </c>
      <c r="S285" s="11">
        <v>4876</v>
      </c>
      <c r="T285" s="11">
        <v>5132</v>
      </c>
      <c r="U285" s="11">
        <v>6026</v>
      </c>
      <c r="V285" s="11">
        <v>5221</v>
      </c>
      <c r="W285" s="11">
        <v>4770</v>
      </c>
      <c r="X285" s="11"/>
      <c r="Y285" s="11">
        <v>0</v>
      </c>
      <c r="Z285" s="11">
        <v>3981</v>
      </c>
      <c r="AA285" s="11">
        <v>3309</v>
      </c>
      <c r="AB285" s="11">
        <v>3006</v>
      </c>
      <c r="AC285" s="17">
        <f t="shared" si="44"/>
        <v>0.14539685431351745</v>
      </c>
      <c r="AD285" s="11">
        <f t="shared" si="45"/>
        <v>2722.8571428571427</v>
      </c>
      <c r="AE285" s="11">
        <f t="shared" si="46"/>
        <v>4589.7142857142853</v>
      </c>
      <c r="AF285" s="28">
        <f t="shared" si="53"/>
        <v>1.6856243441762855</v>
      </c>
      <c r="AG285" s="42">
        <f t="shared" si="47"/>
        <v>3.9347032465183417E-3</v>
      </c>
      <c r="AH285" s="14" t="str">
        <f t="shared" si="48"/>
        <v>**</v>
      </c>
      <c r="AI285" s="11">
        <f t="shared" si="49"/>
        <v>45</v>
      </c>
      <c r="AJ285" s="11">
        <f t="shared" si="50"/>
        <v>45</v>
      </c>
      <c r="AK285" s="11">
        <f t="shared" si="51"/>
        <v>3.3838447920057739E-2</v>
      </c>
      <c r="AL285" s="42">
        <f t="shared" si="52"/>
        <v>3.3605010270169405E-2</v>
      </c>
      <c r="AM285" s="14" t="str">
        <f t="shared" si="54"/>
        <v>**</v>
      </c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</row>
    <row r="286" spans="1:56" ht="27" customHeight="1" x14ac:dyDescent="0.2">
      <c r="A286" s="9" t="s">
        <v>356</v>
      </c>
      <c r="B286" s="11">
        <v>2072</v>
      </c>
      <c r="C286" s="2">
        <v>949.51870087509099</v>
      </c>
      <c r="D286" s="2">
        <v>6.5842784313726401</v>
      </c>
      <c r="E286" s="2">
        <v>-1</v>
      </c>
      <c r="F286" s="12" t="s">
        <v>317</v>
      </c>
      <c r="G286" s="12" t="s">
        <v>160</v>
      </c>
      <c r="H286" s="5"/>
      <c r="I286" s="11">
        <v>637</v>
      </c>
      <c r="J286" s="11">
        <v>1060</v>
      </c>
      <c r="K286" s="11">
        <v>818</v>
      </c>
      <c r="L286" s="11">
        <v>756</v>
      </c>
      <c r="M286" s="11">
        <v>1071</v>
      </c>
      <c r="N286" s="11">
        <v>1094</v>
      </c>
      <c r="O286" s="11">
        <v>1470</v>
      </c>
      <c r="P286" s="11"/>
      <c r="Q286" s="11">
        <v>657</v>
      </c>
      <c r="R286" s="11">
        <v>500</v>
      </c>
      <c r="S286" s="11">
        <v>1173</v>
      </c>
      <c r="T286" s="11">
        <v>1151</v>
      </c>
      <c r="U286" s="11">
        <v>1077</v>
      </c>
      <c r="V286" s="11">
        <v>953</v>
      </c>
      <c r="W286" s="11">
        <v>1193</v>
      </c>
      <c r="X286" s="11"/>
      <c r="Y286" s="11">
        <v>0</v>
      </c>
      <c r="Z286" s="11">
        <v>1007</v>
      </c>
      <c r="AA286" s="11">
        <v>938</v>
      </c>
      <c r="AB286" s="11">
        <v>800</v>
      </c>
      <c r="AC286" s="17">
        <f t="shared" si="44"/>
        <v>0.11519042730490089</v>
      </c>
      <c r="AD286" s="11">
        <f t="shared" si="45"/>
        <v>986.57142857142856</v>
      </c>
      <c r="AE286" s="11">
        <f t="shared" si="46"/>
        <v>957.71428571428567</v>
      </c>
      <c r="AF286" s="28">
        <f t="shared" si="53"/>
        <v>0.9707500724008109</v>
      </c>
      <c r="AG286" s="42">
        <f t="shared" si="47"/>
        <v>0.8482490074801099</v>
      </c>
      <c r="AH286" s="14" t="str">
        <f t="shared" si="48"/>
        <v>-</v>
      </c>
      <c r="AI286" s="11">
        <f t="shared" si="49"/>
        <v>371</v>
      </c>
      <c r="AJ286" s="11">
        <f t="shared" si="50"/>
        <v>371</v>
      </c>
      <c r="AK286" s="11">
        <f t="shared" si="51"/>
        <v>0.88483117491860519</v>
      </c>
      <c r="AL286" s="42">
        <f t="shared" si="52"/>
        <v>0.88483117491860519</v>
      </c>
      <c r="AM286" s="14" t="str">
        <f t="shared" si="54"/>
        <v/>
      </c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</row>
    <row r="287" spans="1:56" ht="27" customHeight="1" x14ac:dyDescent="0.2">
      <c r="A287" s="9" t="s">
        <v>356</v>
      </c>
      <c r="B287" s="11">
        <v>2334</v>
      </c>
      <c r="C287" s="2">
        <v>901.51540334728395</v>
      </c>
      <c r="D287" s="2">
        <v>6.83920897435884</v>
      </c>
      <c r="E287" s="2">
        <v>-1</v>
      </c>
      <c r="F287" s="12" t="s">
        <v>337</v>
      </c>
      <c r="G287" s="12" t="s">
        <v>160</v>
      </c>
      <c r="H287" s="5" t="s">
        <v>591</v>
      </c>
      <c r="I287" s="11">
        <v>709</v>
      </c>
      <c r="J287" s="11">
        <v>578</v>
      </c>
      <c r="K287" s="11">
        <v>695</v>
      </c>
      <c r="L287" s="11">
        <v>709</v>
      </c>
      <c r="M287" s="11">
        <v>675</v>
      </c>
      <c r="N287" s="11">
        <v>1300</v>
      </c>
      <c r="O287" s="11">
        <v>588</v>
      </c>
      <c r="P287" s="11"/>
      <c r="Q287" s="11">
        <v>507</v>
      </c>
      <c r="R287" s="11">
        <v>361</v>
      </c>
      <c r="S287" s="11">
        <v>302</v>
      </c>
      <c r="T287" s="11">
        <v>412</v>
      </c>
      <c r="U287" s="11">
        <v>509</v>
      </c>
      <c r="V287" s="11">
        <v>200</v>
      </c>
      <c r="W287" s="11">
        <v>667</v>
      </c>
      <c r="X287" s="11"/>
      <c r="Y287" s="11">
        <v>0</v>
      </c>
      <c r="Z287" s="11">
        <v>645</v>
      </c>
      <c r="AA287" s="11">
        <v>595</v>
      </c>
      <c r="AB287" s="11">
        <v>829</v>
      </c>
      <c r="AC287" s="17">
        <f t="shared" si="44"/>
        <v>0.17867875956912455</v>
      </c>
      <c r="AD287" s="11">
        <f t="shared" si="45"/>
        <v>750.57142857142856</v>
      </c>
      <c r="AE287" s="11">
        <f t="shared" si="46"/>
        <v>422.57142857142856</v>
      </c>
      <c r="AF287" s="28">
        <f t="shared" si="53"/>
        <v>0.56299961933764753</v>
      </c>
      <c r="AG287" s="42">
        <f t="shared" si="47"/>
        <v>1.4047672027957642E-2</v>
      </c>
      <c r="AH287" s="14" t="str">
        <f t="shared" si="48"/>
        <v>*</v>
      </c>
      <c r="AI287" s="11">
        <f t="shared" si="49"/>
        <v>90</v>
      </c>
      <c r="AJ287" s="11">
        <f t="shared" si="50"/>
        <v>90</v>
      </c>
      <c r="AK287" s="11">
        <f t="shared" si="51"/>
        <v>6.0404989720217857E-2</v>
      </c>
      <c r="AL287" s="42">
        <f t="shared" si="52"/>
        <v>5.988930949268257E-2</v>
      </c>
      <c r="AM287" s="14" t="str">
        <f t="shared" si="54"/>
        <v>*</v>
      </c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</row>
    <row r="288" spans="1:56" ht="27" customHeight="1" x14ac:dyDescent="0.2">
      <c r="A288" s="9" t="s">
        <v>356</v>
      </c>
      <c r="B288" s="11">
        <v>717</v>
      </c>
      <c r="C288" s="2">
        <v>923.50421728867695</v>
      </c>
      <c r="D288" s="2">
        <v>6.1248166666667103</v>
      </c>
      <c r="E288" s="2">
        <v>-1</v>
      </c>
      <c r="F288" s="12" t="s">
        <v>232</v>
      </c>
      <c r="G288" s="12" t="s">
        <v>233</v>
      </c>
      <c r="H288" s="5"/>
      <c r="I288" s="11">
        <v>2723</v>
      </c>
      <c r="J288" s="11">
        <v>2189</v>
      </c>
      <c r="K288" s="11">
        <v>1460</v>
      </c>
      <c r="L288" s="11">
        <v>2662</v>
      </c>
      <c r="M288" s="11">
        <v>2485</v>
      </c>
      <c r="N288" s="11">
        <v>3347</v>
      </c>
      <c r="O288" s="11">
        <v>2046</v>
      </c>
      <c r="P288" s="11"/>
      <c r="Q288" s="11">
        <v>4835</v>
      </c>
      <c r="R288" s="11">
        <v>185</v>
      </c>
      <c r="S288" s="11">
        <v>1133</v>
      </c>
      <c r="T288" s="11">
        <v>2918</v>
      </c>
      <c r="U288" s="11">
        <v>2497</v>
      </c>
      <c r="V288" s="11">
        <v>5285</v>
      </c>
      <c r="W288" s="11">
        <v>2120</v>
      </c>
      <c r="X288" s="11"/>
      <c r="Y288" s="11">
        <v>0</v>
      </c>
      <c r="Z288" s="11">
        <v>2598</v>
      </c>
      <c r="AA288" s="11">
        <v>2500</v>
      </c>
      <c r="AB288" s="11">
        <v>2613</v>
      </c>
      <c r="AC288" s="17">
        <f t="shared" si="44"/>
        <v>2.3876459516699786E-2</v>
      </c>
      <c r="AD288" s="11">
        <f t="shared" si="45"/>
        <v>2416</v>
      </c>
      <c r="AE288" s="11">
        <f t="shared" si="46"/>
        <v>2710.4285714285716</v>
      </c>
      <c r="AF288" s="28">
        <f t="shared" si="53"/>
        <v>1.1218661305581836</v>
      </c>
      <c r="AG288" s="42">
        <f t="shared" si="47"/>
        <v>0.69957261918557712</v>
      </c>
      <c r="AH288" s="14" t="str">
        <f t="shared" si="48"/>
        <v>-</v>
      </c>
      <c r="AI288" s="11">
        <f t="shared" si="49"/>
        <v>349</v>
      </c>
      <c r="AJ288" s="11">
        <f t="shared" si="50"/>
        <v>349</v>
      </c>
      <c r="AK288" s="11">
        <f t="shared" si="51"/>
        <v>0.77574384992784629</v>
      </c>
      <c r="AL288" s="42">
        <f t="shared" si="52"/>
        <v>0.77574384992784629</v>
      </c>
      <c r="AM288" s="14" t="str">
        <f t="shared" si="54"/>
        <v/>
      </c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</row>
    <row r="289" spans="1:56" ht="27" customHeight="1" x14ac:dyDescent="0.2">
      <c r="A289" s="9" t="s">
        <v>356</v>
      </c>
      <c r="B289" s="11">
        <v>812</v>
      </c>
      <c r="C289" s="2">
        <v>925.51991236245703</v>
      </c>
      <c r="D289" s="2">
        <v>6.29155</v>
      </c>
      <c r="E289" s="2">
        <v>-1</v>
      </c>
      <c r="F289" s="12" t="s">
        <v>279</v>
      </c>
      <c r="G289" s="12" t="s">
        <v>233</v>
      </c>
      <c r="H289" s="5"/>
      <c r="I289" s="11">
        <v>1098</v>
      </c>
      <c r="J289" s="11">
        <v>852</v>
      </c>
      <c r="K289" s="11">
        <v>646</v>
      </c>
      <c r="L289" s="11">
        <v>569</v>
      </c>
      <c r="M289" s="11">
        <v>551</v>
      </c>
      <c r="N289" s="11">
        <v>1494</v>
      </c>
      <c r="O289" s="11">
        <v>643</v>
      </c>
      <c r="P289" s="11"/>
      <c r="Q289" s="11">
        <v>2730</v>
      </c>
      <c r="R289" s="11">
        <v>376</v>
      </c>
      <c r="S289" s="11">
        <v>947</v>
      </c>
      <c r="T289" s="11">
        <v>1671</v>
      </c>
      <c r="U289" s="11">
        <v>1179</v>
      </c>
      <c r="V289" s="11">
        <v>4236</v>
      </c>
      <c r="W289" s="11">
        <v>1561</v>
      </c>
      <c r="X289" s="11"/>
      <c r="Y289" s="11">
        <v>0</v>
      </c>
      <c r="Z289" s="11">
        <v>940</v>
      </c>
      <c r="AA289" s="11">
        <v>1516</v>
      </c>
      <c r="AB289" s="11">
        <v>1411</v>
      </c>
      <c r="AC289" s="17">
        <f t="shared" si="44"/>
        <v>0.23798963728882466</v>
      </c>
      <c r="AD289" s="11">
        <f t="shared" si="45"/>
        <v>836.14285714285711</v>
      </c>
      <c r="AE289" s="11">
        <f t="shared" si="46"/>
        <v>1814.2857142857142</v>
      </c>
      <c r="AF289" s="28">
        <f t="shared" si="53"/>
        <v>2.1698274389202119</v>
      </c>
      <c r="AG289" s="42">
        <f t="shared" si="47"/>
        <v>9.5124546413010186E-2</v>
      </c>
      <c r="AH289" s="14" t="str">
        <f t="shared" si="48"/>
        <v>-</v>
      </c>
      <c r="AI289" s="11">
        <f t="shared" si="49"/>
        <v>189</v>
      </c>
      <c r="AJ289" s="11">
        <f t="shared" si="50"/>
        <v>189</v>
      </c>
      <c r="AK289" s="11">
        <f t="shared" si="51"/>
        <v>0.19477883313140179</v>
      </c>
      <c r="AL289" s="42">
        <f t="shared" si="52"/>
        <v>0.19477883313140179</v>
      </c>
      <c r="AM289" s="14" t="str">
        <f t="shared" si="54"/>
        <v/>
      </c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</row>
    <row r="290" spans="1:56" ht="27" customHeight="1" x14ac:dyDescent="0.2">
      <c r="A290" s="9" t="s">
        <v>356</v>
      </c>
      <c r="B290" s="11">
        <v>1841</v>
      </c>
      <c r="C290" s="2">
        <v>927.537036089916</v>
      </c>
      <c r="D290" s="2">
        <v>6.5051208333334998</v>
      </c>
      <c r="E290" s="2">
        <v>-1</v>
      </c>
      <c r="F290" s="12" t="s">
        <v>334</v>
      </c>
      <c r="G290" s="12" t="s">
        <v>233</v>
      </c>
      <c r="H290" s="5"/>
      <c r="I290" s="11">
        <v>61</v>
      </c>
      <c r="J290" s="11">
        <v>186</v>
      </c>
      <c r="K290" s="11">
        <v>64</v>
      </c>
      <c r="L290" s="11">
        <v>126</v>
      </c>
      <c r="M290" s="11">
        <v>97</v>
      </c>
      <c r="N290" s="11">
        <v>322</v>
      </c>
      <c r="O290" s="11">
        <v>81</v>
      </c>
      <c r="P290" s="11"/>
      <c r="Q290" s="11">
        <v>734</v>
      </c>
      <c r="R290" s="11">
        <v>232</v>
      </c>
      <c r="S290" s="11">
        <v>350</v>
      </c>
      <c r="T290" s="11">
        <v>662</v>
      </c>
      <c r="U290" s="11">
        <v>570</v>
      </c>
      <c r="V290" s="11">
        <v>1679</v>
      </c>
      <c r="W290" s="11">
        <v>481</v>
      </c>
      <c r="X290" s="11"/>
      <c r="Y290" s="11">
        <v>0</v>
      </c>
      <c r="Z290" s="11">
        <v>330</v>
      </c>
      <c r="AA290" s="11">
        <v>318</v>
      </c>
      <c r="AB290" s="11">
        <v>403</v>
      </c>
      <c r="AC290" s="17">
        <f t="shared" si="44"/>
        <v>0.13131386216668026</v>
      </c>
      <c r="AD290" s="11">
        <f t="shared" si="45"/>
        <v>133.85714285714286</v>
      </c>
      <c r="AE290" s="11">
        <f t="shared" si="46"/>
        <v>672.57142857142856</v>
      </c>
      <c r="AF290" s="28">
        <f t="shared" si="53"/>
        <v>5.0245464247598717</v>
      </c>
      <c r="AG290" s="42">
        <f t="shared" si="47"/>
        <v>2.3949609564954261E-2</v>
      </c>
      <c r="AH290" s="14" t="str">
        <f t="shared" si="48"/>
        <v>*</v>
      </c>
      <c r="AI290" s="11">
        <f t="shared" si="49"/>
        <v>119</v>
      </c>
      <c r="AJ290" s="11">
        <f t="shared" si="50"/>
        <v>119</v>
      </c>
      <c r="AK290" s="11">
        <f t="shared" si="51"/>
        <v>7.7886545391910075E-2</v>
      </c>
      <c r="AL290" s="42">
        <f t="shared" si="52"/>
        <v>7.7886545391910075E-2</v>
      </c>
      <c r="AM290" s="14" t="str">
        <f t="shared" si="54"/>
        <v>*</v>
      </c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</row>
    <row r="291" spans="1:56" ht="27" customHeight="1" x14ac:dyDescent="0.2">
      <c r="A291" s="9" t="s">
        <v>356</v>
      </c>
      <c r="B291" s="11">
        <v>2470</v>
      </c>
      <c r="C291" s="2">
        <v>973.52431134573703</v>
      </c>
      <c r="D291" s="2">
        <v>6.2591409090908998</v>
      </c>
      <c r="E291" s="2">
        <v>-1</v>
      </c>
      <c r="F291" s="12" t="s">
        <v>332</v>
      </c>
      <c r="G291" s="12" t="s">
        <v>233</v>
      </c>
      <c r="H291" s="5" t="s">
        <v>592</v>
      </c>
      <c r="I291" s="11">
        <v>195</v>
      </c>
      <c r="J291" s="11">
        <v>266</v>
      </c>
      <c r="K291" s="11">
        <v>96</v>
      </c>
      <c r="L291" s="11">
        <v>133</v>
      </c>
      <c r="M291" s="11">
        <v>42</v>
      </c>
      <c r="N291" s="11">
        <v>324</v>
      </c>
      <c r="O291" s="11">
        <v>108</v>
      </c>
      <c r="P291" s="11"/>
      <c r="Q291" s="11">
        <v>1060</v>
      </c>
      <c r="R291" s="11">
        <v>121</v>
      </c>
      <c r="S291" s="11">
        <v>651</v>
      </c>
      <c r="T291" s="11">
        <v>548</v>
      </c>
      <c r="U291" s="11">
        <v>625</v>
      </c>
      <c r="V291" s="11">
        <v>1224</v>
      </c>
      <c r="W291" s="11">
        <v>471</v>
      </c>
      <c r="X291" s="11"/>
      <c r="Y291" s="11">
        <v>60</v>
      </c>
      <c r="Z291" s="11">
        <v>396</v>
      </c>
      <c r="AA291" s="11">
        <v>264</v>
      </c>
      <c r="AB291" s="11">
        <v>278</v>
      </c>
      <c r="AC291" s="17">
        <f t="shared" si="44"/>
        <v>0.231900226693316</v>
      </c>
      <c r="AD291" s="11">
        <f t="shared" si="45"/>
        <v>166.28571428571428</v>
      </c>
      <c r="AE291" s="11">
        <f t="shared" si="46"/>
        <v>671.42857142857144</v>
      </c>
      <c r="AF291" s="28">
        <f t="shared" si="53"/>
        <v>4.0378006872852232</v>
      </c>
      <c r="AG291" s="42">
        <f t="shared" si="47"/>
        <v>1.0345952888111925E-2</v>
      </c>
      <c r="AH291" s="14" t="str">
        <f t="shared" si="48"/>
        <v>*</v>
      </c>
      <c r="AI291" s="11">
        <f t="shared" si="49"/>
        <v>75</v>
      </c>
      <c r="AJ291" s="11">
        <f t="shared" si="50"/>
        <v>75</v>
      </c>
      <c r="AK291" s="11">
        <f t="shared" si="51"/>
        <v>5.3385116902657528E-2</v>
      </c>
      <c r="AL291" s="42">
        <f t="shared" si="52"/>
        <v>5.3385116902657528E-2</v>
      </c>
      <c r="AM291" s="14" t="str">
        <f t="shared" si="54"/>
        <v>*</v>
      </c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</row>
    <row r="292" spans="1:56" ht="27" customHeight="1" x14ac:dyDescent="0.2">
      <c r="A292" s="9" t="s">
        <v>356</v>
      </c>
      <c r="B292" s="11">
        <v>964</v>
      </c>
      <c r="C292" s="2">
        <v>827.48362884282903</v>
      </c>
      <c r="D292" s="2">
        <v>6.9783410256410701</v>
      </c>
      <c r="E292" s="2">
        <v>-2</v>
      </c>
      <c r="F292" s="12" t="s">
        <v>565</v>
      </c>
      <c r="G292" s="12" t="s">
        <v>566</v>
      </c>
      <c r="H292" s="5"/>
      <c r="I292" s="11">
        <v>1309</v>
      </c>
      <c r="J292" s="11">
        <v>1164</v>
      </c>
      <c r="K292" s="11">
        <v>1159</v>
      </c>
      <c r="L292" s="11">
        <v>839</v>
      </c>
      <c r="M292" s="11">
        <v>1444</v>
      </c>
      <c r="N292" s="11">
        <v>2355</v>
      </c>
      <c r="O292" s="11">
        <v>1693</v>
      </c>
      <c r="P292" s="11"/>
      <c r="Q292" s="11">
        <v>2214</v>
      </c>
      <c r="R292" s="11">
        <v>3466</v>
      </c>
      <c r="S292" s="11">
        <v>1617</v>
      </c>
      <c r="T292" s="11">
        <v>2092</v>
      </c>
      <c r="U292" s="11">
        <v>3448</v>
      </c>
      <c r="V292" s="11">
        <v>2570</v>
      </c>
      <c r="W292" s="11">
        <v>3138</v>
      </c>
      <c r="X292" s="11"/>
      <c r="Y292" s="11">
        <v>486</v>
      </c>
      <c r="Z292" s="11">
        <v>1638</v>
      </c>
      <c r="AA292" s="11">
        <v>1940</v>
      </c>
      <c r="AB292" s="11">
        <v>2112</v>
      </c>
      <c r="AC292" s="17">
        <f t="shared" si="44"/>
        <v>0.12651288565790408</v>
      </c>
      <c r="AD292" s="11">
        <f t="shared" si="45"/>
        <v>1423.2857142857142</v>
      </c>
      <c r="AE292" s="11">
        <f t="shared" si="46"/>
        <v>2649.2857142857142</v>
      </c>
      <c r="AF292" s="28">
        <f t="shared" si="53"/>
        <v>1.8613871323898425</v>
      </c>
      <c r="AG292" s="42">
        <f t="shared" si="47"/>
        <v>3.5922300068745587E-3</v>
      </c>
      <c r="AH292" s="14" t="str">
        <f t="shared" si="48"/>
        <v>**</v>
      </c>
      <c r="AI292" s="11">
        <f t="shared" si="49"/>
        <v>43</v>
      </c>
      <c r="AJ292" s="11">
        <f t="shared" si="50"/>
        <v>43</v>
      </c>
      <c r="AK292" s="11">
        <f t="shared" si="51"/>
        <v>3.2330070061871032E-2</v>
      </c>
      <c r="AL292" s="42">
        <f t="shared" si="52"/>
        <v>3.2330070061871032E-2</v>
      </c>
      <c r="AM292" s="14" t="str">
        <f t="shared" si="54"/>
        <v>**</v>
      </c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</row>
    <row r="293" spans="1:56" ht="27" customHeight="1" x14ac:dyDescent="0.2">
      <c r="A293" s="9" t="s">
        <v>356</v>
      </c>
      <c r="B293" s="11">
        <v>2287</v>
      </c>
      <c r="C293" s="2">
        <v>825.46673791405397</v>
      </c>
      <c r="D293" s="2">
        <v>6.7474958333334998</v>
      </c>
      <c r="E293" s="2">
        <v>-1</v>
      </c>
      <c r="F293" s="12" t="s">
        <v>590</v>
      </c>
      <c r="G293" s="12" t="s">
        <v>566</v>
      </c>
      <c r="H293" s="5"/>
      <c r="I293" s="11">
        <v>633</v>
      </c>
      <c r="J293" s="11">
        <v>187</v>
      </c>
      <c r="K293" s="11">
        <v>572</v>
      </c>
      <c r="L293" s="11">
        <v>480</v>
      </c>
      <c r="M293" s="11">
        <v>673</v>
      </c>
      <c r="N293" s="11">
        <v>1028</v>
      </c>
      <c r="O293" s="11">
        <v>781</v>
      </c>
      <c r="P293" s="11"/>
      <c r="Q293" s="11">
        <v>555</v>
      </c>
      <c r="R293" s="11">
        <v>868</v>
      </c>
      <c r="S293" s="11">
        <v>554</v>
      </c>
      <c r="T293" s="11">
        <v>147</v>
      </c>
      <c r="U293" s="11">
        <v>1009</v>
      </c>
      <c r="V293" s="11">
        <v>801</v>
      </c>
      <c r="W293" s="11">
        <v>1326</v>
      </c>
      <c r="X293" s="11"/>
      <c r="Y293" s="11">
        <v>14</v>
      </c>
      <c r="Z293" s="11">
        <v>669</v>
      </c>
      <c r="AA293" s="11">
        <v>723</v>
      </c>
      <c r="AB293" s="11">
        <v>814</v>
      </c>
      <c r="AC293" s="17">
        <f t="shared" si="44"/>
        <v>9.9658963979388629E-2</v>
      </c>
      <c r="AD293" s="11">
        <f t="shared" si="45"/>
        <v>622</v>
      </c>
      <c r="AE293" s="11">
        <f t="shared" si="46"/>
        <v>751.42857142857144</v>
      </c>
      <c r="AF293" s="28">
        <f t="shared" si="53"/>
        <v>1.2080845199816261</v>
      </c>
      <c r="AG293" s="42">
        <f t="shared" si="47"/>
        <v>0.47112677233938827</v>
      </c>
      <c r="AH293" s="14" t="str">
        <f t="shared" si="48"/>
        <v>-</v>
      </c>
      <c r="AI293" s="11">
        <f t="shared" si="49"/>
        <v>313</v>
      </c>
      <c r="AJ293" s="11">
        <f t="shared" si="50"/>
        <v>313</v>
      </c>
      <c r="AK293" s="11">
        <f t="shared" si="51"/>
        <v>0.58251137666243857</v>
      </c>
      <c r="AL293" s="42">
        <f t="shared" si="52"/>
        <v>0.58251137666243857</v>
      </c>
      <c r="AM293" s="14" t="str">
        <f t="shared" si="54"/>
        <v/>
      </c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</row>
    <row r="294" spans="1:56" ht="27" customHeight="1" x14ac:dyDescent="0.2">
      <c r="A294" s="9" t="s">
        <v>356</v>
      </c>
      <c r="B294" s="11">
        <v>1775</v>
      </c>
      <c r="C294" s="2">
        <v>1009.74649041319</v>
      </c>
      <c r="D294" s="2">
        <v>10.7430739583332</v>
      </c>
      <c r="E294" s="2">
        <v>-1</v>
      </c>
      <c r="F294" s="12" t="s">
        <v>321</v>
      </c>
      <c r="G294" s="12" t="s">
        <v>322</v>
      </c>
      <c r="H294" s="5"/>
      <c r="I294" s="11">
        <v>609</v>
      </c>
      <c r="J294" s="11">
        <v>539</v>
      </c>
      <c r="K294" s="11">
        <v>1097</v>
      </c>
      <c r="L294" s="11">
        <v>918</v>
      </c>
      <c r="M294" s="11">
        <v>915</v>
      </c>
      <c r="N294" s="11">
        <v>903</v>
      </c>
      <c r="O294" s="11">
        <v>937</v>
      </c>
      <c r="P294" s="11"/>
      <c r="Q294" s="11">
        <v>945</v>
      </c>
      <c r="R294" s="11">
        <v>884</v>
      </c>
      <c r="S294" s="11">
        <v>597</v>
      </c>
      <c r="T294" s="11">
        <v>1393</v>
      </c>
      <c r="U294" s="11">
        <v>1287</v>
      </c>
      <c r="V294" s="11">
        <v>981</v>
      </c>
      <c r="W294" s="11">
        <v>1750</v>
      </c>
      <c r="X294" s="11"/>
      <c r="Y294" s="11">
        <v>0</v>
      </c>
      <c r="Z294" s="11">
        <v>990</v>
      </c>
      <c r="AA294" s="11">
        <v>920</v>
      </c>
      <c r="AB294" s="11">
        <v>1006</v>
      </c>
      <c r="AC294" s="17">
        <f t="shared" si="44"/>
        <v>4.7055953193536101E-2</v>
      </c>
      <c r="AD294" s="11">
        <f t="shared" si="45"/>
        <v>845.42857142857144</v>
      </c>
      <c r="AE294" s="11">
        <f t="shared" si="46"/>
        <v>1119.5714285714287</v>
      </c>
      <c r="AF294" s="28">
        <f t="shared" si="53"/>
        <v>1.3242649543764786</v>
      </c>
      <c r="AG294" s="42">
        <f t="shared" si="47"/>
        <v>0.12653681955768048</v>
      </c>
      <c r="AH294" s="14" t="str">
        <f t="shared" si="48"/>
        <v>-</v>
      </c>
      <c r="AI294" s="11">
        <f t="shared" si="49"/>
        <v>212</v>
      </c>
      <c r="AJ294" s="11">
        <f t="shared" si="50"/>
        <v>212</v>
      </c>
      <c r="AK294" s="11">
        <f t="shared" si="51"/>
        <v>0.23098938287180351</v>
      </c>
      <c r="AL294" s="42">
        <f t="shared" si="52"/>
        <v>0.23098938287180351</v>
      </c>
      <c r="AM294" s="14" t="str">
        <f t="shared" si="54"/>
        <v/>
      </c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</row>
    <row r="295" spans="1:56" ht="27" customHeight="1" x14ac:dyDescent="0.2">
      <c r="A295" s="9" t="s">
        <v>356</v>
      </c>
      <c r="B295" s="11">
        <v>5699</v>
      </c>
      <c r="C295" s="2">
        <v>1057.7453929957601</v>
      </c>
      <c r="D295" s="2">
        <v>10.617548717948701</v>
      </c>
      <c r="E295" s="2">
        <v>-1</v>
      </c>
      <c r="F295" s="12" t="s">
        <v>347</v>
      </c>
      <c r="G295" s="12" t="s">
        <v>322</v>
      </c>
      <c r="H295" s="5"/>
      <c r="I295" s="11">
        <v>194</v>
      </c>
      <c r="J295" s="11">
        <v>177</v>
      </c>
      <c r="K295" s="11">
        <v>421</v>
      </c>
      <c r="L295" s="11">
        <v>191</v>
      </c>
      <c r="M295" s="11">
        <v>175</v>
      </c>
      <c r="N295" s="11">
        <v>288</v>
      </c>
      <c r="O295" s="11">
        <v>254</v>
      </c>
      <c r="P295" s="11"/>
      <c r="Q295" s="11">
        <v>313</v>
      </c>
      <c r="R295" s="11">
        <v>183</v>
      </c>
      <c r="S295" s="11">
        <v>252</v>
      </c>
      <c r="T295" s="11">
        <v>402</v>
      </c>
      <c r="U295" s="11">
        <v>557</v>
      </c>
      <c r="V295" s="11">
        <v>517</v>
      </c>
      <c r="W295" s="11">
        <v>602</v>
      </c>
      <c r="X295" s="11"/>
      <c r="Y295" s="11">
        <v>0</v>
      </c>
      <c r="Z295" s="11">
        <v>298</v>
      </c>
      <c r="AA295" s="11">
        <v>373</v>
      </c>
      <c r="AB295" s="11">
        <v>480</v>
      </c>
      <c r="AC295" s="17">
        <f t="shared" si="44"/>
        <v>0.23840398637873203</v>
      </c>
      <c r="AD295" s="11">
        <f t="shared" si="45"/>
        <v>242.85714285714286</v>
      </c>
      <c r="AE295" s="11">
        <f t="shared" si="46"/>
        <v>403.71428571428572</v>
      </c>
      <c r="AF295" s="28">
        <f t="shared" si="53"/>
        <v>1.6623529411764706</v>
      </c>
      <c r="AG295" s="42">
        <f t="shared" si="47"/>
        <v>4.5084243897735882E-2</v>
      </c>
      <c r="AH295" s="14" t="str">
        <f t="shared" si="48"/>
        <v>*</v>
      </c>
      <c r="AI295" s="11">
        <f t="shared" si="49"/>
        <v>157</v>
      </c>
      <c r="AJ295" s="11">
        <f t="shared" si="50"/>
        <v>157</v>
      </c>
      <c r="AK295" s="11">
        <f t="shared" si="51"/>
        <v>0.11113122540397316</v>
      </c>
      <c r="AL295" s="42">
        <f t="shared" si="52"/>
        <v>0.11113122540397316</v>
      </c>
      <c r="AM295" s="14" t="str">
        <f t="shared" si="54"/>
        <v/>
      </c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</row>
    <row r="296" spans="1:56" ht="27" customHeight="1" x14ac:dyDescent="0.2">
      <c r="A296" s="9" t="s">
        <v>356</v>
      </c>
      <c r="B296" s="11">
        <v>426</v>
      </c>
      <c r="C296" s="2">
        <v>1185.73625452998</v>
      </c>
      <c r="D296" s="2">
        <v>8.3487450980391102</v>
      </c>
      <c r="E296" s="2">
        <v>-1</v>
      </c>
      <c r="F296" s="12" t="s">
        <v>186</v>
      </c>
      <c r="G296" s="12" t="s">
        <v>187</v>
      </c>
      <c r="H296" s="5"/>
      <c r="I296" s="11">
        <v>5338</v>
      </c>
      <c r="J296" s="11">
        <v>6469</v>
      </c>
      <c r="K296" s="11">
        <v>5527</v>
      </c>
      <c r="L296" s="11">
        <v>6346</v>
      </c>
      <c r="M296" s="11">
        <v>6466</v>
      </c>
      <c r="N296" s="11">
        <v>6862</v>
      </c>
      <c r="O296" s="11">
        <v>8549</v>
      </c>
      <c r="P296" s="11"/>
      <c r="Q296" s="11">
        <v>3249</v>
      </c>
      <c r="R296" s="11">
        <v>5908</v>
      </c>
      <c r="S296" s="11">
        <v>4384</v>
      </c>
      <c r="T296" s="11">
        <v>4336</v>
      </c>
      <c r="U296" s="11">
        <v>3290</v>
      </c>
      <c r="V296" s="11">
        <v>4081</v>
      </c>
      <c r="W296" s="11">
        <v>3390</v>
      </c>
      <c r="X296" s="11"/>
      <c r="Y296" s="11">
        <v>0</v>
      </c>
      <c r="Z296" s="11">
        <v>4899</v>
      </c>
      <c r="AA296" s="11">
        <v>6099</v>
      </c>
      <c r="AB296" s="11">
        <v>7003</v>
      </c>
      <c r="AC296" s="17">
        <f t="shared" si="44"/>
        <v>0.17590097950560027</v>
      </c>
      <c r="AD296" s="11">
        <f t="shared" si="45"/>
        <v>6508.1428571428569</v>
      </c>
      <c r="AE296" s="11">
        <f t="shared" si="46"/>
        <v>4091.1428571428573</v>
      </c>
      <c r="AF296" s="28">
        <f t="shared" si="53"/>
        <v>0.62861909256535775</v>
      </c>
      <c r="AG296" s="42">
        <f t="shared" si="47"/>
        <v>7.0878843374529849E-4</v>
      </c>
      <c r="AH296" s="14" t="str">
        <f t="shared" si="48"/>
        <v>***</v>
      </c>
      <c r="AI296" s="11">
        <f t="shared" si="49"/>
        <v>17</v>
      </c>
      <c r="AJ296" s="11">
        <f t="shared" si="50"/>
        <v>17</v>
      </c>
      <c r="AK296" s="11">
        <f t="shared" si="51"/>
        <v>1.6135360227025324E-2</v>
      </c>
      <c r="AL296" s="42">
        <f t="shared" si="52"/>
        <v>1.5540482657654888E-2</v>
      </c>
      <c r="AM296" s="14" t="str">
        <f t="shared" si="54"/>
        <v>**</v>
      </c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</row>
    <row r="297" spans="1:56" ht="27" customHeight="1" x14ac:dyDescent="0.2">
      <c r="A297" s="9" t="s">
        <v>356</v>
      </c>
      <c r="B297" s="11">
        <v>702</v>
      </c>
      <c r="C297" s="2">
        <v>1233.73647251018</v>
      </c>
      <c r="D297" s="2">
        <v>8.2990531250000004</v>
      </c>
      <c r="E297" s="2">
        <v>-1</v>
      </c>
      <c r="F297" s="12" t="s">
        <v>560</v>
      </c>
      <c r="G297" s="12" t="s">
        <v>187</v>
      </c>
      <c r="H297" s="5"/>
      <c r="I297" s="11">
        <v>2679</v>
      </c>
      <c r="J297" s="11">
        <v>3583</v>
      </c>
      <c r="K297" s="11">
        <v>2199</v>
      </c>
      <c r="L297" s="11">
        <v>2095</v>
      </c>
      <c r="M297" s="11">
        <v>2351</v>
      </c>
      <c r="N297" s="11">
        <v>4344</v>
      </c>
      <c r="O297" s="11">
        <v>5002</v>
      </c>
      <c r="P297" s="11"/>
      <c r="Q297" s="11">
        <v>3185</v>
      </c>
      <c r="R297" s="11">
        <v>2688</v>
      </c>
      <c r="S297" s="11">
        <v>3105</v>
      </c>
      <c r="T297" s="11">
        <v>2893</v>
      </c>
      <c r="U297" s="11">
        <v>2101</v>
      </c>
      <c r="V297" s="11">
        <v>3575</v>
      </c>
      <c r="W297" s="11">
        <v>3476</v>
      </c>
      <c r="X297" s="11"/>
      <c r="Y297" s="11">
        <v>0</v>
      </c>
      <c r="Z297" s="11">
        <v>2960</v>
      </c>
      <c r="AA297" s="11">
        <v>4086</v>
      </c>
      <c r="AB297" s="11">
        <v>3920</v>
      </c>
      <c r="AC297" s="17">
        <f t="shared" si="44"/>
        <v>0.16629659954572637</v>
      </c>
      <c r="AD297" s="11">
        <f t="shared" si="45"/>
        <v>3179</v>
      </c>
      <c r="AE297" s="11">
        <f t="shared" si="46"/>
        <v>3003.2857142857142</v>
      </c>
      <c r="AF297" s="28">
        <f t="shared" si="53"/>
        <v>0.94472655372309344</v>
      </c>
      <c r="AG297" s="42">
        <f t="shared" si="47"/>
        <v>0.72019553763645905</v>
      </c>
      <c r="AH297" s="14" t="str">
        <f t="shared" si="48"/>
        <v>-</v>
      </c>
      <c r="AI297" s="11">
        <f t="shared" si="49"/>
        <v>351</v>
      </c>
      <c r="AJ297" s="11">
        <f t="shared" si="50"/>
        <v>351</v>
      </c>
      <c r="AK297" s="11">
        <f t="shared" si="51"/>
        <v>0.79406174662481388</v>
      </c>
      <c r="AL297" s="42">
        <f t="shared" si="52"/>
        <v>0.7934597179591748</v>
      </c>
      <c r="AM297" s="14" t="str">
        <f t="shared" si="54"/>
        <v/>
      </c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</row>
    <row r="298" spans="1:56" ht="27" customHeight="1" x14ac:dyDescent="0.2">
      <c r="A298" s="9" t="s">
        <v>356</v>
      </c>
      <c r="B298" s="11">
        <v>705</v>
      </c>
      <c r="C298" s="2">
        <v>1187.7494767282201</v>
      </c>
      <c r="D298" s="2">
        <v>8.73290980392159</v>
      </c>
      <c r="E298" s="2">
        <v>-1</v>
      </c>
      <c r="F298" s="12" t="s">
        <v>242</v>
      </c>
      <c r="G298" s="12" t="s">
        <v>187</v>
      </c>
      <c r="H298" s="5"/>
      <c r="I298" s="11">
        <v>2437</v>
      </c>
      <c r="J298" s="11">
        <v>2047</v>
      </c>
      <c r="K298" s="11">
        <v>2802</v>
      </c>
      <c r="L298" s="11">
        <v>1870</v>
      </c>
      <c r="M298" s="11">
        <v>2694</v>
      </c>
      <c r="N298" s="11">
        <v>3298</v>
      </c>
      <c r="O298" s="11">
        <v>2739</v>
      </c>
      <c r="P298" s="11"/>
      <c r="Q298" s="11">
        <v>3096</v>
      </c>
      <c r="R298" s="11">
        <v>2404</v>
      </c>
      <c r="S298" s="11">
        <v>3472</v>
      </c>
      <c r="T298" s="11">
        <v>2593</v>
      </c>
      <c r="U298" s="11">
        <v>3316</v>
      </c>
      <c r="V298" s="11">
        <v>4956</v>
      </c>
      <c r="W298" s="11">
        <v>2644</v>
      </c>
      <c r="X298" s="11"/>
      <c r="Y298" s="11">
        <v>0</v>
      </c>
      <c r="Z298" s="11">
        <v>3046</v>
      </c>
      <c r="AA298" s="11">
        <v>2701</v>
      </c>
      <c r="AB298" s="11">
        <v>3445</v>
      </c>
      <c r="AC298" s="17">
        <f t="shared" si="44"/>
        <v>0.12151647181699435</v>
      </c>
      <c r="AD298" s="11">
        <f t="shared" si="45"/>
        <v>2555.2857142857142</v>
      </c>
      <c r="AE298" s="11">
        <f t="shared" si="46"/>
        <v>3211.5714285714284</v>
      </c>
      <c r="AF298" s="28">
        <f t="shared" si="53"/>
        <v>1.2568345725946217</v>
      </c>
      <c r="AG298" s="42">
        <f t="shared" si="47"/>
        <v>0.11233662870716808</v>
      </c>
      <c r="AH298" s="14" t="str">
        <f t="shared" si="48"/>
        <v>-</v>
      </c>
      <c r="AI298" s="11">
        <f t="shared" si="49"/>
        <v>203</v>
      </c>
      <c r="AJ298" s="11">
        <f t="shared" si="50"/>
        <v>203</v>
      </c>
      <c r="AK298" s="11">
        <f t="shared" si="51"/>
        <v>0.21415899167327118</v>
      </c>
      <c r="AL298" s="42">
        <f t="shared" si="52"/>
        <v>0.21415899167327118</v>
      </c>
      <c r="AM298" s="14" t="str">
        <f t="shared" si="54"/>
        <v/>
      </c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</row>
    <row r="299" spans="1:56" ht="27" customHeight="1" x14ac:dyDescent="0.2">
      <c r="A299" s="9" t="s">
        <v>356</v>
      </c>
      <c r="B299" s="11">
        <v>22</v>
      </c>
      <c r="C299" s="2">
        <v>1447.9670276669401</v>
      </c>
      <c r="D299" s="2">
        <v>12.2754519607841</v>
      </c>
      <c r="E299" s="2">
        <v>-1</v>
      </c>
      <c r="F299" s="12" t="s">
        <v>30</v>
      </c>
      <c r="G299" s="12" t="s">
        <v>31</v>
      </c>
      <c r="H299" s="5"/>
      <c r="I299" s="11">
        <v>211919</v>
      </c>
      <c r="J299" s="11">
        <v>179761</v>
      </c>
      <c r="K299" s="11">
        <v>246291</v>
      </c>
      <c r="L299" s="11">
        <v>252751</v>
      </c>
      <c r="M299" s="11">
        <v>315433</v>
      </c>
      <c r="N299" s="11">
        <v>257594</v>
      </c>
      <c r="O299" s="11">
        <v>333033</v>
      </c>
      <c r="P299" s="11"/>
      <c r="Q299" s="11">
        <v>143916</v>
      </c>
      <c r="R299" s="11">
        <v>180283</v>
      </c>
      <c r="S299" s="11">
        <v>115793</v>
      </c>
      <c r="T299" s="11">
        <v>240544</v>
      </c>
      <c r="U299" s="11">
        <v>197036</v>
      </c>
      <c r="V299" s="11">
        <v>150568</v>
      </c>
      <c r="W299" s="11">
        <v>201985</v>
      </c>
      <c r="X299" s="11"/>
      <c r="Y299" s="11">
        <v>0</v>
      </c>
      <c r="Z299" s="11">
        <v>205946</v>
      </c>
      <c r="AA299" s="11">
        <v>234103</v>
      </c>
      <c r="AB299" s="11">
        <v>233652</v>
      </c>
      <c r="AC299" s="17">
        <f t="shared" si="44"/>
        <v>7.1817478060624343E-2</v>
      </c>
      <c r="AD299" s="11">
        <f t="shared" si="45"/>
        <v>256683.14285714287</v>
      </c>
      <c r="AE299" s="11">
        <f t="shared" si="46"/>
        <v>175732.14285714287</v>
      </c>
      <c r="AF299" s="28">
        <f t="shared" si="53"/>
        <v>0.68462673824648734</v>
      </c>
      <c r="AG299" s="42">
        <f t="shared" si="47"/>
        <v>9.0989348607138382E-3</v>
      </c>
      <c r="AH299" s="14" t="str">
        <f t="shared" si="48"/>
        <v>**</v>
      </c>
      <c r="AI299" s="11">
        <f t="shared" si="49"/>
        <v>71</v>
      </c>
      <c r="AJ299" s="11">
        <f t="shared" si="50"/>
        <v>71</v>
      </c>
      <c r="AK299" s="11">
        <f t="shared" si="51"/>
        <v>4.959560269149655E-2</v>
      </c>
      <c r="AL299" s="42">
        <f t="shared" si="52"/>
        <v>4.9278317397495858E-2</v>
      </c>
      <c r="AM299" s="14" t="str">
        <f t="shared" si="54"/>
        <v>**</v>
      </c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</row>
    <row r="300" spans="1:56" ht="27" customHeight="1" x14ac:dyDescent="0.2">
      <c r="A300" s="9" t="s">
        <v>356</v>
      </c>
      <c r="B300" s="11">
        <v>39</v>
      </c>
      <c r="C300" s="2">
        <v>1495.96763827469</v>
      </c>
      <c r="D300" s="2">
        <v>12.1570754901961</v>
      </c>
      <c r="E300" s="2">
        <v>-1</v>
      </c>
      <c r="F300" s="12" t="s">
        <v>44</v>
      </c>
      <c r="G300" s="12" t="s">
        <v>31</v>
      </c>
      <c r="H300" s="5"/>
      <c r="I300" s="11">
        <v>94659</v>
      </c>
      <c r="J300" s="11">
        <v>88016</v>
      </c>
      <c r="K300" s="11">
        <v>141310</v>
      </c>
      <c r="L300" s="11">
        <v>105902</v>
      </c>
      <c r="M300" s="11">
        <v>138936</v>
      </c>
      <c r="N300" s="11">
        <v>135853</v>
      </c>
      <c r="O300" s="11">
        <v>166673</v>
      </c>
      <c r="P300" s="11"/>
      <c r="Q300" s="11">
        <v>86342</v>
      </c>
      <c r="R300" s="11">
        <v>102071</v>
      </c>
      <c r="S300" s="11">
        <v>82098</v>
      </c>
      <c r="T300" s="11">
        <v>126567</v>
      </c>
      <c r="U300" s="11">
        <v>133532</v>
      </c>
      <c r="V300" s="11">
        <v>107542</v>
      </c>
      <c r="W300" s="11">
        <v>140802</v>
      </c>
      <c r="X300" s="11"/>
      <c r="Y300" s="11">
        <v>0</v>
      </c>
      <c r="Z300" s="11">
        <v>116009</v>
      </c>
      <c r="AA300" s="11">
        <v>140881</v>
      </c>
      <c r="AB300" s="11">
        <v>128135</v>
      </c>
      <c r="AC300" s="17">
        <f t="shared" si="44"/>
        <v>9.6907638679338215E-2</v>
      </c>
      <c r="AD300" s="11">
        <f t="shared" si="45"/>
        <v>124478.42857142857</v>
      </c>
      <c r="AE300" s="11">
        <f t="shared" si="46"/>
        <v>111279.14285714286</v>
      </c>
      <c r="AF300" s="28">
        <f t="shared" si="53"/>
        <v>0.89396326844926666</v>
      </c>
      <c r="AG300" s="42">
        <f t="shared" si="47"/>
        <v>0.36261857883095472</v>
      </c>
      <c r="AH300" s="14" t="str">
        <f t="shared" si="48"/>
        <v>-</v>
      </c>
      <c r="AI300" s="11">
        <f t="shared" si="49"/>
        <v>284</v>
      </c>
      <c r="AJ300" s="11">
        <f t="shared" si="50"/>
        <v>284</v>
      </c>
      <c r="AK300" s="11">
        <f t="shared" si="51"/>
        <v>0.49413165495626576</v>
      </c>
      <c r="AL300" s="42">
        <f t="shared" si="52"/>
        <v>0.49413165495626576</v>
      </c>
      <c r="AM300" s="14" t="str">
        <f t="shared" si="54"/>
        <v/>
      </c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</row>
    <row r="301" spans="1:56" ht="27" customHeight="1" x14ac:dyDescent="0.2">
      <c r="A301" s="9" t="s">
        <v>356</v>
      </c>
      <c r="B301" s="11">
        <v>44</v>
      </c>
      <c r="C301" s="2">
        <v>1449.9816272359601</v>
      </c>
      <c r="D301" s="2">
        <v>12.771139215686199</v>
      </c>
      <c r="E301" s="2">
        <v>-1</v>
      </c>
      <c r="F301" s="12" t="s">
        <v>48</v>
      </c>
      <c r="G301" s="12" t="s">
        <v>31</v>
      </c>
      <c r="H301" s="5"/>
      <c r="I301" s="11">
        <v>69859</v>
      </c>
      <c r="J301" s="11">
        <v>66024</v>
      </c>
      <c r="K301" s="11">
        <v>102704</v>
      </c>
      <c r="L301" s="11">
        <v>92168</v>
      </c>
      <c r="M301" s="11">
        <v>105534</v>
      </c>
      <c r="N301" s="11">
        <v>108110</v>
      </c>
      <c r="O301" s="11">
        <v>125186</v>
      </c>
      <c r="P301" s="11"/>
      <c r="Q301" s="11">
        <v>95223</v>
      </c>
      <c r="R301" s="11">
        <v>99086</v>
      </c>
      <c r="S301" s="11">
        <v>59071</v>
      </c>
      <c r="T301" s="11">
        <v>124244</v>
      </c>
      <c r="U301" s="11">
        <v>131339</v>
      </c>
      <c r="V301" s="11">
        <v>107806</v>
      </c>
      <c r="W301" s="11">
        <v>143632</v>
      </c>
      <c r="X301" s="11"/>
      <c r="Y301" s="11">
        <v>0</v>
      </c>
      <c r="Z301" s="11">
        <v>99091</v>
      </c>
      <c r="AA301" s="11">
        <v>111211</v>
      </c>
      <c r="AB301" s="11">
        <v>126608</v>
      </c>
      <c r="AC301" s="17">
        <f t="shared" si="44"/>
        <v>0.12280119159348714</v>
      </c>
      <c r="AD301" s="11">
        <f t="shared" si="45"/>
        <v>95655</v>
      </c>
      <c r="AE301" s="11">
        <f t="shared" si="46"/>
        <v>108628.71428571429</v>
      </c>
      <c r="AF301" s="28">
        <f t="shared" si="53"/>
        <v>1.1356302784560586</v>
      </c>
      <c r="AG301" s="42">
        <f t="shared" si="47"/>
        <v>0.35032070007664617</v>
      </c>
      <c r="AH301" s="14" t="str">
        <f t="shared" si="48"/>
        <v>-</v>
      </c>
      <c r="AI301" s="11">
        <f t="shared" si="49"/>
        <v>280</v>
      </c>
      <c r="AJ301" s="11">
        <f t="shared" si="50"/>
        <v>280</v>
      </c>
      <c r="AK301" s="11">
        <f t="shared" si="51"/>
        <v>0.48419325332022173</v>
      </c>
      <c r="AL301" s="42">
        <f t="shared" si="52"/>
        <v>0.48277935472351918</v>
      </c>
      <c r="AM301" s="14" t="str">
        <f t="shared" si="54"/>
        <v/>
      </c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</row>
    <row r="302" spans="1:56" ht="27" customHeight="1" x14ac:dyDescent="0.2">
      <c r="A302" s="9" t="s">
        <v>356</v>
      </c>
      <c r="B302" s="11">
        <v>75</v>
      </c>
      <c r="C302" s="2">
        <v>1497.9806724277</v>
      </c>
      <c r="D302" s="2">
        <v>12.653596078431301</v>
      </c>
      <c r="E302" s="2">
        <v>-1</v>
      </c>
      <c r="F302" s="12" t="s">
        <v>75</v>
      </c>
      <c r="G302" s="12" t="s">
        <v>31</v>
      </c>
      <c r="H302" s="5"/>
      <c r="I302" s="11">
        <v>20154</v>
      </c>
      <c r="J302" s="11">
        <v>24054</v>
      </c>
      <c r="K302" s="11">
        <v>39602</v>
      </c>
      <c r="L302" s="11">
        <v>24469</v>
      </c>
      <c r="M302" s="11">
        <v>29677</v>
      </c>
      <c r="N302" s="11">
        <v>39418</v>
      </c>
      <c r="O302" s="11">
        <v>44083</v>
      </c>
      <c r="P302" s="11"/>
      <c r="Q302" s="11">
        <v>32693</v>
      </c>
      <c r="R302" s="11">
        <v>34465</v>
      </c>
      <c r="S302" s="11">
        <v>30052</v>
      </c>
      <c r="T302" s="11">
        <v>41080</v>
      </c>
      <c r="U302" s="11">
        <v>53926</v>
      </c>
      <c r="V302" s="11">
        <v>44426</v>
      </c>
      <c r="W302" s="11">
        <v>63221</v>
      </c>
      <c r="X302" s="11"/>
      <c r="Y302" s="11">
        <v>0</v>
      </c>
      <c r="Z302" s="11">
        <v>33229</v>
      </c>
      <c r="AA302" s="11">
        <v>41447</v>
      </c>
      <c r="AB302" s="11">
        <v>42983</v>
      </c>
      <c r="AC302" s="17">
        <f t="shared" si="44"/>
        <v>0.13372387331248256</v>
      </c>
      <c r="AD302" s="11">
        <f t="shared" si="45"/>
        <v>31636.714285714286</v>
      </c>
      <c r="AE302" s="11">
        <f t="shared" si="46"/>
        <v>42837.571428571428</v>
      </c>
      <c r="AF302" s="28">
        <f t="shared" si="53"/>
        <v>1.3540461579448833</v>
      </c>
      <c r="AG302" s="42">
        <f t="shared" si="47"/>
        <v>7.8170738790771688E-2</v>
      </c>
      <c r="AH302" s="14" t="str">
        <f t="shared" si="48"/>
        <v>-</v>
      </c>
      <c r="AI302" s="11">
        <f t="shared" si="49"/>
        <v>184</v>
      </c>
      <c r="AJ302" s="11">
        <f t="shared" si="50"/>
        <v>184</v>
      </c>
      <c r="AK302" s="11">
        <f t="shared" si="51"/>
        <v>0.16441345604363394</v>
      </c>
      <c r="AL302" s="42">
        <f t="shared" si="52"/>
        <v>0.16441345604363394</v>
      </c>
      <c r="AM302" s="14" t="str">
        <f t="shared" si="54"/>
        <v/>
      </c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</row>
    <row r="303" spans="1:56" ht="27" customHeight="1" x14ac:dyDescent="0.2">
      <c r="A303" s="9" t="s">
        <v>356</v>
      </c>
      <c r="B303" s="11">
        <v>93</v>
      </c>
      <c r="C303" s="2">
        <v>1451.9981439559499</v>
      </c>
      <c r="D303" s="2">
        <v>13.252983333333299</v>
      </c>
      <c r="E303" s="2">
        <v>-1</v>
      </c>
      <c r="F303" s="12" t="s">
        <v>90</v>
      </c>
      <c r="G303" s="12" t="s">
        <v>31</v>
      </c>
      <c r="H303" s="5"/>
      <c r="I303" s="11">
        <v>12247</v>
      </c>
      <c r="J303" s="11">
        <v>14420</v>
      </c>
      <c r="K303" s="11">
        <v>22600</v>
      </c>
      <c r="L303" s="11">
        <v>17335</v>
      </c>
      <c r="M303" s="11">
        <v>22823</v>
      </c>
      <c r="N303" s="11">
        <v>21508</v>
      </c>
      <c r="O303" s="11">
        <v>24217</v>
      </c>
      <c r="P303" s="11"/>
      <c r="Q303" s="11">
        <v>27656</v>
      </c>
      <c r="R303" s="11">
        <v>27044</v>
      </c>
      <c r="S303" s="11">
        <v>18335</v>
      </c>
      <c r="T303" s="11">
        <v>36501</v>
      </c>
      <c r="U303" s="11">
        <v>47639</v>
      </c>
      <c r="V303" s="11">
        <v>33900</v>
      </c>
      <c r="W303" s="11">
        <v>47875</v>
      </c>
      <c r="X303" s="11"/>
      <c r="Y303" s="11">
        <v>0</v>
      </c>
      <c r="Z303" s="11">
        <v>25265</v>
      </c>
      <c r="AA303" s="11">
        <v>31690</v>
      </c>
      <c r="AB303" s="11">
        <v>32535</v>
      </c>
      <c r="AC303" s="17">
        <f t="shared" si="44"/>
        <v>0.13328589114850764</v>
      </c>
      <c r="AD303" s="11">
        <f t="shared" si="45"/>
        <v>19307.142857142859</v>
      </c>
      <c r="AE303" s="11">
        <f t="shared" si="46"/>
        <v>34135.714285714283</v>
      </c>
      <c r="AF303" s="28">
        <f t="shared" si="53"/>
        <v>1.7680355160932295</v>
      </c>
      <c r="AG303" s="42">
        <f t="shared" si="47"/>
        <v>1.0688293280454482E-2</v>
      </c>
      <c r="AH303" s="14" t="str">
        <f t="shared" si="48"/>
        <v>*</v>
      </c>
      <c r="AI303" s="11">
        <f t="shared" si="49"/>
        <v>76</v>
      </c>
      <c r="AJ303" s="11">
        <f t="shared" si="50"/>
        <v>76</v>
      </c>
      <c r="AK303" s="11">
        <f t="shared" si="51"/>
        <v>5.4425914467577434E-2</v>
      </c>
      <c r="AL303" s="42">
        <f t="shared" si="52"/>
        <v>5.3985976757940361E-2</v>
      </c>
      <c r="AM303" s="14" t="str">
        <f t="shared" si="54"/>
        <v>*</v>
      </c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</row>
    <row r="304" spans="1:56" ht="27" customHeight="1" x14ac:dyDescent="0.2">
      <c r="A304" s="9" t="s">
        <v>356</v>
      </c>
      <c r="B304" s="11">
        <v>96</v>
      </c>
      <c r="C304" s="2">
        <v>1473.98054241673</v>
      </c>
      <c r="D304" s="2">
        <v>12.526369607843201</v>
      </c>
      <c r="E304" s="2">
        <v>-1</v>
      </c>
      <c r="F304" s="12" t="s">
        <v>84</v>
      </c>
      <c r="G304" s="12" t="s">
        <v>31</v>
      </c>
      <c r="H304" s="5"/>
      <c r="I304" s="11">
        <v>21975</v>
      </c>
      <c r="J304" s="11">
        <v>20526</v>
      </c>
      <c r="K304" s="11">
        <v>31555</v>
      </c>
      <c r="L304" s="11">
        <v>28074</v>
      </c>
      <c r="M304" s="11">
        <v>33815</v>
      </c>
      <c r="N304" s="11">
        <v>32287</v>
      </c>
      <c r="O304" s="11">
        <v>46380</v>
      </c>
      <c r="P304" s="11"/>
      <c r="Q304" s="11">
        <v>16273</v>
      </c>
      <c r="R304" s="11">
        <v>24505</v>
      </c>
      <c r="S304" s="11">
        <v>16163</v>
      </c>
      <c r="T304" s="11">
        <v>26312</v>
      </c>
      <c r="U304" s="11">
        <v>21034</v>
      </c>
      <c r="V304" s="11">
        <v>22091</v>
      </c>
      <c r="W304" s="11">
        <v>27261</v>
      </c>
      <c r="X304" s="11"/>
      <c r="Y304" s="11">
        <v>0</v>
      </c>
      <c r="Z304" s="11">
        <v>24809</v>
      </c>
      <c r="AA304" s="11">
        <v>29937</v>
      </c>
      <c r="AB304" s="11">
        <v>33552</v>
      </c>
      <c r="AC304" s="17">
        <f t="shared" si="44"/>
        <v>0.14926492841725278</v>
      </c>
      <c r="AD304" s="11">
        <f t="shared" si="45"/>
        <v>30658.857142857141</v>
      </c>
      <c r="AE304" s="11">
        <f t="shared" si="46"/>
        <v>21948.428571428572</v>
      </c>
      <c r="AF304" s="28">
        <f t="shared" si="53"/>
        <v>0.71589193521331529</v>
      </c>
      <c r="AG304" s="42">
        <f t="shared" si="47"/>
        <v>4.1607853603308292E-2</v>
      </c>
      <c r="AH304" s="14" t="str">
        <f t="shared" si="48"/>
        <v>*</v>
      </c>
      <c r="AI304" s="11">
        <f t="shared" si="49"/>
        <v>152</v>
      </c>
      <c r="AJ304" s="11">
        <f t="shared" si="50"/>
        <v>152</v>
      </c>
      <c r="AK304" s="11">
        <f t="shared" si="51"/>
        <v>0.10593578516105467</v>
      </c>
      <c r="AL304" s="42">
        <f t="shared" si="52"/>
        <v>0.10593578516105467</v>
      </c>
      <c r="AM304" s="14" t="str">
        <f t="shared" si="54"/>
        <v/>
      </c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</row>
    <row r="305" spans="1:56" ht="27" customHeight="1" x14ac:dyDescent="0.2">
      <c r="A305" s="9" t="s">
        <v>356</v>
      </c>
      <c r="B305" s="11">
        <v>115</v>
      </c>
      <c r="C305" s="2">
        <v>1475.9945902623299</v>
      </c>
      <c r="D305" s="2">
        <v>12.9667010416666</v>
      </c>
      <c r="E305" s="2">
        <v>-1</v>
      </c>
      <c r="F305" s="12" t="s">
        <v>98</v>
      </c>
      <c r="G305" s="12" t="s">
        <v>31</v>
      </c>
      <c r="H305" s="5"/>
      <c r="I305" s="11">
        <v>12350</v>
      </c>
      <c r="J305" s="11">
        <v>10626</v>
      </c>
      <c r="K305" s="11">
        <v>14826</v>
      </c>
      <c r="L305" s="11">
        <v>18038</v>
      </c>
      <c r="M305" s="11">
        <v>18451</v>
      </c>
      <c r="N305" s="11">
        <v>17881</v>
      </c>
      <c r="O305" s="11">
        <v>19634</v>
      </c>
      <c r="P305" s="11"/>
      <c r="Q305" s="11">
        <v>20987</v>
      </c>
      <c r="R305" s="11">
        <v>24113</v>
      </c>
      <c r="S305" s="11">
        <v>16705</v>
      </c>
      <c r="T305" s="11">
        <v>36732</v>
      </c>
      <c r="U305" s="11">
        <v>33326</v>
      </c>
      <c r="V305" s="11">
        <v>32025</v>
      </c>
      <c r="W305" s="11">
        <v>37110</v>
      </c>
      <c r="X305" s="11"/>
      <c r="Y305" s="11">
        <v>0</v>
      </c>
      <c r="Z305" s="11">
        <v>21434</v>
      </c>
      <c r="AA305" s="11">
        <v>21064</v>
      </c>
      <c r="AB305" s="11">
        <v>25247</v>
      </c>
      <c r="AC305" s="17">
        <f t="shared" si="44"/>
        <v>0.10254549319101307</v>
      </c>
      <c r="AD305" s="11">
        <f t="shared" si="45"/>
        <v>15972.285714285714</v>
      </c>
      <c r="AE305" s="11">
        <f t="shared" si="46"/>
        <v>28714</v>
      </c>
      <c r="AF305" s="28">
        <f t="shared" si="53"/>
        <v>1.7977389406650806</v>
      </c>
      <c r="AG305" s="42">
        <f t="shared" si="47"/>
        <v>4.849055608087534E-3</v>
      </c>
      <c r="AH305" s="14" t="str">
        <f t="shared" si="48"/>
        <v>**</v>
      </c>
      <c r="AI305" s="11">
        <f t="shared" si="49"/>
        <v>52</v>
      </c>
      <c r="AJ305" s="11">
        <f t="shared" si="50"/>
        <v>52</v>
      </c>
      <c r="AK305" s="11">
        <f t="shared" si="51"/>
        <v>3.6088163852497607E-2</v>
      </c>
      <c r="AL305" s="42">
        <f t="shared" si="52"/>
        <v>3.5130671062942702E-2</v>
      </c>
      <c r="AM305" s="14" t="str">
        <f t="shared" si="54"/>
        <v>**</v>
      </c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</row>
    <row r="306" spans="1:56" ht="27" customHeight="1" x14ac:dyDescent="0.2">
      <c r="A306" s="9" t="s">
        <v>356</v>
      </c>
      <c r="B306" s="11">
        <v>120</v>
      </c>
      <c r="C306" s="2">
        <v>1543.9657558670201</v>
      </c>
      <c r="D306" s="2">
        <v>12.0380617647058</v>
      </c>
      <c r="E306" s="2">
        <v>-1</v>
      </c>
      <c r="F306" s="12" t="s">
        <v>92</v>
      </c>
      <c r="G306" s="12" t="s">
        <v>31</v>
      </c>
      <c r="H306" s="5"/>
      <c r="I306" s="11">
        <v>13458</v>
      </c>
      <c r="J306" s="11">
        <v>18192</v>
      </c>
      <c r="K306" s="11">
        <v>24648</v>
      </c>
      <c r="L306" s="11">
        <v>16247</v>
      </c>
      <c r="M306" s="11">
        <v>17556</v>
      </c>
      <c r="N306" s="11">
        <v>27160</v>
      </c>
      <c r="O306" s="11">
        <v>30203</v>
      </c>
      <c r="P306" s="11"/>
      <c r="Q306" s="11">
        <v>17954</v>
      </c>
      <c r="R306" s="11">
        <v>22439</v>
      </c>
      <c r="S306" s="11">
        <v>21421</v>
      </c>
      <c r="T306" s="11">
        <v>20160</v>
      </c>
      <c r="U306" s="11">
        <v>28340</v>
      </c>
      <c r="V306" s="11">
        <v>24022</v>
      </c>
      <c r="W306" s="11">
        <v>35651</v>
      </c>
      <c r="X306" s="11"/>
      <c r="Y306" s="11">
        <v>0</v>
      </c>
      <c r="Z306" s="11">
        <v>23818</v>
      </c>
      <c r="AA306" s="11">
        <v>25208</v>
      </c>
      <c r="AB306" s="11">
        <v>28018</v>
      </c>
      <c r="AC306" s="17">
        <f t="shared" si="44"/>
        <v>8.3314752287342808E-2</v>
      </c>
      <c r="AD306" s="11">
        <f t="shared" si="45"/>
        <v>21066.285714285714</v>
      </c>
      <c r="AE306" s="11">
        <f t="shared" si="46"/>
        <v>24283.857142857141</v>
      </c>
      <c r="AF306" s="28">
        <f t="shared" si="53"/>
        <v>1.1527355829219335</v>
      </c>
      <c r="AG306" s="42">
        <f t="shared" si="47"/>
        <v>0.34482358647502243</v>
      </c>
      <c r="AH306" s="14" t="str">
        <f t="shared" si="48"/>
        <v>-</v>
      </c>
      <c r="AI306" s="11">
        <f t="shared" si="49"/>
        <v>279</v>
      </c>
      <c r="AJ306" s="11">
        <f t="shared" si="50"/>
        <v>279</v>
      </c>
      <c r="AK306" s="11">
        <f t="shared" si="51"/>
        <v>0.47830368446535365</v>
      </c>
      <c r="AL306" s="42">
        <f t="shared" si="52"/>
        <v>0.47830368446535365</v>
      </c>
      <c r="AM306" s="14" t="str">
        <f t="shared" si="54"/>
        <v/>
      </c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</row>
    <row r="307" spans="1:56" ht="27" customHeight="1" x14ac:dyDescent="0.2">
      <c r="A307" s="9" t="s">
        <v>356</v>
      </c>
      <c r="B307" s="11">
        <v>191</v>
      </c>
      <c r="C307" s="2">
        <v>1478.0115528259</v>
      </c>
      <c r="D307" s="2">
        <v>13.4590135416666</v>
      </c>
      <c r="E307" s="2">
        <v>-1</v>
      </c>
      <c r="F307" s="12" t="s">
        <v>541</v>
      </c>
      <c r="G307" s="12" t="s">
        <v>31</v>
      </c>
      <c r="H307" s="5"/>
      <c r="I307" s="11">
        <v>7022</v>
      </c>
      <c r="J307" s="11">
        <v>7595</v>
      </c>
      <c r="K307" s="11">
        <v>10667</v>
      </c>
      <c r="L307" s="11">
        <v>9966</v>
      </c>
      <c r="M307" s="11">
        <v>11713</v>
      </c>
      <c r="N307" s="11">
        <v>9637</v>
      </c>
      <c r="O307" s="11">
        <v>11787</v>
      </c>
      <c r="P307" s="11"/>
      <c r="Q307" s="11">
        <v>11763</v>
      </c>
      <c r="R307" s="11">
        <v>12064</v>
      </c>
      <c r="S307" s="11">
        <v>10648</v>
      </c>
      <c r="T307" s="11">
        <v>17787</v>
      </c>
      <c r="U307" s="11">
        <v>19323</v>
      </c>
      <c r="V307" s="11">
        <v>15656</v>
      </c>
      <c r="W307" s="11">
        <v>20255</v>
      </c>
      <c r="X307" s="11"/>
      <c r="Y307" s="11">
        <v>0</v>
      </c>
      <c r="Z307" s="11">
        <v>11545</v>
      </c>
      <c r="AA307" s="11">
        <v>13900</v>
      </c>
      <c r="AB307" s="11">
        <v>13417</v>
      </c>
      <c r="AC307" s="17">
        <f t="shared" si="44"/>
        <v>9.6024263373523905E-2</v>
      </c>
      <c r="AD307" s="11">
        <f t="shared" si="45"/>
        <v>9769.5714285714294</v>
      </c>
      <c r="AE307" s="11">
        <f t="shared" si="46"/>
        <v>15356.571428571429</v>
      </c>
      <c r="AF307" s="28">
        <f t="shared" si="53"/>
        <v>1.5718776960533434</v>
      </c>
      <c r="AG307" s="42">
        <f t="shared" si="47"/>
        <v>8.2473415794102074E-3</v>
      </c>
      <c r="AH307" s="14" t="str">
        <f t="shared" si="48"/>
        <v>**</v>
      </c>
      <c r="AI307" s="11">
        <f t="shared" si="49"/>
        <v>69</v>
      </c>
      <c r="AJ307" s="11">
        <f t="shared" si="50"/>
        <v>69</v>
      </c>
      <c r="AK307" s="11">
        <f t="shared" si="51"/>
        <v>4.6256828858431166E-2</v>
      </c>
      <c r="AL307" s="42">
        <f t="shared" si="52"/>
        <v>4.6256828858431166E-2</v>
      </c>
      <c r="AM307" s="14" t="str">
        <f t="shared" si="54"/>
        <v>**</v>
      </c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</row>
    <row r="308" spans="1:56" ht="27" customHeight="1" x14ac:dyDescent="0.2">
      <c r="A308" s="9" t="s">
        <v>356</v>
      </c>
      <c r="B308" s="11">
        <v>279</v>
      </c>
      <c r="C308" s="2">
        <v>1521.98120112428</v>
      </c>
      <c r="D308" s="2">
        <v>12.405707843137201</v>
      </c>
      <c r="E308" s="2">
        <v>-1</v>
      </c>
      <c r="F308" s="12" t="s">
        <v>127</v>
      </c>
      <c r="G308" s="12" t="s">
        <v>31</v>
      </c>
      <c r="H308" s="5"/>
      <c r="I308" s="11">
        <v>6700</v>
      </c>
      <c r="J308" s="11">
        <v>8190</v>
      </c>
      <c r="K308" s="11">
        <v>11671</v>
      </c>
      <c r="L308" s="11">
        <v>7553</v>
      </c>
      <c r="M308" s="11">
        <v>8793</v>
      </c>
      <c r="N308" s="11">
        <v>12051</v>
      </c>
      <c r="O308" s="11">
        <v>13680</v>
      </c>
      <c r="P308" s="11"/>
      <c r="Q308" s="11">
        <v>8356</v>
      </c>
      <c r="R308" s="11">
        <v>8793</v>
      </c>
      <c r="S308" s="11">
        <v>7544</v>
      </c>
      <c r="T308" s="11">
        <v>10122</v>
      </c>
      <c r="U308" s="11">
        <v>10142</v>
      </c>
      <c r="V308" s="11">
        <v>10217</v>
      </c>
      <c r="W308" s="11">
        <v>12329</v>
      </c>
      <c r="X308" s="11"/>
      <c r="Y308" s="11">
        <v>0</v>
      </c>
      <c r="Z308" s="11">
        <v>8912</v>
      </c>
      <c r="AA308" s="11">
        <v>11006</v>
      </c>
      <c r="AB308" s="11">
        <v>11733</v>
      </c>
      <c r="AC308" s="17">
        <f t="shared" si="44"/>
        <v>0.13882612076874154</v>
      </c>
      <c r="AD308" s="11">
        <f t="shared" si="45"/>
        <v>9805.4285714285706</v>
      </c>
      <c r="AE308" s="11">
        <f t="shared" si="46"/>
        <v>9643.2857142857138</v>
      </c>
      <c r="AF308" s="28">
        <f t="shared" si="53"/>
        <v>0.98346397039540778</v>
      </c>
      <c r="AG308" s="42">
        <f t="shared" si="47"/>
        <v>0.89184426350064983</v>
      </c>
      <c r="AH308" s="14" t="str">
        <f t="shared" si="48"/>
        <v>-</v>
      </c>
      <c r="AI308" s="11">
        <f t="shared" si="49"/>
        <v>372</v>
      </c>
      <c r="AJ308" s="11">
        <f t="shared" si="50"/>
        <v>372</v>
      </c>
      <c r="AK308" s="11">
        <f t="shared" si="51"/>
        <v>0.92780572573857922</v>
      </c>
      <c r="AL308" s="42">
        <f t="shared" si="52"/>
        <v>0.92624599631222104</v>
      </c>
      <c r="AM308" s="14" t="str">
        <f t="shared" si="54"/>
        <v/>
      </c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</row>
    <row r="309" spans="1:56" ht="27" customHeight="1" x14ac:dyDescent="0.2">
      <c r="A309" s="9" t="s">
        <v>356</v>
      </c>
      <c r="B309" s="11">
        <v>282</v>
      </c>
      <c r="C309" s="2">
        <v>1421.9489337156001</v>
      </c>
      <c r="D309" s="2">
        <v>12.058761458333199</v>
      </c>
      <c r="E309" s="2">
        <v>-1</v>
      </c>
      <c r="F309" s="12" t="s">
        <v>130</v>
      </c>
      <c r="G309" s="12" t="s">
        <v>31</v>
      </c>
      <c r="H309" s="5"/>
      <c r="I309" s="11">
        <v>5671</v>
      </c>
      <c r="J309" s="11">
        <v>6626</v>
      </c>
      <c r="K309" s="11">
        <v>9877</v>
      </c>
      <c r="L309" s="11">
        <v>8758</v>
      </c>
      <c r="M309" s="11">
        <v>11432</v>
      </c>
      <c r="N309" s="11">
        <v>11350</v>
      </c>
      <c r="O309" s="11">
        <v>13434</v>
      </c>
      <c r="P309" s="11"/>
      <c r="Q309" s="11">
        <v>9288</v>
      </c>
      <c r="R309" s="11">
        <v>8811</v>
      </c>
      <c r="S309" s="11">
        <v>8016</v>
      </c>
      <c r="T309" s="11">
        <v>12493</v>
      </c>
      <c r="U309" s="11">
        <v>9834</v>
      </c>
      <c r="V309" s="11">
        <v>8599</v>
      </c>
      <c r="W309" s="11">
        <v>12030</v>
      </c>
      <c r="X309" s="11"/>
      <c r="Y309" s="11">
        <v>0</v>
      </c>
      <c r="Z309" s="11">
        <v>9117</v>
      </c>
      <c r="AA309" s="11">
        <v>10397</v>
      </c>
      <c r="AB309" s="11">
        <v>12247</v>
      </c>
      <c r="AC309" s="17">
        <f t="shared" si="44"/>
        <v>0.14863761076199197</v>
      </c>
      <c r="AD309" s="11">
        <f t="shared" si="45"/>
        <v>9592.5714285714294</v>
      </c>
      <c r="AE309" s="11">
        <f t="shared" si="46"/>
        <v>9867.2857142857138</v>
      </c>
      <c r="AF309" s="28">
        <f t="shared" si="53"/>
        <v>1.028638231965211</v>
      </c>
      <c r="AG309" s="42">
        <f t="shared" si="47"/>
        <v>0.82866137330058587</v>
      </c>
      <c r="AH309" s="14" t="str">
        <f t="shared" si="48"/>
        <v>-</v>
      </c>
      <c r="AI309" s="11">
        <f t="shared" si="49"/>
        <v>370</v>
      </c>
      <c r="AJ309" s="11">
        <f t="shared" si="50"/>
        <v>370</v>
      </c>
      <c r="AK309" s="11">
        <f t="shared" si="51"/>
        <v>0.86673500396574787</v>
      </c>
      <c r="AL309" s="42">
        <f t="shared" si="52"/>
        <v>0.86673500396574787</v>
      </c>
      <c r="AM309" s="14" t="str">
        <f t="shared" si="54"/>
        <v/>
      </c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</row>
    <row r="310" spans="1:56" ht="27" customHeight="1" x14ac:dyDescent="0.2">
      <c r="A310" s="9" t="s">
        <v>356</v>
      </c>
      <c r="B310" s="11">
        <v>287</v>
      </c>
      <c r="C310" s="2">
        <v>1523.9971144563301</v>
      </c>
      <c r="D310" s="2">
        <v>12.840370588235199</v>
      </c>
      <c r="E310" s="2">
        <v>-1</v>
      </c>
      <c r="F310" s="12" t="s">
        <v>544</v>
      </c>
      <c r="G310" s="12" t="s">
        <v>31</v>
      </c>
      <c r="H310" s="5"/>
      <c r="I310" s="11">
        <v>4032</v>
      </c>
      <c r="J310" s="11">
        <v>3491</v>
      </c>
      <c r="K310" s="11">
        <v>4934</v>
      </c>
      <c r="L310" s="11">
        <v>4892</v>
      </c>
      <c r="M310" s="11">
        <v>4426</v>
      </c>
      <c r="N310" s="11">
        <v>4302</v>
      </c>
      <c r="O310" s="11">
        <v>6512</v>
      </c>
      <c r="P310" s="11"/>
      <c r="Q310" s="11">
        <v>8709</v>
      </c>
      <c r="R310" s="11">
        <v>9163</v>
      </c>
      <c r="S310" s="11">
        <v>7448</v>
      </c>
      <c r="T310" s="11">
        <v>9800</v>
      </c>
      <c r="U310" s="11">
        <v>10689</v>
      </c>
      <c r="V310" s="11">
        <v>11203</v>
      </c>
      <c r="W310" s="11">
        <v>13267</v>
      </c>
      <c r="X310" s="11"/>
      <c r="Y310" s="11">
        <v>0</v>
      </c>
      <c r="Z310" s="11">
        <v>7334</v>
      </c>
      <c r="AA310" s="11">
        <v>7143</v>
      </c>
      <c r="AB310" s="11">
        <v>8784</v>
      </c>
      <c r="AC310" s="17">
        <f t="shared" si="44"/>
        <v>0.11573760985175617</v>
      </c>
      <c r="AD310" s="11">
        <f t="shared" si="45"/>
        <v>4655.5714285714284</v>
      </c>
      <c r="AE310" s="11">
        <f t="shared" si="46"/>
        <v>10039.857142857143</v>
      </c>
      <c r="AF310" s="28">
        <f t="shared" si="53"/>
        <v>2.1565252078922339</v>
      </c>
      <c r="AG310" s="42">
        <f t="shared" si="47"/>
        <v>9.2663101701668344E-5</v>
      </c>
      <c r="AH310" s="14" t="str">
        <f t="shared" si="48"/>
        <v>***</v>
      </c>
      <c r="AI310" s="11">
        <f t="shared" si="49"/>
        <v>5</v>
      </c>
      <c r="AJ310" s="11">
        <f t="shared" si="50"/>
        <v>5</v>
      </c>
      <c r="AK310" s="11">
        <f t="shared" si="51"/>
        <v>7.1721240717091293E-3</v>
      </c>
      <c r="AL310" s="42">
        <f t="shared" si="52"/>
        <v>6.4321232640629205E-3</v>
      </c>
      <c r="AM310" s="14" t="str">
        <f t="shared" si="54"/>
        <v>**</v>
      </c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</row>
    <row r="311" spans="1:56" ht="27" customHeight="1" x14ac:dyDescent="0.2">
      <c r="A311" s="9" t="s">
        <v>356</v>
      </c>
      <c r="B311" s="11">
        <v>397</v>
      </c>
      <c r="C311" s="2">
        <v>1423.96442328684</v>
      </c>
      <c r="D311" s="2">
        <v>12.6015571428571</v>
      </c>
      <c r="E311" s="2">
        <v>-1</v>
      </c>
      <c r="F311" s="12" t="s">
        <v>550</v>
      </c>
      <c r="G311" s="12" t="s">
        <v>31</v>
      </c>
      <c r="H311" s="5"/>
      <c r="I311" s="11">
        <v>2552</v>
      </c>
      <c r="J311" s="11">
        <v>3495</v>
      </c>
      <c r="K311" s="11">
        <v>4991</v>
      </c>
      <c r="L311" s="11">
        <v>4116</v>
      </c>
      <c r="M311" s="11">
        <v>4966</v>
      </c>
      <c r="N311" s="11">
        <v>4449</v>
      </c>
      <c r="O311" s="11">
        <v>5548</v>
      </c>
      <c r="P311" s="11"/>
      <c r="Q311" s="11">
        <v>5681</v>
      </c>
      <c r="R311" s="11">
        <v>4858</v>
      </c>
      <c r="S311" s="11">
        <v>4333</v>
      </c>
      <c r="T311" s="11">
        <v>7190</v>
      </c>
      <c r="U311" s="11">
        <v>6963</v>
      </c>
      <c r="V311" s="11">
        <v>6162</v>
      </c>
      <c r="W311" s="11">
        <v>9284</v>
      </c>
      <c r="X311" s="11"/>
      <c r="Y311" s="11">
        <v>0</v>
      </c>
      <c r="Z311" s="11">
        <v>4732</v>
      </c>
      <c r="AA311" s="11">
        <v>5805</v>
      </c>
      <c r="AB311" s="11">
        <v>5959</v>
      </c>
      <c r="AC311" s="17">
        <f t="shared" si="44"/>
        <v>0.12155725436259476</v>
      </c>
      <c r="AD311" s="11">
        <f t="shared" si="45"/>
        <v>4302.4285714285716</v>
      </c>
      <c r="AE311" s="11">
        <f t="shared" si="46"/>
        <v>6353</v>
      </c>
      <c r="AF311" s="28">
        <f t="shared" si="53"/>
        <v>1.4766078958727629</v>
      </c>
      <c r="AG311" s="42">
        <f t="shared" si="47"/>
        <v>1.9196928454450375E-2</v>
      </c>
      <c r="AH311" s="14" t="str">
        <f t="shared" si="48"/>
        <v>*</v>
      </c>
      <c r="AI311" s="11">
        <f t="shared" si="49"/>
        <v>113</v>
      </c>
      <c r="AJ311" s="11">
        <f t="shared" si="50"/>
        <v>113</v>
      </c>
      <c r="AK311" s="11">
        <f t="shared" si="51"/>
        <v>6.5745232848427398E-2</v>
      </c>
      <c r="AL311" s="42">
        <f t="shared" si="52"/>
        <v>6.5745232848427398E-2</v>
      </c>
      <c r="AM311" s="14" t="str">
        <f t="shared" si="54"/>
        <v>*</v>
      </c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</row>
    <row r="312" spans="1:56" ht="27" customHeight="1" x14ac:dyDescent="0.2">
      <c r="A312" s="9" t="s">
        <v>356</v>
      </c>
      <c r="B312" s="11">
        <v>428</v>
      </c>
      <c r="C312" s="2">
        <v>1425.98058248706</v>
      </c>
      <c r="D312" s="2">
        <v>13.157350980392099</v>
      </c>
      <c r="E312" s="2">
        <v>-1</v>
      </c>
      <c r="F312" s="12" t="s">
        <v>208</v>
      </c>
      <c r="G312" s="12" t="s">
        <v>31</v>
      </c>
      <c r="H312" s="5"/>
      <c r="I312" s="11">
        <v>2826</v>
      </c>
      <c r="J312" s="11">
        <v>3406</v>
      </c>
      <c r="K312" s="11">
        <v>4377</v>
      </c>
      <c r="L312" s="11">
        <v>2991</v>
      </c>
      <c r="M312" s="11">
        <v>4058</v>
      </c>
      <c r="N312" s="11">
        <v>4031</v>
      </c>
      <c r="O312" s="11">
        <v>5076</v>
      </c>
      <c r="P312" s="11"/>
      <c r="Q312" s="11">
        <v>5074</v>
      </c>
      <c r="R312" s="11">
        <v>5916</v>
      </c>
      <c r="S312" s="11">
        <v>3051</v>
      </c>
      <c r="T312" s="11">
        <v>5534</v>
      </c>
      <c r="U312" s="11">
        <v>7130</v>
      </c>
      <c r="V312" s="11">
        <v>5634</v>
      </c>
      <c r="W312" s="11">
        <v>8458</v>
      </c>
      <c r="X312" s="11"/>
      <c r="Y312" s="11">
        <v>0</v>
      </c>
      <c r="Z312" s="11">
        <v>4929</v>
      </c>
      <c r="AA312" s="11">
        <v>5589</v>
      </c>
      <c r="AB312" s="11">
        <v>5385</v>
      </c>
      <c r="AC312" s="17">
        <f t="shared" si="44"/>
        <v>6.374704172191839E-2</v>
      </c>
      <c r="AD312" s="11">
        <f t="shared" si="45"/>
        <v>3823.5714285714284</v>
      </c>
      <c r="AE312" s="11">
        <f t="shared" si="46"/>
        <v>5828.1428571428569</v>
      </c>
      <c r="AF312" s="28">
        <f t="shared" si="53"/>
        <v>1.5242667662992715</v>
      </c>
      <c r="AG312" s="42">
        <f t="shared" si="47"/>
        <v>2.0208888760167576E-2</v>
      </c>
      <c r="AH312" s="14" t="str">
        <f t="shared" si="48"/>
        <v>*</v>
      </c>
      <c r="AI312" s="11">
        <f t="shared" si="49"/>
        <v>115</v>
      </c>
      <c r="AJ312" s="11">
        <f t="shared" si="50"/>
        <v>115</v>
      </c>
      <c r="AK312" s="11">
        <f t="shared" si="51"/>
        <v>6.8007303914650888E-2</v>
      </c>
      <c r="AL312" s="42">
        <f t="shared" si="52"/>
        <v>6.8007303914650888E-2</v>
      </c>
      <c r="AM312" s="14" t="str">
        <f t="shared" si="54"/>
        <v>*</v>
      </c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</row>
    <row r="313" spans="1:56" ht="27" customHeight="1" x14ac:dyDescent="0.2">
      <c r="A313" s="9" t="s">
        <v>356</v>
      </c>
      <c r="B313" s="11">
        <v>473</v>
      </c>
      <c r="C313" s="2">
        <v>1427.9957766447701</v>
      </c>
      <c r="D313" s="2">
        <v>13.6319145833333</v>
      </c>
      <c r="E313" s="2">
        <v>-1</v>
      </c>
      <c r="F313" s="12" t="s">
        <v>221</v>
      </c>
      <c r="G313" s="12" t="s">
        <v>31</v>
      </c>
      <c r="H313" s="5"/>
      <c r="I313" s="11">
        <v>1351</v>
      </c>
      <c r="J313" s="11">
        <v>1550</v>
      </c>
      <c r="K313" s="11">
        <v>2488</v>
      </c>
      <c r="L313" s="11">
        <v>1971</v>
      </c>
      <c r="M313" s="11">
        <v>2433</v>
      </c>
      <c r="N313" s="11">
        <v>2591</v>
      </c>
      <c r="O313" s="11">
        <v>2395</v>
      </c>
      <c r="P313" s="11"/>
      <c r="Q313" s="11">
        <v>3699</v>
      </c>
      <c r="R313" s="11">
        <v>5272</v>
      </c>
      <c r="S313" s="11">
        <v>2781</v>
      </c>
      <c r="T313" s="11">
        <v>4432</v>
      </c>
      <c r="U313" s="11">
        <v>6526</v>
      </c>
      <c r="V313" s="11">
        <v>5265</v>
      </c>
      <c r="W313" s="11">
        <v>7473</v>
      </c>
      <c r="X313" s="11"/>
      <c r="Y313" s="11">
        <v>0</v>
      </c>
      <c r="Z313" s="11">
        <v>3704</v>
      </c>
      <c r="AA313" s="11">
        <v>4012</v>
      </c>
      <c r="AB313" s="11">
        <v>4432</v>
      </c>
      <c r="AC313" s="17">
        <f t="shared" si="44"/>
        <v>9.0245244420917511E-2</v>
      </c>
      <c r="AD313" s="11">
        <f t="shared" si="45"/>
        <v>2111.2857142857142</v>
      </c>
      <c r="AE313" s="11">
        <f t="shared" si="46"/>
        <v>5064</v>
      </c>
      <c r="AF313" s="28">
        <f t="shared" si="53"/>
        <v>2.3985384667433522</v>
      </c>
      <c r="AG313" s="42">
        <f t="shared" si="47"/>
        <v>2.2454494137033724E-3</v>
      </c>
      <c r="AH313" s="14" t="str">
        <f t="shared" si="48"/>
        <v>**</v>
      </c>
      <c r="AI313" s="11">
        <f t="shared" si="49"/>
        <v>31</v>
      </c>
      <c r="AJ313" s="11">
        <f t="shared" si="50"/>
        <v>31</v>
      </c>
      <c r="AK313" s="11">
        <f t="shared" si="51"/>
        <v>2.8031900745264678E-2</v>
      </c>
      <c r="AL313" s="42">
        <f t="shared" si="52"/>
        <v>2.8031900745264678E-2</v>
      </c>
      <c r="AM313" s="14" t="str">
        <f t="shared" si="54"/>
        <v>**</v>
      </c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</row>
    <row r="314" spans="1:56" ht="27" customHeight="1" x14ac:dyDescent="0.2">
      <c r="A314" s="9" t="s">
        <v>356</v>
      </c>
      <c r="B314" s="11">
        <v>496</v>
      </c>
      <c r="C314" s="2">
        <v>1469.9489807131499</v>
      </c>
      <c r="D314" s="2">
        <v>11.941049019607799</v>
      </c>
      <c r="E314" s="2">
        <v>-1</v>
      </c>
      <c r="F314" s="12" t="s">
        <v>195</v>
      </c>
      <c r="G314" s="12" t="s">
        <v>31</v>
      </c>
      <c r="H314" s="5"/>
      <c r="I314" s="11">
        <v>2528</v>
      </c>
      <c r="J314" s="11">
        <v>2828</v>
      </c>
      <c r="K314" s="11">
        <v>4861</v>
      </c>
      <c r="L314" s="11">
        <v>3144</v>
      </c>
      <c r="M314" s="11">
        <v>4370</v>
      </c>
      <c r="N314" s="11">
        <v>4457</v>
      </c>
      <c r="O314" s="11">
        <v>5039</v>
      </c>
      <c r="P314" s="11"/>
      <c r="Q314" s="11">
        <v>4239</v>
      </c>
      <c r="R314" s="11">
        <v>4207</v>
      </c>
      <c r="S314" s="11">
        <v>4453</v>
      </c>
      <c r="T314" s="11">
        <v>5931</v>
      </c>
      <c r="U314" s="11">
        <v>5025</v>
      </c>
      <c r="V314" s="11">
        <v>5782</v>
      </c>
      <c r="W314" s="11">
        <v>7090</v>
      </c>
      <c r="X314" s="11"/>
      <c r="Y314" s="11">
        <v>0</v>
      </c>
      <c r="Z314" s="11">
        <v>4121</v>
      </c>
      <c r="AA314" s="11">
        <v>4646</v>
      </c>
      <c r="AB314" s="11">
        <v>4811</v>
      </c>
      <c r="AC314" s="17">
        <f t="shared" si="44"/>
        <v>7.9609448626586254E-2</v>
      </c>
      <c r="AD314" s="11">
        <f t="shared" si="45"/>
        <v>3889.5714285714284</v>
      </c>
      <c r="AE314" s="11">
        <f t="shared" si="46"/>
        <v>5246.7142857142853</v>
      </c>
      <c r="AF314" s="28">
        <f t="shared" si="53"/>
        <v>1.3489183531053732</v>
      </c>
      <c r="AG314" s="42">
        <f t="shared" si="47"/>
        <v>3.2749832175635048E-2</v>
      </c>
      <c r="AH314" s="14" t="str">
        <f t="shared" si="48"/>
        <v>*</v>
      </c>
      <c r="AI314" s="11">
        <f t="shared" si="49"/>
        <v>136</v>
      </c>
      <c r="AJ314" s="11">
        <f t="shared" si="50"/>
        <v>136</v>
      </c>
      <c r="AK314" s="11">
        <f t="shared" si="51"/>
        <v>9.3192537146843848E-2</v>
      </c>
      <c r="AL314" s="42">
        <f t="shared" si="52"/>
        <v>9.2289142428524734E-2</v>
      </c>
      <c r="AM314" s="14" t="str">
        <f t="shared" si="54"/>
        <v>*</v>
      </c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</row>
    <row r="315" spans="1:56" ht="27" customHeight="1" x14ac:dyDescent="0.2">
      <c r="A315" s="9" t="s">
        <v>356</v>
      </c>
      <c r="B315" s="11">
        <v>574</v>
      </c>
      <c r="C315" s="2">
        <v>1445.94996517663</v>
      </c>
      <c r="D315" s="2">
        <v>11.825115686274399</v>
      </c>
      <c r="E315" s="2">
        <v>-1</v>
      </c>
      <c r="F315" s="12" t="s">
        <v>199</v>
      </c>
      <c r="G315" s="12" t="s">
        <v>31</v>
      </c>
      <c r="H315" s="5"/>
      <c r="I315" s="11">
        <v>4086</v>
      </c>
      <c r="J315" s="11">
        <v>3474</v>
      </c>
      <c r="K315" s="11">
        <v>5213</v>
      </c>
      <c r="L315" s="11">
        <v>5243</v>
      </c>
      <c r="M315" s="11">
        <v>5085</v>
      </c>
      <c r="N315" s="11">
        <v>5665</v>
      </c>
      <c r="O315" s="11">
        <v>6113</v>
      </c>
      <c r="P315" s="11"/>
      <c r="Q315" s="11">
        <v>3077</v>
      </c>
      <c r="R315" s="11">
        <v>3943</v>
      </c>
      <c r="S315" s="11">
        <v>2957</v>
      </c>
      <c r="T315" s="11">
        <v>5021</v>
      </c>
      <c r="U315" s="11">
        <v>4347</v>
      </c>
      <c r="V315" s="11">
        <v>3490</v>
      </c>
      <c r="W315" s="11">
        <v>4702</v>
      </c>
      <c r="X315" s="11"/>
      <c r="Y315" s="11">
        <v>0</v>
      </c>
      <c r="Z315" s="11">
        <v>4341</v>
      </c>
      <c r="AA315" s="11">
        <v>5048</v>
      </c>
      <c r="AB315" s="11">
        <v>5233</v>
      </c>
      <c r="AC315" s="17">
        <f t="shared" si="44"/>
        <v>9.6587714528690582E-2</v>
      </c>
      <c r="AD315" s="11">
        <f t="shared" si="45"/>
        <v>4982.7142857142853</v>
      </c>
      <c r="AE315" s="11">
        <f t="shared" si="46"/>
        <v>3933.8571428571427</v>
      </c>
      <c r="AF315" s="28">
        <f t="shared" si="53"/>
        <v>0.78950084578112911</v>
      </c>
      <c r="AG315" s="42">
        <f t="shared" si="47"/>
        <v>4.0995016126384995E-2</v>
      </c>
      <c r="AH315" s="14" t="str">
        <f t="shared" si="48"/>
        <v>*</v>
      </c>
      <c r="AI315" s="11">
        <f t="shared" si="49"/>
        <v>151</v>
      </c>
      <c r="AJ315" s="11">
        <f t="shared" si="50"/>
        <v>151</v>
      </c>
      <c r="AK315" s="11">
        <f t="shared" si="51"/>
        <v>0.10506669695967545</v>
      </c>
      <c r="AL315" s="42">
        <f t="shared" si="52"/>
        <v>0.10506669695967545</v>
      </c>
      <c r="AM315" s="14" t="str">
        <f t="shared" si="54"/>
        <v/>
      </c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</row>
    <row r="316" spans="1:56" ht="27" customHeight="1" x14ac:dyDescent="0.2">
      <c r="A316" s="9" t="s">
        <v>356</v>
      </c>
      <c r="B316" s="11">
        <v>623</v>
      </c>
      <c r="C316" s="2">
        <v>1545.97977389981</v>
      </c>
      <c r="D316" s="2">
        <v>12.5163458333333</v>
      </c>
      <c r="E316" s="2">
        <v>-1</v>
      </c>
      <c r="F316" s="12" t="s">
        <v>212</v>
      </c>
      <c r="G316" s="12" t="s">
        <v>31</v>
      </c>
      <c r="H316" s="5"/>
      <c r="I316" s="11">
        <v>1531</v>
      </c>
      <c r="J316" s="11">
        <v>2124</v>
      </c>
      <c r="K316" s="11">
        <v>3145</v>
      </c>
      <c r="L316" s="11">
        <v>1799</v>
      </c>
      <c r="M316" s="11">
        <v>1983</v>
      </c>
      <c r="N316" s="11">
        <v>3637</v>
      </c>
      <c r="O316" s="11">
        <v>3615</v>
      </c>
      <c r="P316" s="11"/>
      <c r="Q316" s="11">
        <v>2935</v>
      </c>
      <c r="R316" s="11">
        <v>2879</v>
      </c>
      <c r="S316" s="11">
        <v>3668</v>
      </c>
      <c r="T316" s="11">
        <v>2954</v>
      </c>
      <c r="U316" s="11">
        <v>4755</v>
      </c>
      <c r="V316" s="11">
        <v>3680</v>
      </c>
      <c r="W316" s="11">
        <v>5754</v>
      </c>
      <c r="X316" s="11"/>
      <c r="Y316" s="11">
        <v>0</v>
      </c>
      <c r="Z316" s="11">
        <v>2858</v>
      </c>
      <c r="AA316" s="11">
        <v>3295</v>
      </c>
      <c r="AB316" s="11">
        <v>3488</v>
      </c>
      <c r="AC316" s="17">
        <f t="shared" si="44"/>
        <v>0.10043950157089911</v>
      </c>
      <c r="AD316" s="11">
        <f t="shared" si="45"/>
        <v>2547.7142857142858</v>
      </c>
      <c r="AE316" s="11">
        <f t="shared" si="46"/>
        <v>3803.5714285714284</v>
      </c>
      <c r="AF316" s="28">
        <f t="shared" si="53"/>
        <v>1.49293484355725</v>
      </c>
      <c r="AG316" s="42">
        <f t="shared" si="47"/>
        <v>3.6489238812218855E-2</v>
      </c>
      <c r="AH316" s="14" t="str">
        <f t="shared" si="48"/>
        <v>*</v>
      </c>
      <c r="AI316" s="11">
        <f t="shared" si="49"/>
        <v>145</v>
      </c>
      <c r="AJ316" s="11">
        <f t="shared" si="50"/>
        <v>145</v>
      </c>
      <c r="AK316" s="11">
        <f t="shared" si="51"/>
        <v>9.7388520140197901E-2</v>
      </c>
      <c r="AL316" s="42">
        <f t="shared" si="52"/>
        <v>9.7326771460434253E-2</v>
      </c>
      <c r="AM316" s="14" t="str">
        <f t="shared" si="54"/>
        <v>*</v>
      </c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</row>
    <row r="317" spans="1:56" ht="27" customHeight="1" x14ac:dyDescent="0.2">
      <c r="A317" s="9" t="s">
        <v>356</v>
      </c>
      <c r="B317" s="11">
        <v>693</v>
      </c>
      <c r="C317" s="2">
        <v>1403.9967234175499</v>
      </c>
      <c r="D317" s="2">
        <v>14.0287000000001</v>
      </c>
      <c r="E317" s="2">
        <v>-1</v>
      </c>
      <c r="F317" s="12" t="s">
        <v>260</v>
      </c>
      <c r="G317" s="12" t="s">
        <v>31</v>
      </c>
      <c r="H317" s="5"/>
      <c r="I317" s="11">
        <v>704</v>
      </c>
      <c r="J317" s="11">
        <v>879</v>
      </c>
      <c r="K317" s="11">
        <v>974</v>
      </c>
      <c r="L317" s="11">
        <v>1342</v>
      </c>
      <c r="M317" s="11">
        <v>1198</v>
      </c>
      <c r="N317" s="11">
        <v>1334</v>
      </c>
      <c r="O317" s="11">
        <v>1375</v>
      </c>
      <c r="P317" s="11"/>
      <c r="Q317" s="11">
        <v>2061</v>
      </c>
      <c r="R317" s="11">
        <v>2943</v>
      </c>
      <c r="S317" s="11">
        <v>1416</v>
      </c>
      <c r="T317" s="11">
        <v>2737</v>
      </c>
      <c r="U317" s="11">
        <v>4240</v>
      </c>
      <c r="V317" s="11">
        <v>3424</v>
      </c>
      <c r="W317" s="11">
        <v>5069</v>
      </c>
      <c r="X317" s="11"/>
      <c r="Y317" s="11">
        <v>0</v>
      </c>
      <c r="Z317" s="11">
        <v>1910</v>
      </c>
      <c r="AA317" s="11">
        <v>2237</v>
      </c>
      <c r="AB317" s="11">
        <v>2480</v>
      </c>
      <c r="AC317" s="17">
        <f t="shared" si="44"/>
        <v>0.12948380205326332</v>
      </c>
      <c r="AD317" s="11">
        <f t="shared" si="45"/>
        <v>1115.1428571428571</v>
      </c>
      <c r="AE317" s="11">
        <f t="shared" si="46"/>
        <v>3127.1428571428573</v>
      </c>
      <c r="AF317" s="28">
        <f t="shared" si="53"/>
        <v>2.8042531386113247</v>
      </c>
      <c r="AG317" s="42">
        <f t="shared" si="47"/>
        <v>4.8580991759115321E-3</v>
      </c>
      <c r="AH317" s="14" t="str">
        <f t="shared" si="48"/>
        <v>**</v>
      </c>
      <c r="AI317" s="11">
        <f t="shared" si="49"/>
        <v>53</v>
      </c>
      <c r="AJ317" s="11">
        <f t="shared" si="50"/>
        <v>53</v>
      </c>
      <c r="AK317" s="11">
        <f t="shared" si="51"/>
        <v>3.5473290209014394E-2</v>
      </c>
      <c r="AL317" s="42">
        <f t="shared" si="52"/>
        <v>3.5130671062942702E-2</v>
      </c>
      <c r="AM317" s="14" t="str">
        <f t="shared" si="54"/>
        <v>**</v>
      </c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</row>
    <row r="318" spans="1:56" ht="27" customHeight="1" x14ac:dyDescent="0.2">
      <c r="A318" s="9" t="s">
        <v>356</v>
      </c>
      <c r="B318" s="11">
        <v>735</v>
      </c>
      <c r="C318" s="2">
        <v>1480.0276296946599</v>
      </c>
      <c r="D318" s="2">
        <v>13.9560598039215</v>
      </c>
      <c r="E318" s="2">
        <v>-1</v>
      </c>
      <c r="F318" s="12" t="s">
        <v>259</v>
      </c>
      <c r="G318" s="12" t="s">
        <v>31</v>
      </c>
      <c r="H318" s="5"/>
      <c r="I318" s="11">
        <v>1859</v>
      </c>
      <c r="J318" s="11">
        <v>2518</v>
      </c>
      <c r="K318" s="11">
        <v>3022</v>
      </c>
      <c r="L318" s="11">
        <v>2559</v>
      </c>
      <c r="M318" s="11">
        <v>3005</v>
      </c>
      <c r="N318" s="11">
        <v>2688</v>
      </c>
      <c r="O318" s="11">
        <v>3409</v>
      </c>
      <c r="P318" s="11"/>
      <c r="Q318" s="11">
        <v>2645</v>
      </c>
      <c r="R318" s="11">
        <v>3209</v>
      </c>
      <c r="S318" s="11">
        <v>1690</v>
      </c>
      <c r="T318" s="11">
        <v>3335</v>
      </c>
      <c r="U318" s="11">
        <v>4743</v>
      </c>
      <c r="V318" s="11">
        <v>3519</v>
      </c>
      <c r="W318" s="11">
        <v>4407</v>
      </c>
      <c r="X318" s="11"/>
      <c r="Y318" s="11">
        <v>0</v>
      </c>
      <c r="Z318" s="11">
        <v>2650</v>
      </c>
      <c r="AA318" s="11">
        <v>3351</v>
      </c>
      <c r="AB318" s="11">
        <v>3490</v>
      </c>
      <c r="AC318" s="17">
        <f t="shared" si="44"/>
        <v>0.14231737907197151</v>
      </c>
      <c r="AD318" s="11">
        <f t="shared" si="45"/>
        <v>2722.8571428571427</v>
      </c>
      <c r="AE318" s="11">
        <f t="shared" si="46"/>
        <v>3364</v>
      </c>
      <c r="AF318" s="28">
        <f t="shared" si="53"/>
        <v>1.2354669464847849</v>
      </c>
      <c r="AG318" s="42">
        <f t="shared" si="47"/>
        <v>0.17282729814478764</v>
      </c>
      <c r="AH318" s="14" t="str">
        <f t="shared" si="48"/>
        <v>-</v>
      </c>
      <c r="AI318" s="11">
        <f t="shared" si="49"/>
        <v>233</v>
      </c>
      <c r="AJ318" s="11">
        <f t="shared" si="50"/>
        <v>233</v>
      </c>
      <c r="AK318" s="11">
        <f t="shared" si="51"/>
        <v>0.2870564994937031</v>
      </c>
      <c r="AL318" s="42">
        <f t="shared" si="52"/>
        <v>0.2870564994937031</v>
      </c>
      <c r="AM318" s="14" t="str">
        <f t="shared" si="54"/>
        <v/>
      </c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</row>
    <row r="319" spans="1:56" ht="27" customHeight="1" x14ac:dyDescent="0.2">
      <c r="A319" s="9" t="s">
        <v>356</v>
      </c>
      <c r="B319" s="11">
        <v>757</v>
      </c>
      <c r="C319" s="2">
        <v>1454.0136562282401</v>
      </c>
      <c r="D319" s="2">
        <v>13.773134615384601</v>
      </c>
      <c r="E319" s="2">
        <v>-1</v>
      </c>
      <c r="F319" s="12" t="s">
        <v>561</v>
      </c>
      <c r="G319" s="12" t="s">
        <v>31</v>
      </c>
      <c r="H319" s="5"/>
      <c r="I319" s="11">
        <v>1298</v>
      </c>
      <c r="J319" s="11">
        <v>1260</v>
      </c>
      <c r="K319" s="11">
        <v>1783</v>
      </c>
      <c r="L319" s="11">
        <v>1917</v>
      </c>
      <c r="M319" s="11">
        <v>2482</v>
      </c>
      <c r="N319" s="11">
        <v>2374</v>
      </c>
      <c r="O319" s="11">
        <v>2337</v>
      </c>
      <c r="P319" s="11"/>
      <c r="Q319" s="11">
        <v>2497</v>
      </c>
      <c r="R319" s="11">
        <v>2819</v>
      </c>
      <c r="S319" s="11">
        <v>1595</v>
      </c>
      <c r="T319" s="11">
        <v>3302</v>
      </c>
      <c r="U319" s="11">
        <v>4595</v>
      </c>
      <c r="V319" s="11">
        <v>3364</v>
      </c>
      <c r="W319" s="11">
        <v>4309</v>
      </c>
      <c r="X319" s="11"/>
      <c r="Y319" s="11">
        <v>0</v>
      </c>
      <c r="Z319" s="11">
        <v>2689</v>
      </c>
      <c r="AA319" s="11">
        <v>2934</v>
      </c>
      <c r="AB319" s="11">
        <v>3129</v>
      </c>
      <c r="AC319" s="17">
        <f t="shared" si="44"/>
        <v>7.5573460840095391E-2</v>
      </c>
      <c r="AD319" s="11">
        <f t="shared" si="45"/>
        <v>1921.5714285714287</v>
      </c>
      <c r="AE319" s="11">
        <f t="shared" si="46"/>
        <v>3211.5714285714284</v>
      </c>
      <c r="AF319" s="28">
        <f t="shared" si="53"/>
        <v>1.6713255520035684</v>
      </c>
      <c r="AG319" s="42">
        <f t="shared" si="47"/>
        <v>1.646216327318099E-2</v>
      </c>
      <c r="AH319" s="14" t="str">
        <f t="shared" si="48"/>
        <v>*</v>
      </c>
      <c r="AI319" s="11">
        <f t="shared" si="49"/>
        <v>102</v>
      </c>
      <c r="AJ319" s="11">
        <f t="shared" si="50"/>
        <v>102</v>
      </c>
      <c r="AK319" s="11">
        <f t="shared" si="51"/>
        <v>6.2459384183539635E-2</v>
      </c>
      <c r="AL319" s="42">
        <f t="shared" si="52"/>
        <v>6.1851950472227211E-2</v>
      </c>
      <c r="AM319" s="14" t="str">
        <f t="shared" si="54"/>
        <v>*</v>
      </c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</row>
    <row r="320" spans="1:56" ht="27" customHeight="1" x14ac:dyDescent="0.2">
      <c r="A320" s="9" t="s">
        <v>356</v>
      </c>
      <c r="B320" s="11">
        <v>764</v>
      </c>
      <c r="C320" s="2">
        <v>1526.01535567522</v>
      </c>
      <c r="D320" s="2">
        <v>13.3573544444444</v>
      </c>
      <c r="E320" s="2">
        <v>-1</v>
      </c>
      <c r="F320" s="12" t="s">
        <v>248</v>
      </c>
      <c r="G320" s="12" t="s">
        <v>31</v>
      </c>
      <c r="H320" s="5"/>
      <c r="I320" s="11">
        <v>2359</v>
      </c>
      <c r="J320" s="11">
        <v>2266</v>
      </c>
      <c r="K320" s="11">
        <v>2824</v>
      </c>
      <c r="L320" s="11">
        <v>2676</v>
      </c>
      <c r="M320" s="11">
        <v>2631</v>
      </c>
      <c r="N320" s="11">
        <v>2696</v>
      </c>
      <c r="O320" s="11">
        <v>3565</v>
      </c>
      <c r="P320" s="11"/>
      <c r="Q320" s="11">
        <v>2127</v>
      </c>
      <c r="R320" s="11">
        <v>2558</v>
      </c>
      <c r="S320" s="11">
        <v>2773</v>
      </c>
      <c r="T320" s="11">
        <v>2963</v>
      </c>
      <c r="U320" s="11">
        <v>4343</v>
      </c>
      <c r="V320" s="11">
        <v>3552</v>
      </c>
      <c r="W320" s="11">
        <v>4513</v>
      </c>
      <c r="X320" s="11"/>
      <c r="Y320" s="11">
        <v>0</v>
      </c>
      <c r="Z320" s="11">
        <v>2628</v>
      </c>
      <c r="AA320" s="11">
        <v>3064</v>
      </c>
      <c r="AB320" s="11">
        <v>3515</v>
      </c>
      <c r="AC320" s="17">
        <f t="shared" si="44"/>
        <v>0.14451649989114623</v>
      </c>
      <c r="AD320" s="11">
        <f t="shared" si="45"/>
        <v>2716.7142857142858</v>
      </c>
      <c r="AE320" s="11">
        <f t="shared" si="46"/>
        <v>3261.2857142857142</v>
      </c>
      <c r="AF320" s="28">
        <f t="shared" si="53"/>
        <v>1.2004522269548299</v>
      </c>
      <c r="AG320" s="42">
        <f t="shared" si="47"/>
        <v>0.18553531121649519</v>
      </c>
      <c r="AH320" s="14" t="str">
        <f t="shared" si="48"/>
        <v>-</v>
      </c>
      <c r="AI320" s="11">
        <f t="shared" si="49"/>
        <v>238</v>
      </c>
      <c r="AJ320" s="11">
        <f t="shared" si="50"/>
        <v>238</v>
      </c>
      <c r="AK320" s="11">
        <f t="shared" si="51"/>
        <v>0.30168977075959513</v>
      </c>
      <c r="AL320" s="42">
        <f t="shared" si="52"/>
        <v>0.30168977075959513</v>
      </c>
      <c r="AM320" s="14" t="str">
        <f t="shared" si="54"/>
        <v/>
      </c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</row>
    <row r="321" spans="1:56" ht="27" customHeight="1" x14ac:dyDescent="0.2">
      <c r="A321" s="9" t="s">
        <v>356</v>
      </c>
      <c r="B321" s="11">
        <v>986</v>
      </c>
      <c r="C321" s="2">
        <v>1401.98009242035</v>
      </c>
      <c r="D321" s="2">
        <v>13.5647812499999</v>
      </c>
      <c r="E321" s="2">
        <v>-1</v>
      </c>
      <c r="F321" s="12" t="s">
        <v>567</v>
      </c>
      <c r="G321" s="12" t="s">
        <v>31</v>
      </c>
      <c r="H321" s="5"/>
      <c r="I321" s="11">
        <v>765</v>
      </c>
      <c r="J321" s="11">
        <v>1292</v>
      </c>
      <c r="K321" s="11">
        <v>1574</v>
      </c>
      <c r="L321" s="11">
        <v>993</v>
      </c>
      <c r="M321" s="11">
        <v>1841</v>
      </c>
      <c r="N321" s="11">
        <v>1345</v>
      </c>
      <c r="O321" s="11">
        <v>1747</v>
      </c>
      <c r="P321" s="11"/>
      <c r="Q321" s="11">
        <v>1511</v>
      </c>
      <c r="R321" s="11">
        <v>2539</v>
      </c>
      <c r="S321" s="11">
        <v>1018</v>
      </c>
      <c r="T321" s="11">
        <v>2230</v>
      </c>
      <c r="U321" s="11">
        <v>2516</v>
      </c>
      <c r="V321" s="11">
        <v>2598</v>
      </c>
      <c r="W321" s="11">
        <v>3403</v>
      </c>
      <c r="X321" s="11"/>
      <c r="Y321" s="11">
        <v>0</v>
      </c>
      <c r="Z321" s="11">
        <v>1550</v>
      </c>
      <c r="AA321" s="11">
        <v>1859</v>
      </c>
      <c r="AB321" s="11">
        <v>2013</v>
      </c>
      <c r="AC321" s="17">
        <f t="shared" si="44"/>
        <v>0.13045988904556355</v>
      </c>
      <c r="AD321" s="11">
        <f t="shared" si="45"/>
        <v>1365.2857142857142</v>
      </c>
      <c r="AE321" s="11">
        <f t="shared" si="46"/>
        <v>2259.2857142857142</v>
      </c>
      <c r="AF321" s="28">
        <f t="shared" si="53"/>
        <v>1.6548079941404206</v>
      </c>
      <c r="AG321" s="42">
        <f t="shared" si="47"/>
        <v>2.4609180769451573E-2</v>
      </c>
      <c r="AH321" s="14" t="str">
        <f t="shared" si="48"/>
        <v>*</v>
      </c>
      <c r="AI321" s="11">
        <f t="shared" si="49"/>
        <v>122</v>
      </c>
      <c r="AJ321" s="11">
        <f t="shared" si="50"/>
        <v>122</v>
      </c>
      <c r="AK321" s="11">
        <f t="shared" si="51"/>
        <v>7.8063548834243934E-2</v>
      </c>
      <c r="AL321" s="42">
        <f t="shared" si="52"/>
        <v>7.8063548834243934E-2</v>
      </c>
      <c r="AM321" s="14" t="str">
        <f t="shared" si="54"/>
        <v>*</v>
      </c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</row>
    <row r="322" spans="1:56" ht="27" customHeight="1" x14ac:dyDescent="0.2">
      <c r="A322" s="9" t="s">
        <v>356</v>
      </c>
      <c r="B322" s="11">
        <v>1076</v>
      </c>
      <c r="C322" s="2">
        <v>1591.9651002680901</v>
      </c>
      <c r="D322" s="2">
        <v>11.8668044444444</v>
      </c>
      <c r="E322" s="2">
        <v>-1</v>
      </c>
      <c r="F322" s="12" t="s">
        <v>256</v>
      </c>
      <c r="G322" s="12" t="s">
        <v>31</v>
      </c>
      <c r="H322" s="5"/>
      <c r="I322" s="11">
        <v>1024</v>
      </c>
      <c r="J322" s="11">
        <v>1369</v>
      </c>
      <c r="K322" s="11">
        <v>1538</v>
      </c>
      <c r="L322" s="11">
        <v>902</v>
      </c>
      <c r="M322" s="11">
        <v>937</v>
      </c>
      <c r="N322" s="11">
        <v>1455</v>
      </c>
      <c r="O322" s="11">
        <v>1798</v>
      </c>
      <c r="P322" s="11"/>
      <c r="Q322" s="11">
        <v>2279</v>
      </c>
      <c r="R322" s="11">
        <v>2137</v>
      </c>
      <c r="S322" s="11">
        <v>2849</v>
      </c>
      <c r="T322" s="11">
        <v>1443</v>
      </c>
      <c r="U322" s="11">
        <v>3089</v>
      </c>
      <c r="V322" s="11">
        <v>2438</v>
      </c>
      <c r="W322" s="11">
        <v>2970</v>
      </c>
      <c r="X322" s="11"/>
      <c r="Y322" s="11">
        <v>0</v>
      </c>
      <c r="Z322" s="11">
        <v>2137</v>
      </c>
      <c r="AA322" s="11">
        <v>2056</v>
      </c>
      <c r="AB322" s="11">
        <v>2161</v>
      </c>
      <c r="AC322" s="17">
        <f t="shared" si="44"/>
        <v>2.5976477249251971E-2</v>
      </c>
      <c r="AD322" s="11">
        <f t="shared" si="45"/>
        <v>1289</v>
      </c>
      <c r="AE322" s="11">
        <f t="shared" si="46"/>
        <v>2457.8571428571427</v>
      </c>
      <c r="AF322" s="28">
        <f t="shared" si="53"/>
        <v>1.9067937493073255</v>
      </c>
      <c r="AG322" s="42">
        <f t="shared" si="47"/>
        <v>9.9732764931162606E-4</v>
      </c>
      <c r="AH322" s="14" t="str">
        <f t="shared" si="48"/>
        <v>***</v>
      </c>
      <c r="AI322" s="11">
        <f t="shared" si="49"/>
        <v>20</v>
      </c>
      <c r="AJ322" s="11">
        <f t="shared" si="50"/>
        <v>20</v>
      </c>
      <c r="AK322" s="11">
        <f t="shared" si="51"/>
        <v>1.9298290014179965E-2</v>
      </c>
      <c r="AL322" s="42">
        <f t="shared" si="52"/>
        <v>1.7929650792532514E-2</v>
      </c>
      <c r="AM322" s="14" t="str">
        <f t="shared" si="54"/>
        <v>**</v>
      </c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</row>
    <row r="323" spans="1:56" ht="27" customHeight="1" x14ac:dyDescent="0.2">
      <c r="A323" s="9" t="s">
        <v>356</v>
      </c>
      <c r="B323" s="11">
        <v>1114</v>
      </c>
      <c r="C323" s="2">
        <v>1395.9322916128899</v>
      </c>
      <c r="D323" s="2">
        <v>11.910777083333301</v>
      </c>
      <c r="E323" s="2">
        <v>-1</v>
      </c>
      <c r="F323" s="12" t="s">
        <v>275</v>
      </c>
      <c r="G323" s="12" t="s">
        <v>31</v>
      </c>
      <c r="H323" s="5"/>
      <c r="I323" s="11">
        <v>1363</v>
      </c>
      <c r="J323" s="11">
        <v>1116</v>
      </c>
      <c r="K323" s="11">
        <v>1689</v>
      </c>
      <c r="L323" s="11">
        <v>1733</v>
      </c>
      <c r="M323" s="11">
        <v>1736</v>
      </c>
      <c r="N323" s="11">
        <v>1941</v>
      </c>
      <c r="O323" s="11">
        <v>1973</v>
      </c>
      <c r="P323" s="11"/>
      <c r="Q323" s="11">
        <v>1568</v>
      </c>
      <c r="R323" s="11">
        <v>1928</v>
      </c>
      <c r="S323" s="11">
        <v>1615</v>
      </c>
      <c r="T323" s="11">
        <v>2964</v>
      </c>
      <c r="U323" s="11">
        <v>2964</v>
      </c>
      <c r="V323" s="11">
        <v>1937</v>
      </c>
      <c r="W323" s="11">
        <v>2787</v>
      </c>
      <c r="X323" s="11"/>
      <c r="Y323" s="11">
        <v>0</v>
      </c>
      <c r="Z323" s="11">
        <v>1726</v>
      </c>
      <c r="AA323" s="11">
        <v>2325</v>
      </c>
      <c r="AB323" s="11">
        <v>2153</v>
      </c>
      <c r="AC323" s="17">
        <f t="shared" si="44"/>
        <v>0.14913621045664133</v>
      </c>
      <c r="AD323" s="11">
        <f t="shared" si="45"/>
        <v>1650.1428571428571</v>
      </c>
      <c r="AE323" s="11">
        <f t="shared" si="46"/>
        <v>2251.8571428571427</v>
      </c>
      <c r="AF323" s="28">
        <f t="shared" si="53"/>
        <v>1.3646437537875509</v>
      </c>
      <c r="AG323" s="42">
        <f t="shared" si="47"/>
        <v>5.0207478153811658E-2</v>
      </c>
      <c r="AH323" s="14" t="str">
        <f t="shared" si="48"/>
        <v>-</v>
      </c>
      <c r="AI323" s="11">
        <f t="shared" si="49"/>
        <v>161</v>
      </c>
      <c r="AJ323" s="11">
        <f t="shared" si="50"/>
        <v>161</v>
      </c>
      <c r="AK323" s="11">
        <f t="shared" si="51"/>
        <v>0.12068505618338579</v>
      </c>
      <c r="AL323" s="42">
        <f t="shared" si="52"/>
        <v>0.12068505618338579</v>
      </c>
      <c r="AM323" s="14" t="str">
        <f t="shared" si="54"/>
        <v/>
      </c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</row>
    <row r="324" spans="1:56" ht="27" customHeight="1" x14ac:dyDescent="0.2">
      <c r="A324" s="9" t="s">
        <v>356</v>
      </c>
      <c r="B324" s="11">
        <v>1135</v>
      </c>
      <c r="C324" s="2">
        <v>1493.94803618737</v>
      </c>
      <c r="D324" s="2">
        <v>11.719513541666499</v>
      </c>
      <c r="E324" s="2">
        <v>-1</v>
      </c>
      <c r="F324" s="12" t="s">
        <v>277</v>
      </c>
      <c r="G324" s="12" t="s">
        <v>31</v>
      </c>
      <c r="H324" s="5"/>
      <c r="I324" s="11">
        <v>1487</v>
      </c>
      <c r="J324" s="11">
        <v>1481</v>
      </c>
      <c r="K324" s="11">
        <v>2405</v>
      </c>
      <c r="L324" s="11">
        <v>1707</v>
      </c>
      <c r="M324" s="11">
        <v>1919</v>
      </c>
      <c r="N324" s="11">
        <v>1876</v>
      </c>
      <c r="O324" s="11">
        <v>2898</v>
      </c>
      <c r="P324" s="11"/>
      <c r="Q324" s="11">
        <v>1528</v>
      </c>
      <c r="R324" s="11">
        <v>2078</v>
      </c>
      <c r="S324" s="11">
        <v>1769</v>
      </c>
      <c r="T324" s="11">
        <v>2202</v>
      </c>
      <c r="U324" s="11">
        <v>2173</v>
      </c>
      <c r="V324" s="11">
        <v>2090</v>
      </c>
      <c r="W324" s="11">
        <v>2670</v>
      </c>
      <c r="X324" s="11"/>
      <c r="Y324" s="11">
        <v>0</v>
      </c>
      <c r="Z324" s="11">
        <v>1942</v>
      </c>
      <c r="AA324" s="11">
        <v>2179</v>
      </c>
      <c r="AB324" s="11">
        <v>2377</v>
      </c>
      <c r="AC324" s="17">
        <f t="shared" ref="AC324:AC387" si="55">IFERROR(STDEV(Z324:AB324)/AVERAGE(Z324:AB324),0)</f>
        <v>0.10054994662723633</v>
      </c>
      <c r="AD324" s="11">
        <f t="shared" ref="AD324:AD390" si="56">AVERAGE(I324:O324)</f>
        <v>1967.5714285714287</v>
      </c>
      <c r="AE324" s="11">
        <f t="shared" ref="AE324:AE390" si="57">AVERAGE(Q324:W324)</f>
        <v>2072.8571428571427</v>
      </c>
      <c r="AF324" s="28">
        <f t="shared" si="53"/>
        <v>1.0535104915414215</v>
      </c>
      <c r="AG324" s="42">
        <f t="shared" ref="AG324:AG390" si="58">TTEST(I324:O324,Q324:W324,2,3)</f>
        <v>0.66684381491046918</v>
      </c>
      <c r="AH324" s="14" t="str">
        <f t="shared" ref="AH324:AH387" si="59">IF(AG324&lt;0.001,"***",IF(AG324&lt;0.01,"**",IF(AG324&lt;0.05,"*","-")))</f>
        <v>-</v>
      </c>
      <c r="AI324" s="11">
        <f t="shared" ref="AI324:AI390" si="60">_xlfn.RANK.EQ(AG324,$AG$4:$AG$390,1)</f>
        <v>343</v>
      </c>
      <c r="AJ324" s="11">
        <f t="shared" ref="AJ324:AJ387" si="61">COUNTIF($AI$4:$AI$390,AI324)+AI324-1</f>
        <v>343</v>
      </c>
      <c r="AK324" s="11">
        <f t="shared" ref="AK324:AK387" si="62">MIN(AG324*$AJ$3/AJ324,1)</f>
        <v>0.75238646172114165</v>
      </c>
      <c r="AL324" s="42">
        <f t="shared" ref="AL324:AL387" si="63">MIN(AK324,IFERROR(VLOOKUP(AJ324+1,$AJ$4:$AL$390,3,FALSE),1))</f>
        <v>0.75238646172114165</v>
      </c>
      <c r="AM324" s="14" t="str">
        <f t="shared" si="54"/>
        <v/>
      </c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</row>
    <row r="325" spans="1:56" ht="27" customHeight="1" x14ac:dyDescent="0.2">
      <c r="A325" s="9" t="s">
        <v>356</v>
      </c>
      <c r="B325" s="11">
        <v>1307</v>
      </c>
      <c r="C325" s="2">
        <v>1397.9481492960999</v>
      </c>
      <c r="D325" s="2">
        <v>12.4045726190477</v>
      </c>
      <c r="E325" s="2">
        <v>-1</v>
      </c>
      <c r="F325" s="12" t="s">
        <v>290</v>
      </c>
      <c r="G325" s="12" t="s">
        <v>31</v>
      </c>
      <c r="H325" s="5"/>
      <c r="I325" s="11">
        <v>584</v>
      </c>
      <c r="J325" s="11">
        <v>758</v>
      </c>
      <c r="K325" s="11">
        <v>1249</v>
      </c>
      <c r="L325" s="11">
        <v>896</v>
      </c>
      <c r="M325" s="11">
        <v>1000</v>
      </c>
      <c r="N325" s="11">
        <v>1065</v>
      </c>
      <c r="O325" s="11">
        <v>1453</v>
      </c>
      <c r="P325" s="11"/>
      <c r="Q325" s="11">
        <v>1642</v>
      </c>
      <c r="R325" s="11">
        <v>1364</v>
      </c>
      <c r="S325" s="11">
        <v>1155</v>
      </c>
      <c r="T325" s="11">
        <v>1793</v>
      </c>
      <c r="U325" s="11">
        <v>2478</v>
      </c>
      <c r="V325" s="11">
        <v>1547</v>
      </c>
      <c r="W325" s="11">
        <v>2723</v>
      </c>
      <c r="X325" s="11"/>
      <c r="Y325" s="11">
        <v>0</v>
      </c>
      <c r="Z325" s="11">
        <v>1248</v>
      </c>
      <c r="AA325" s="11">
        <v>1399</v>
      </c>
      <c r="AB325" s="11">
        <v>1666</v>
      </c>
      <c r="AC325" s="17">
        <f t="shared" si="55"/>
        <v>0.14722857648641102</v>
      </c>
      <c r="AD325" s="11">
        <f t="shared" si="56"/>
        <v>1000.7142857142857</v>
      </c>
      <c r="AE325" s="11">
        <f t="shared" si="57"/>
        <v>1814.5714285714287</v>
      </c>
      <c r="AF325" s="28">
        <f t="shared" ref="AF325:AF388" si="64">AE325/AD325</f>
        <v>1.8132762312633834</v>
      </c>
      <c r="AG325" s="42">
        <f t="shared" si="58"/>
        <v>9.054701177789946E-3</v>
      </c>
      <c r="AH325" s="14" t="str">
        <f t="shared" si="59"/>
        <v>**</v>
      </c>
      <c r="AI325" s="11">
        <f t="shared" si="60"/>
        <v>70</v>
      </c>
      <c r="AJ325" s="11">
        <f t="shared" si="61"/>
        <v>70</v>
      </c>
      <c r="AK325" s="11">
        <f t="shared" si="62"/>
        <v>5.0059562225781555E-2</v>
      </c>
      <c r="AL325" s="42">
        <f t="shared" si="63"/>
        <v>4.9278317397495858E-2</v>
      </c>
      <c r="AM325" s="14" t="str">
        <f t="shared" ref="AM325:AM388" si="65">IF(AL325&lt;0.05,"**",IF(AL325&lt;0.1,"*",""))</f>
        <v>**</v>
      </c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</row>
    <row r="326" spans="1:56" ht="27" customHeight="1" x14ac:dyDescent="0.2">
      <c r="A326" s="9" t="s">
        <v>356</v>
      </c>
      <c r="B326" s="11">
        <v>1439</v>
      </c>
      <c r="C326" s="2">
        <v>1569.9980514994199</v>
      </c>
      <c r="D326" s="2">
        <v>12.262233333333199</v>
      </c>
      <c r="E326" s="2">
        <v>-1</v>
      </c>
      <c r="F326" s="12" t="s">
        <v>579</v>
      </c>
      <c r="G326" s="12" t="s">
        <v>31</v>
      </c>
      <c r="H326" s="5"/>
      <c r="I326" s="11">
        <v>1142</v>
      </c>
      <c r="J326" s="11">
        <v>1234</v>
      </c>
      <c r="K326" s="11">
        <v>1261</v>
      </c>
      <c r="L326" s="11">
        <v>1480</v>
      </c>
      <c r="M326" s="11">
        <v>963</v>
      </c>
      <c r="N326" s="11">
        <v>1504</v>
      </c>
      <c r="O326" s="11">
        <v>2230</v>
      </c>
      <c r="P326" s="11"/>
      <c r="Q326" s="11">
        <v>1164</v>
      </c>
      <c r="R326" s="11">
        <v>1550</v>
      </c>
      <c r="S326" s="11">
        <v>1453</v>
      </c>
      <c r="T326" s="11">
        <v>1162</v>
      </c>
      <c r="U326" s="11">
        <v>1429</v>
      </c>
      <c r="V326" s="11">
        <v>1656</v>
      </c>
      <c r="W326" s="11">
        <v>1968</v>
      </c>
      <c r="X326" s="11"/>
      <c r="Y326" s="11">
        <v>0</v>
      </c>
      <c r="Z326" s="11">
        <v>1328</v>
      </c>
      <c r="AA326" s="11">
        <v>1504</v>
      </c>
      <c r="AB326" s="11">
        <v>1709</v>
      </c>
      <c r="AC326" s="17">
        <f t="shared" si="55"/>
        <v>0.12597480094731739</v>
      </c>
      <c r="AD326" s="11">
        <f t="shared" si="56"/>
        <v>1402</v>
      </c>
      <c r="AE326" s="11">
        <f t="shared" si="57"/>
        <v>1483.1428571428571</v>
      </c>
      <c r="AF326" s="28">
        <f t="shared" si="64"/>
        <v>1.0578765029549624</v>
      </c>
      <c r="AG326" s="42">
        <f t="shared" si="58"/>
        <v>0.67508002365840336</v>
      </c>
      <c r="AH326" s="14" t="str">
        <f t="shared" si="59"/>
        <v>-</v>
      </c>
      <c r="AI326" s="11">
        <f t="shared" si="60"/>
        <v>345</v>
      </c>
      <c r="AJ326" s="11">
        <f t="shared" si="61"/>
        <v>345</v>
      </c>
      <c r="AK326" s="11">
        <f t="shared" si="62"/>
        <v>0.75726367871246991</v>
      </c>
      <c r="AL326" s="42">
        <f t="shared" si="63"/>
        <v>0.75726367871246991</v>
      </c>
      <c r="AM326" s="14" t="str">
        <f t="shared" si="65"/>
        <v/>
      </c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</row>
    <row r="327" spans="1:56" ht="27" customHeight="1" x14ac:dyDescent="0.2">
      <c r="A327" s="9" t="s">
        <v>356</v>
      </c>
      <c r="B327" s="11">
        <v>1564</v>
      </c>
      <c r="C327" s="2">
        <v>1430.0108633366799</v>
      </c>
      <c r="D327" s="2">
        <v>14.200495833333299</v>
      </c>
      <c r="E327" s="2">
        <v>-1</v>
      </c>
      <c r="F327" s="12" t="s">
        <v>582</v>
      </c>
      <c r="G327" s="12" t="s">
        <v>31</v>
      </c>
      <c r="H327" s="5"/>
      <c r="I327" s="11">
        <v>349</v>
      </c>
      <c r="J327" s="11">
        <v>372</v>
      </c>
      <c r="K327" s="11">
        <v>396</v>
      </c>
      <c r="L327" s="11">
        <v>385</v>
      </c>
      <c r="M327" s="11">
        <v>582</v>
      </c>
      <c r="N327" s="11">
        <v>594</v>
      </c>
      <c r="O327" s="11">
        <v>508</v>
      </c>
      <c r="P327" s="11"/>
      <c r="Q327" s="11">
        <v>997</v>
      </c>
      <c r="R327" s="11">
        <v>1105</v>
      </c>
      <c r="S327" s="11">
        <v>474</v>
      </c>
      <c r="T327" s="11">
        <v>1315</v>
      </c>
      <c r="U327" s="11">
        <v>1536</v>
      </c>
      <c r="V327" s="11">
        <v>1464</v>
      </c>
      <c r="W327" s="11">
        <v>2040</v>
      </c>
      <c r="X327" s="11"/>
      <c r="Y327" s="11">
        <v>0</v>
      </c>
      <c r="Z327" s="11">
        <v>777</v>
      </c>
      <c r="AA327" s="11">
        <v>941</v>
      </c>
      <c r="AB327" s="11">
        <v>868</v>
      </c>
      <c r="AC327" s="17">
        <f t="shared" si="55"/>
        <v>9.5318409752419814E-2</v>
      </c>
      <c r="AD327" s="11">
        <f t="shared" si="56"/>
        <v>455.14285714285717</v>
      </c>
      <c r="AE327" s="11">
        <f t="shared" si="57"/>
        <v>1275.8571428571429</v>
      </c>
      <c r="AF327" s="28">
        <f t="shared" si="64"/>
        <v>2.8032015065913369</v>
      </c>
      <c r="AG327" s="42">
        <f t="shared" si="58"/>
        <v>3.9943939856015315E-3</v>
      </c>
      <c r="AH327" s="14" t="str">
        <f t="shared" si="59"/>
        <v>**</v>
      </c>
      <c r="AI327" s="11">
        <f t="shared" si="60"/>
        <v>46</v>
      </c>
      <c r="AJ327" s="11">
        <f t="shared" si="61"/>
        <v>46</v>
      </c>
      <c r="AK327" s="11">
        <f t="shared" si="62"/>
        <v>3.3605010270169405E-2</v>
      </c>
      <c r="AL327" s="42">
        <f t="shared" si="63"/>
        <v>3.3605010270169405E-2</v>
      </c>
      <c r="AM327" s="14" t="str">
        <f t="shared" si="65"/>
        <v>**</v>
      </c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</row>
    <row r="328" spans="1:56" ht="27" customHeight="1" x14ac:dyDescent="0.2">
      <c r="A328" s="9" t="s">
        <v>356</v>
      </c>
      <c r="B328" s="11">
        <v>1588</v>
      </c>
      <c r="C328" s="2">
        <v>1506.0436927524199</v>
      </c>
      <c r="D328" s="2">
        <v>14.1765142857145</v>
      </c>
      <c r="E328" s="2">
        <v>-1</v>
      </c>
      <c r="F328" s="12" t="s">
        <v>583</v>
      </c>
      <c r="G328" s="12" t="s">
        <v>31</v>
      </c>
      <c r="H328" s="5"/>
      <c r="I328" s="11">
        <v>883</v>
      </c>
      <c r="J328" s="11">
        <v>793</v>
      </c>
      <c r="K328" s="11">
        <v>1560</v>
      </c>
      <c r="L328" s="11">
        <v>1474</v>
      </c>
      <c r="M328" s="11">
        <v>2000</v>
      </c>
      <c r="N328" s="11">
        <v>1373</v>
      </c>
      <c r="O328" s="11">
        <v>1591</v>
      </c>
      <c r="P328" s="11"/>
      <c r="Q328" s="11">
        <v>868</v>
      </c>
      <c r="R328" s="11">
        <v>1034</v>
      </c>
      <c r="S328" s="11">
        <v>701</v>
      </c>
      <c r="T328" s="11">
        <v>1109</v>
      </c>
      <c r="U328" s="11">
        <v>1507</v>
      </c>
      <c r="V328" s="11">
        <v>1070</v>
      </c>
      <c r="W328" s="11">
        <v>1246</v>
      </c>
      <c r="X328" s="11"/>
      <c r="Y328" s="11">
        <v>0</v>
      </c>
      <c r="Z328" s="11">
        <v>1124</v>
      </c>
      <c r="AA328" s="11">
        <v>1294</v>
      </c>
      <c r="AB328" s="11">
        <v>1280</v>
      </c>
      <c r="AC328" s="17">
        <f t="shared" si="55"/>
        <v>7.655603599021342E-2</v>
      </c>
      <c r="AD328" s="11">
        <f t="shared" si="56"/>
        <v>1382</v>
      </c>
      <c r="AE328" s="11">
        <f t="shared" si="57"/>
        <v>1076.4285714285713</v>
      </c>
      <c r="AF328" s="28">
        <f t="shared" si="64"/>
        <v>0.77889187512921221</v>
      </c>
      <c r="AG328" s="42">
        <f t="shared" si="58"/>
        <v>0.13273540455180133</v>
      </c>
      <c r="AH328" s="14" t="str">
        <f t="shared" si="59"/>
        <v>-</v>
      </c>
      <c r="AI328" s="11">
        <f t="shared" si="60"/>
        <v>220</v>
      </c>
      <c r="AJ328" s="11">
        <f t="shared" si="61"/>
        <v>220</v>
      </c>
      <c r="AK328" s="11">
        <f t="shared" si="62"/>
        <v>0.2334936434615778</v>
      </c>
      <c r="AL328" s="42">
        <f t="shared" si="63"/>
        <v>0.2334936434615778</v>
      </c>
      <c r="AM328" s="14" t="str">
        <f t="shared" si="65"/>
        <v/>
      </c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</row>
    <row r="329" spans="1:56" ht="27" customHeight="1" x14ac:dyDescent="0.2">
      <c r="A329" s="9" t="s">
        <v>356</v>
      </c>
      <c r="B329" s="11">
        <v>1689</v>
      </c>
      <c r="C329" s="2">
        <v>1517.95073259521</v>
      </c>
      <c r="D329" s="2">
        <v>11.820670833333301</v>
      </c>
      <c r="E329" s="2">
        <v>-1</v>
      </c>
      <c r="F329" s="12" t="s">
        <v>304</v>
      </c>
      <c r="G329" s="12" t="s">
        <v>31</v>
      </c>
      <c r="H329" s="5"/>
      <c r="I329" s="11">
        <v>203</v>
      </c>
      <c r="J329" s="11">
        <v>565</v>
      </c>
      <c r="K329" s="11">
        <v>736</v>
      </c>
      <c r="L329" s="11">
        <v>543</v>
      </c>
      <c r="M329" s="11">
        <v>637</v>
      </c>
      <c r="N329" s="11">
        <v>685</v>
      </c>
      <c r="O329" s="11">
        <v>1207</v>
      </c>
      <c r="P329" s="11"/>
      <c r="Q329" s="11">
        <v>795</v>
      </c>
      <c r="R329" s="11">
        <v>658</v>
      </c>
      <c r="S329" s="11">
        <v>988</v>
      </c>
      <c r="T329" s="11">
        <v>902</v>
      </c>
      <c r="U329" s="11">
        <v>1004</v>
      </c>
      <c r="V329" s="11">
        <v>1117</v>
      </c>
      <c r="W329" s="11">
        <v>1852</v>
      </c>
      <c r="X329" s="11"/>
      <c r="Y329" s="11">
        <v>0</v>
      </c>
      <c r="Z329" s="11">
        <v>683</v>
      </c>
      <c r="AA329" s="11">
        <v>863</v>
      </c>
      <c r="AB329" s="11">
        <v>1007</v>
      </c>
      <c r="AC329" s="17">
        <f t="shared" si="55"/>
        <v>0.19075557121224937</v>
      </c>
      <c r="AD329" s="11">
        <f t="shared" si="56"/>
        <v>653.71428571428567</v>
      </c>
      <c r="AE329" s="11">
        <f t="shared" si="57"/>
        <v>1045.1428571428571</v>
      </c>
      <c r="AF329" s="28">
        <f t="shared" si="64"/>
        <v>1.5987762237762237</v>
      </c>
      <c r="AG329" s="42">
        <f t="shared" si="58"/>
        <v>5.6901835143247287E-2</v>
      </c>
      <c r="AH329" s="14" t="str">
        <f t="shared" si="59"/>
        <v>-</v>
      </c>
      <c r="AI329" s="11">
        <f t="shared" si="60"/>
        <v>166</v>
      </c>
      <c r="AJ329" s="11">
        <f t="shared" si="61"/>
        <v>166</v>
      </c>
      <c r="AK329" s="11">
        <f t="shared" si="62"/>
        <v>0.13265668795443794</v>
      </c>
      <c r="AL329" s="42">
        <f t="shared" si="63"/>
        <v>0.13265668795443794</v>
      </c>
      <c r="AM329" s="14" t="str">
        <f t="shared" si="65"/>
        <v/>
      </c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</row>
    <row r="330" spans="1:56" ht="27" customHeight="1" x14ac:dyDescent="0.2">
      <c r="A330" s="9" t="s">
        <v>356</v>
      </c>
      <c r="B330" s="11">
        <v>1701</v>
      </c>
      <c r="C330" s="2">
        <v>1463.99922245069</v>
      </c>
      <c r="D330" s="2">
        <v>13.1197244444443</v>
      </c>
      <c r="E330" s="2">
        <v>-1</v>
      </c>
      <c r="F330" s="12" t="s">
        <v>584</v>
      </c>
      <c r="G330" s="12" t="s">
        <v>31</v>
      </c>
      <c r="H330" s="5"/>
      <c r="I330" s="11">
        <v>464</v>
      </c>
      <c r="J330" s="11">
        <v>471</v>
      </c>
      <c r="K330" s="11">
        <v>863</v>
      </c>
      <c r="L330" s="11">
        <v>733</v>
      </c>
      <c r="M330" s="11">
        <v>974</v>
      </c>
      <c r="N330" s="11">
        <v>832</v>
      </c>
      <c r="O330" s="11">
        <v>898</v>
      </c>
      <c r="P330" s="11"/>
      <c r="Q330" s="11">
        <v>934</v>
      </c>
      <c r="R330" s="11">
        <v>1188</v>
      </c>
      <c r="S330" s="11">
        <v>829</v>
      </c>
      <c r="T330" s="11">
        <v>1386</v>
      </c>
      <c r="U330" s="11">
        <v>1329</v>
      </c>
      <c r="V330" s="11">
        <v>1208</v>
      </c>
      <c r="W330" s="11">
        <v>1831</v>
      </c>
      <c r="X330" s="11"/>
      <c r="Y330" s="11">
        <v>0</v>
      </c>
      <c r="Z330" s="11">
        <v>827</v>
      </c>
      <c r="AA330" s="11">
        <v>1106</v>
      </c>
      <c r="AB330" s="11">
        <v>1177</v>
      </c>
      <c r="AC330" s="17">
        <f t="shared" si="55"/>
        <v>0.17847049567804144</v>
      </c>
      <c r="AD330" s="11">
        <f t="shared" si="56"/>
        <v>747.85714285714289</v>
      </c>
      <c r="AE330" s="11">
        <f t="shared" si="57"/>
        <v>1243.5714285714287</v>
      </c>
      <c r="AF330" s="28">
        <f t="shared" si="64"/>
        <v>1.6628462273161415</v>
      </c>
      <c r="AG330" s="42">
        <f t="shared" si="58"/>
        <v>6.7848597596846701E-3</v>
      </c>
      <c r="AH330" s="14" t="str">
        <f t="shared" si="59"/>
        <v>**</v>
      </c>
      <c r="AI330" s="11">
        <f t="shared" si="60"/>
        <v>61</v>
      </c>
      <c r="AJ330" s="11">
        <f t="shared" si="61"/>
        <v>61</v>
      </c>
      <c r="AK330" s="11">
        <f t="shared" si="62"/>
        <v>4.3044929950786348E-2</v>
      </c>
      <c r="AL330" s="42">
        <f t="shared" si="63"/>
        <v>4.3044929950786348E-2</v>
      </c>
      <c r="AM330" s="14" t="str">
        <f t="shared" si="65"/>
        <v>**</v>
      </c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</row>
    <row r="331" spans="1:56" ht="27" customHeight="1" x14ac:dyDescent="0.2">
      <c r="A331" s="9" t="s">
        <v>356</v>
      </c>
      <c r="B331" s="11">
        <v>1949</v>
      </c>
      <c r="C331" s="2">
        <v>1435.9623904802399</v>
      </c>
      <c r="D331" s="2">
        <v>12.437898717948601</v>
      </c>
      <c r="E331" s="2">
        <v>-1</v>
      </c>
      <c r="F331" s="12" t="s">
        <v>306</v>
      </c>
      <c r="G331" s="12" t="s">
        <v>31</v>
      </c>
      <c r="H331" s="5"/>
      <c r="I331" s="11">
        <v>788</v>
      </c>
      <c r="J331" s="11">
        <v>825</v>
      </c>
      <c r="K331" s="11">
        <v>1563</v>
      </c>
      <c r="L331" s="11">
        <v>1108</v>
      </c>
      <c r="M331" s="11">
        <v>1336</v>
      </c>
      <c r="N331" s="11">
        <v>1379</v>
      </c>
      <c r="O331" s="11">
        <v>1904</v>
      </c>
      <c r="P331" s="11"/>
      <c r="Q331" s="11">
        <v>904</v>
      </c>
      <c r="R331" s="11">
        <v>1172</v>
      </c>
      <c r="S331" s="11">
        <v>541</v>
      </c>
      <c r="T331" s="11">
        <v>1562</v>
      </c>
      <c r="U331" s="11">
        <v>1212</v>
      </c>
      <c r="V331" s="11">
        <v>1510</v>
      </c>
      <c r="W331" s="11">
        <v>1239</v>
      </c>
      <c r="X331" s="11"/>
      <c r="Y331" s="11">
        <v>0</v>
      </c>
      <c r="Z331" s="11">
        <v>1094</v>
      </c>
      <c r="AA331" s="11">
        <v>1352</v>
      </c>
      <c r="AB331" s="11">
        <v>1580</v>
      </c>
      <c r="AC331" s="17">
        <f t="shared" si="55"/>
        <v>0.18118798212873244</v>
      </c>
      <c r="AD331" s="11">
        <f t="shared" si="56"/>
        <v>1271.8571428571429</v>
      </c>
      <c r="AE331" s="11">
        <f t="shared" si="57"/>
        <v>1162.8571428571429</v>
      </c>
      <c r="AF331" s="28">
        <f t="shared" si="64"/>
        <v>0.91429855105020785</v>
      </c>
      <c r="AG331" s="42">
        <f t="shared" si="58"/>
        <v>0.59830391245072168</v>
      </c>
      <c r="AH331" s="14" t="str">
        <f t="shared" si="59"/>
        <v>-</v>
      </c>
      <c r="AI331" s="11">
        <f t="shared" si="60"/>
        <v>335</v>
      </c>
      <c r="AJ331" s="11">
        <f t="shared" si="61"/>
        <v>335</v>
      </c>
      <c r="AK331" s="11">
        <f t="shared" si="62"/>
        <v>0.69117496751769936</v>
      </c>
      <c r="AL331" s="42">
        <f t="shared" si="63"/>
        <v>0.69117496751769936</v>
      </c>
      <c r="AM331" s="14" t="str">
        <f t="shared" si="65"/>
        <v/>
      </c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</row>
    <row r="332" spans="1:56" ht="27" customHeight="1" x14ac:dyDescent="0.2">
      <c r="A332" s="9" t="s">
        <v>356</v>
      </c>
      <c r="B332" s="11">
        <v>2866</v>
      </c>
      <c r="C332" s="2">
        <v>1437.9785203968599</v>
      </c>
      <c r="D332" s="2">
        <v>12.924007142857199</v>
      </c>
      <c r="E332" s="2">
        <v>-1</v>
      </c>
      <c r="F332" s="12" t="s">
        <v>594</v>
      </c>
      <c r="G332" s="12" t="s">
        <v>31</v>
      </c>
      <c r="H332" s="5"/>
      <c r="I332" s="11">
        <v>269</v>
      </c>
      <c r="J332" s="11">
        <v>276</v>
      </c>
      <c r="K332" s="11">
        <v>929</v>
      </c>
      <c r="L332" s="11">
        <v>540</v>
      </c>
      <c r="M332" s="11">
        <v>582</v>
      </c>
      <c r="N332" s="11">
        <v>409</v>
      </c>
      <c r="O332" s="11">
        <v>601</v>
      </c>
      <c r="P332" s="11"/>
      <c r="Q332" s="11">
        <v>649</v>
      </c>
      <c r="R332" s="11">
        <v>935</v>
      </c>
      <c r="S332" s="11">
        <v>363</v>
      </c>
      <c r="T332" s="11">
        <v>808</v>
      </c>
      <c r="U332" s="11">
        <v>924</v>
      </c>
      <c r="V332" s="11">
        <v>754</v>
      </c>
      <c r="W332" s="11">
        <v>1039</v>
      </c>
      <c r="X332" s="11"/>
      <c r="Y332" s="11">
        <v>0</v>
      </c>
      <c r="Z332" s="11">
        <v>653</v>
      </c>
      <c r="AA332" s="11">
        <v>695</v>
      </c>
      <c r="AB332" s="11">
        <v>842</v>
      </c>
      <c r="AC332" s="17">
        <f t="shared" si="55"/>
        <v>0.13594812075521204</v>
      </c>
      <c r="AD332" s="11">
        <f t="shared" si="56"/>
        <v>515.14285714285711</v>
      </c>
      <c r="AE332" s="11">
        <f t="shared" si="57"/>
        <v>781.71428571428567</v>
      </c>
      <c r="AF332" s="28">
        <f t="shared" si="64"/>
        <v>1.5174708818635607</v>
      </c>
      <c r="AG332" s="42">
        <f t="shared" si="58"/>
        <v>4.8213411145717401E-2</v>
      </c>
      <c r="AH332" s="14" t="str">
        <f t="shared" si="59"/>
        <v>*</v>
      </c>
      <c r="AI332" s="11">
        <f t="shared" si="60"/>
        <v>158</v>
      </c>
      <c r="AJ332" s="11">
        <f t="shared" si="61"/>
        <v>158</v>
      </c>
      <c r="AK332" s="11">
        <f t="shared" si="62"/>
        <v>0.11809234248982679</v>
      </c>
      <c r="AL332" s="42">
        <f t="shared" si="63"/>
        <v>0.11777822484150421</v>
      </c>
      <c r="AM332" s="14" t="str">
        <f t="shared" si="65"/>
        <v/>
      </c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</row>
    <row r="333" spans="1:56" ht="27" customHeight="1" x14ac:dyDescent="0.2">
      <c r="A333" s="9" t="s">
        <v>356</v>
      </c>
      <c r="B333" s="11">
        <v>3205</v>
      </c>
      <c r="C333" s="2">
        <v>1508.0511551812499</v>
      </c>
      <c r="D333" s="2">
        <v>14.5718717948718</v>
      </c>
      <c r="E333" s="2">
        <v>-1</v>
      </c>
      <c r="F333" s="12" t="s">
        <v>596</v>
      </c>
      <c r="G333" s="12" t="s">
        <v>31</v>
      </c>
      <c r="H333" s="5"/>
      <c r="I333" s="11">
        <v>451</v>
      </c>
      <c r="J333" s="11">
        <v>506</v>
      </c>
      <c r="K333" s="11">
        <v>444</v>
      </c>
      <c r="L333" s="11">
        <v>640</v>
      </c>
      <c r="M333" s="11">
        <v>931</v>
      </c>
      <c r="N333" s="11">
        <v>596</v>
      </c>
      <c r="O333" s="11">
        <v>893</v>
      </c>
      <c r="P333" s="11"/>
      <c r="Q333" s="11">
        <v>430</v>
      </c>
      <c r="R333" s="11">
        <v>416</v>
      </c>
      <c r="S333" s="11">
        <v>222</v>
      </c>
      <c r="T333" s="11">
        <v>607</v>
      </c>
      <c r="U333" s="11">
        <v>877</v>
      </c>
      <c r="V333" s="11">
        <v>435</v>
      </c>
      <c r="W333" s="11">
        <v>794</v>
      </c>
      <c r="X333" s="11"/>
      <c r="Y333" s="11">
        <v>0</v>
      </c>
      <c r="Z333" s="11">
        <v>492</v>
      </c>
      <c r="AA333" s="11">
        <v>715</v>
      </c>
      <c r="AB333" s="11">
        <v>624</v>
      </c>
      <c r="AC333" s="17">
        <f t="shared" si="55"/>
        <v>0.18371340811133555</v>
      </c>
      <c r="AD333" s="11">
        <f t="shared" si="56"/>
        <v>637.28571428571433</v>
      </c>
      <c r="AE333" s="11">
        <f t="shared" si="57"/>
        <v>540.14285714285711</v>
      </c>
      <c r="AF333" s="28">
        <f t="shared" si="64"/>
        <v>0.84756780990809222</v>
      </c>
      <c r="AG333" s="42">
        <f t="shared" si="58"/>
        <v>0.41891653608023849</v>
      </c>
      <c r="AH333" s="14" t="str">
        <f t="shared" si="59"/>
        <v>-</v>
      </c>
      <c r="AI333" s="11">
        <f t="shared" si="60"/>
        <v>301</v>
      </c>
      <c r="AJ333" s="11">
        <f t="shared" si="61"/>
        <v>301</v>
      </c>
      <c r="AK333" s="11">
        <f t="shared" si="62"/>
        <v>0.53860697496030663</v>
      </c>
      <c r="AL333" s="42">
        <f t="shared" si="63"/>
        <v>0.53860697496030663</v>
      </c>
      <c r="AM333" s="14" t="str">
        <f t="shared" si="65"/>
        <v/>
      </c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</row>
    <row r="334" spans="1:56" ht="27" customHeight="1" x14ac:dyDescent="0.2">
      <c r="A334" s="9" t="s">
        <v>356</v>
      </c>
      <c r="B334" s="11">
        <v>3541</v>
      </c>
      <c r="C334" s="2">
        <v>1399.96421232649</v>
      </c>
      <c r="D334" s="2">
        <v>13.0763916666666</v>
      </c>
      <c r="E334" s="2">
        <v>-1</v>
      </c>
      <c r="F334" s="12" t="s">
        <v>342</v>
      </c>
      <c r="G334" s="12" t="s">
        <v>31</v>
      </c>
      <c r="H334" s="5"/>
      <c r="I334" s="11">
        <v>461</v>
      </c>
      <c r="J334" s="11">
        <v>446</v>
      </c>
      <c r="K334" s="11">
        <v>722</v>
      </c>
      <c r="L334" s="11">
        <v>384</v>
      </c>
      <c r="M334" s="11">
        <v>460</v>
      </c>
      <c r="N334" s="11">
        <v>534</v>
      </c>
      <c r="O334" s="11">
        <v>855</v>
      </c>
      <c r="P334" s="11"/>
      <c r="Q334" s="11">
        <v>681</v>
      </c>
      <c r="R334" s="11">
        <v>319</v>
      </c>
      <c r="S334" s="11">
        <v>183</v>
      </c>
      <c r="T334" s="11">
        <v>509</v>
      </c>
      <c r="U334" s="11">
        <v>466</v>
      </c>
      <c r="V334" s="11">
        <v>712</v>
      </c>
      <c r="W334" s="11">
        <v>1290</v>
      </c>
      <c r="X334" s="11"/>
      <c r="Y334" s="11">
        <v>0</v>
      </c>
      <c r="Z334" s="11">
        <v>665</v>
      </c>
      <c r="AA334" s="11">
        <v>797</v>
      </c>
      <c r="AB334" s="11">
        <v>665</v>
      </c>
      <c r="AC334" s="17">
        <f t="shared" si="55"/>
        <v>0.10748975392528998</v>
      </c>
      <c r="AD334" s="11">
        <f t="shared" si="56"/>
        <v>551.71428571428567</v>
      </c>
      <c r="AE334" s="11">
        <f t="shared" si="57"/>
        <v>594.28571428571433</v>
      </c>
      <c r="AF334" s="28">
        <f t="shared" si="64"/>
        <v>1.0771620921802176</v>
      </c>
      <c r="AG334" s="42">
        <f t="shared" si="58"/>
        <v>0.78395977784053195</v>
      </c>
      <c r="AH334" s="14" t="str">
        <f t="shared" si="59"/>
        <v>-</v>
      </c>
      <c r="AI334" s="11">
        <f t="shared" si="60"/>
        <v>363</v>
      </c>
      <c r="AJ334" s="11">
        <f t="shared" si="61"/>
        <v>363</v>
      </c>
      <c r="AK334" s="11">
        <f t="shared" si="62"/>
        <v>0.83579182926800522</v>
      </c>
      <c r="AL334" s="42">
        <f t="shared" si="63"/>
        <v>0.83579182926800522</v>
      </c>
      <c r="AM334" s="14" t="str">
        <f t="shared" si="65"/>
        <v/>
      </c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</row>
    <row r="335" spans="1:56" ht="27" customHeight="1" x14ac:dyDescent="0.2">
      <c r="A335" s="9" t="s">
        <v>356</v>
      </c>
      <c r="B335" s="11">
        <v>3960</v>
      </c>
      <c r="C335" s="2">
        <v>1399.9642829981201</v>
      </c>
      <c r="D335" s="2">
        <v>12.9202233333334</v>
      </c>
      <c r="E335" s="2">
        <v>-1</v>
      </c>
      <c r="F335" s="12" t="s">
        <v>597</v>
      </c>
      <c r="G335" s="12" t="s">
        <v>31</v>
      </c>
      <c r="H335" s="5"/>
      <c r="I335" s="11">
        <v>265</v>
      </c>
      <c r="J335" s="11">
        <v>305</v>
      </c>
      <c r="K335" s="11">
        <v>505</v>
      </c>
      <c r="L335" s="11">
        <v>479</v>
      </c>
      <c r="M335" s="11">
        <v>299</v>
      </c>
      <c r="N335" s="11">
        <v>525</v>
      </c>
      <c r="O335" s="11">
        <v>369</v>
      </c>
      <c r="P335" s="11"/>
      <c r="Q335" s="11">
        <v>518</v>
      </c>
      <c r="R335" s="11">
        <v>632</v>
      </c>
      <c r="S335" s="11">
        <v>395</v>
      </c>
      <c r="T335" s="11">
        <v>1020</v>
      </c>
      <c r="U335" s="11">
        <v>1033</v>
      </c>
      <c r="V335" s="11">
        <v>860</v>
      </c>
      <c r="W335" s="11">
        <v>1440</v>
      </c>
      <c r="X335" s="11"/>
      <c r="Y335" s="11">
        <v>0</v>
      </c>
      <c r="Z335" s="11">
        <v>519</v>
      </c>
      <c r="AA335" s="11">
        <v>774</v>
      </c>
      <c r="AB335" s="11">
        <v>861</v>
      </c>
      <c r="AC335" s="17">
        <f t="shared" si="55"/>
        <v>0.24755459361775881</v>
      </c>
      <c r="AD335" s="11">
        <f t="shared" si="56"/>
        <v>392.42857142857144</v>
      </c>
      <c r="AE335" s="11">
        <f t="shared" si="57"/>
        <v>842.57142857142856</v>
      </c>
      <c r="AF335" s="28">
        <f t="shared" si="64"/>
        <v>2.1470695303967964</v>
      </c>
      <c r="AG335" s="42">
        <f t="shared" si="58"/>
        <v>1.5406850074032117E-2</v>
      </c>
      <c r="AH335" s="14" t="str">
        <f t="shared" si="59"/>
        <v>*</v>
      </c>
      <c r="AI335" s="11">
        <f t="shared" si="60"/>
        <v>95</v>
      </c>
      <c r="AJ335" s="11">
        <f t="shared" si="61"/>
        <v>95</v>
      </c>
      <c r="AK335" s="11">
        <f t="shared" si="62"/>
        <v>6.2762641880530837E-2</v>
      </c>
      <c r="AL335" s="42">
        <f t="shared" si="63"/>
        <v>6.145585314357644E-2</v>
      </c>
      <c r="AM335" s="14" t="str">
        <f t="shared" si="65"/>
        <v>*</v>
      </c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</row>
    <row r="336" spans="1:56" ht="27" customHeight="1" x14ac:dyDescent="0.2">
      <c r="A336" s="9" t="s">
        <v>356</v>
      </c>
      <c r="B336" s="11">
        <v>2871</v>
      </c>
      <c r="C336" s="2">
        <v>378.23999974461299</v>
      </c>
      <c r="D336" s="2">
        <v>4.4821717948716904</v>
      </c>
      <c r="E336" s="2">
        <v>-2</v>
      </c>
      <c r="F336" s="12" t="s">
        <v>340</v>
      </c>
      <c r="G336" s="12" t="s">
        <v>341</v>
      </c>
      <c r="H336" s="5"/>
      <c r="I336" s="11">
        <v>284</v>
      </c>
      <c r="J336" s="11">
        <v>182</v>
      </c>
      <c r="K336" s="11">
        <v>411</v>
      </c>
      <c r="L336" s="11">
        <v>310</v>
      </c>
      <c r="M336" s="11">
        <v>516</v>
      </c>
      <c r="N336" s="11">
        <v>399</v>
      </c>
      <c r="O336" s="11">
        <v>344</v>
      </c>
      <c r="P336" s="11"/>
      <c r="Q336" s="11">
        <v>802</v>
      </c>
      <c r="R336" s="11">
        <v>856</v>
      </c>
      <c r="S336" s="11">
        <v>711</v>
      </c>
      <c r="T336" s="11">
        <v>822</v>
      </c>
      <c r="U336" s="11">
        <v>840</v>
      </c>
      <c r="V336" s="11">
        <v>1036</v>
      </c>
      <c r="W336" s="11">
        <v>953</v>
      </c>
      <c r="X336" s="11"/>
      <c r="Y336" s="11">
        <v>4</v>
      </c>
      <c r="Z336" s="11">
        <v>709</v>
      </c>
      <c r="AA336" s="11">
        <v>707</v>
      </c>
      <c r="AB336" s="11">
        <v>590</v>
      </c>
      <c r="AC336" s="17">
        <f t="shared" si="55"/>
        <v>0.10189631690045599</v>
      </c>
      <c r="AD336" s="11">
        <f t="shared" si="56"/>
        <v>349.42857142857144</v>
      </c>
      <c r="AE336" s="11">
        <f t="shared" si="57"/>
        <v>860</v>
      </c>
      <c r="AF336" s="28">
        <f t="shared" si="64"/>
        <v>2.4611610793131642</v>
      </c>
      <c r="AG336" s="42">
        <f t="shared" si="58"/>
        <v>1.0946378126888828E-6</v>
      </c>
      <c r="AH336" s="14" t="str">
        <f t="shared" si="59"/>
        <v>***</v>
      </c>
      <c r="AI336" s="11">
        <f t="shared" si="60"/>
        <v>1</v>
      </c>
      <c r="AJ336" s="11">
        <f t="shared" si="61"/>
        <v>1</v>
      </c>
      <c r="AK336" s="11">
        <f t="shared" si="62"/>
        <v>4.2362483351059767E-4</v>
      </c>
      <c r="AL336" s="42">
        <f t="shared" si="63"/>
        <v>4.2362483351059767E-4</v>
      </c>
      <c r="AM336" s="14" t="str">
        <f t="shared" si="65"/>
        <v>**</v>
      </c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</row>
    <row r="337" spans="1:56" ht="27" customHeight="1" x14ac:dyDescent="0.2">
      <c r="A337" s="9" t="s">
        <v>356</v>
      </c>
      <c r="B337" s="11">
        <v>1724</v>
      </c>
      <c r="C337" s="2">
        <v>931.99798360685497</v>
      </c>
      <c r="D337" s="2">
        <v>7.0650833333332201</v>
      </c>
      <c r="E337" s="2">
        <v>-2</v>
      </c>
      <c r="F337" s="12" t="s">
        <v>222</v>
      </c>
      <c r="G337" s="12" t="s">
        <v>223</v>
      </c>
      <c r="H337" s="5"/>
      <c r="I337" s="11">
        <v>820</v>
      </c>
      <c r="J337" s="11">
        <v>1052</v>
      </c>
      <c r="K337" s="11">
        <v>1612</v>
      </c>
      <c r="L337" s="11">
        <v>718</v>
      </c>
      <c r="M337" s="11">
        <v>508</v>
      </c>
      <c r="N337" s="11">
        <v>1067</v>
      </c>
      <c r="O337" s="11">
        <v>1067</v>
      </c>
      <c r="P337" s="11"/>
      <c r="Q337" s="11">
        <v>764</v>
      </c>
      <c r="R337" s="11">
        <v>458</v>
      </c>
      <c r="S337" s="11">
        <v>1350</v>
      </c>
      <c r="T337" s="11">
        <v>1808</v>
      </c>
      <c r="U337" s="11">
        <v>492</v>
      </c>
      <c r="V337" s="11">
        <v>664</v>
      </c>
      <c r="W337" s="11">
        <v>828</v>
      </c>
      <c r="X337" s="11"/>
      <c r="Y337" s="11">
        <v>88</v>
      </c>
      <c r="Z337" s="11">
        <v>755</v>
      </c>
      <c r="AA337" s="11">
        <v>1036</v>
      </c>
      <c r="AB337" s="11">
        <v>1026</v>
      </c>
      <c r="AC337" s="17">
        <f t="shared" si="55"/>
        <v>0.16978391834671033</v>
      </c>
      <c r="AD337" s="11">
        <f t="shared" si="56"/>
        <v>977.71428571428567</v>
      </c>
      <c r="AE337" s="11">
        <f t="shared" si="57"/>
        <v>909.14285714285711</v>
      </c>
      <c r="AF337" s="28">
        <f t="shared" si="64"/>
        <v>0.92986557568673289</v>
      </c>
      <c r="AG337" s="42">
        <f t="shared" si="58"/>
        <v>0.77037399133022932</v>
      </c>
      <c r="AH337" s="14" t="str">
        <f t="shared" si="59"/>
        <v>-</v>
      </c>
      <c r="AI337" s="11">
        <f t="shared" si="60"/>
        <v>362</v>
      </c>
      <c r="AJ337" s="11">
        <f t="shared" si="61"/>
        <v>362</v>
      </c>
      <c r="AK337" s="11">
        <f t="shared" si="62"/>
        <v>0.82357661504088053</v>
      </c>
      <c r="AL337" s="42">
        <f t="shared" si="63"/>
        <v>0.82357661504088053</v>
      </c>
      <c r="AM337" s="14" t="str">
        <f t="shared" si="65"/>
        <v/>
      </c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</row>
    <row r="338" spans="1:56" ht="27" customHeight="1" x14ac:dyDescent="0.2">
      <c r="A338" s="9" t="s">
        <v>356</v>
      </c>
      <c r="B338" s="11">
        <v>3973</v>
      </c>
      <c r="C338" s="2">
        <v>903.96512021960098</v>
      </c>
      <c r="D338" s="2">
        <v>6.3997166666666301</v>
      </c>
      <c r="E338" s="2">
        <v>-2</v>
      </c>
      <c r="F338" s="12" t="s">
        <v>338</v>
      </c>
      <c r="G338" s="12" t="s">
        <v>223</v>
      </c>
      <c r="H338" s="5"/>
      <c r="I338" s="11">
        <v>114</v>
      </c>
      <c r="J338" s="11">
        <v>172</v>
      </c>
      <c r="K338" s="11">
        <v>208</v>
      </c>
      <c r="L338" s="11">
        <v>127</v>
      </c>
      <c r="M338" s="11">
        <v>195</v>
      </c>
      <c r="N338" s="11">
        <v>260</v>
      </c>
      <c r="O338" s="11">
        <v>125</v>
      </c>
      <c r="P338" s="11"/>
      <c r="Q338" s="11">
        <v>234</v>
      </c>
      <c r="R338" s="11">
        <v>338</v>
      </c>
      <c r="S338" s="11">
        <v>367</v>
      </c>
      <c r="T338" s="11">
        <v>772</v>
      </c>
      <c r="U338" s="11">
        <v>484</v>
      </c>
      <c r="V338" s="11">
        <v>650</v>
      </c>
      <c r="W338" s="11">
        <v>435</v>
      </c>
      <c r="X338" s="11"/>
      <c r="Y338" s="11">
        <v>14</v>
      </c>
      <c r="Z338" s="11">
        <v>406</v>
      </c>
      <c r="AA338" s="11">
        <v>309</v>
      </c>
      <c r="AB338" s="11">
        <v>408</v>
      </c>
      <c r="AC338" s="17">
        <f t="shared" si="55"/>
        <v>0.1511731861562905</v>
      </c>
      <c r="AD338" s="11">
        <f t="shared" si="56"/>
        <v>171.57142857142858</v>
      </c>
      <c r="AE338" s="11">
        <f t="shared" si="57"/>
        <v>468.57142857142856</v>
      </c>
      <c r="AF338" s="28">
        <f t="shared" si="64"/>
        <v>2.7310574521232303</v>
      </c>
      <c r="AG338" s="42">
        <f t="shared" si="58"/>
        <v>4.9019541018059578E-3</v>
      </c>
      <c r="AH338" s="14" t="str">
        <f t="shared" si="59"/>
        <v>**</v>
      </c>
      <c r="AI338" s="11">
        <f t="shared" si="60"/>
        <v>54</v>
      </c>
      <c r="AJ338" s="11">
        <f t="shared" si="61"/>
        <v>54</v>
      </c>
      <c r="AK338" s="11">
        <f t="shared" si="62"/>
        <v>3.5130671062942702E-2</v>
      </c>
      <c r="AL338" s="42">
        <f t="shared" si="63"/>
        <v>3.5130671062942702E-2</v>
      </c>
      <c r="AM338" s="14" t="str">
        <f t="shared" si="65"/>
        <v>**</v>
      </c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</row>
    <row r="339" spans="1:56" ht="27" customHeight="1" x14ac:dyDescent="0.2">
      <c r="A339" s="9" t="s">
        <v>356</v>
      </c>
      <c r="B339" s="11">
        <v>465</v>
      </c>
      <c r="C339" s="2">
        <v>714.89710551986695</v>
      </c>
      <c r="D339" s="2">
        <v>6.8516052083332397</v>
      </c>
      <c r="E339" s="2">
        <v>-2</v>
      </c>
      <c r="F339" s="12" t="s">
        <v>270</v>
      </c>
      <c r="G339" s="12" t="s">
        <v>271</v>
      </c>
      <c r="H339" s="5"/>
      <c r="I339" s="11">
        <v>1487</v>
      </c>
      <c r="J339" s="11">
        <v>1562</v>
      </c>
      <c r="K339" s="11">
        <v>2146</v>
      </c>
      <c r="L339" s="11">
        <v>1465</v>
      </c>
      <c r="M339" s="11">
        <v>1340</v>
      </c>
      <c r="N339" s="11">
        <v>1749</v>
      </c>
      <c r="O339" s="11">
        <v>2679</v>
      </c>
      <c r="P339" s="11"/>
      <c r="Q339" s="11">
        <v>3426</v>
      </c>
      <c r="R339" s="11">
        <v>7676</v>
      </c>
      <c r="S339" s="11">
        <v>3086</v>
      </c>
      <c r="T339" s="11">
        <v>4243</v>
      </c>
      <c r="U339" s="11">
        <v>3411</v>
      </c>
      <c r="V339" s="11">
        <v>4481</v>
      </c>
      <c r="W339" s="11">
        <v>4959</v>
      </c>
      <c r="X339" s="11"/>
      <c r="Y339" s="11">
        <v>9</v>
      </c>
      <c r="Z339" s="11">
        <v>3469</v>
      </c>
      <c r="AA339" s="11">
        <v>3549</v>
      </c>
      <c r="AB339" s="11">
        <v>4177</v>
      </c>
      <c r="AC339" s="17">
        <f t="shared" si="55"/>
        <v>0.10390497820218099</v>
      </c>
      <c r="AD339" s="11">
        <f t="shared" si="56"/>
        <v>1775.4285714285713</v>
      </c>
      <c r="AE339" s="11">
        <f t="shared" si="57"/>
        <v>4468.8571428571431</v>
      </c>
      <c r="AF339" s="28">
        <f t="shared" si="64"/>
        <v>2.5170582555519796</v>
      </c>
      <c r="AG339" s="42">
        <f t="shared" si="58"/>
        <v>3.215315182890241E-3</v>
      </c>
      <c r="AH339" s="14" t="str">
        <f t="shared" si="59"/>
        <v>**</v>
      </c>
      <c r="AI339" s="11">
        <f t="shared" si="60"/>
        <v>38</v>
      </c>
      <c r="AJ339" s="11">
        <f t="shared" si="61"/>
        <v>38</v>
      </c>
      <c r="AK339" s="11">
        <f t="shared" si="62"/>
        <v>3.2745446731013775E-2</v>
      </c>
      <c r="AL339" s="42">
        <f t="shared" si="63"/>
        <v>3.2330070061871032E-2</v>
      </c>
      <c r="AM339" s="14" t="str">
        <f t="shared" si="65"/>
        <v>**</v>
      </c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</row>
    <row r="340" spans="1:56" ht="27" customHeight="1" x14ac:dyDescent="0.2">
      <c r="A340" s="9" t="s">
        <v>356</v>
      </c>
      <c r="B340" s="11">
        <v>48</v>
      </c>
      <c r="C340" s="2">
        <v>1207.7681092529299</v>
      </c>
      <c r="D340" s="2">
        <v>7.6494803921568799</v>
      </c>
      <c r="E340" s="2">
        <v>-1</v>
      </c>
      <c r="F340" s="12" t="s">
        <v>62</v>
      </c>
      <c r="G340" s="12" t="s">
        <v>63</v>
      </c>
      <c r="H340" s="5"/>
      <c r="I340" s="11">
        <v>96040</v>
      </c>
      <c r="J340" s="11">
        <v>85401</v>
      </c>
      <c r="K340" s="11">
        <v>84427</v>
      </c>
      <c r="L340" s="11">
        <v>75852</v>
      </c>
      <c r="M340" s="11">
        <v>64292</v>
      </c>
      <c r="N340" s="11">
        <v>83541</v>
      </c>
      <c r="O340" s="11">
        <v>85441</v>
      </c>
      <c r="P340" s="11"/>
      <c r="Q340" s="11">
        <v>88588</v>
      </c>
      <c r="R340" s="11">
        <v>73329</v>
      </c>
      <c r="S340" s="11">
        <v>102115</v>
      </c>
      <c r="T340" s="11">
        <v>88329</v>
      </c>
      <c r="U340" s="11">
        <v>112426</v>
      </c>
      <c r="V340" s="11">
        <v>73335</v>
      </c>
      <c r="W340" s="11">
        <v>91784</v>
      </c>
      <c r="X340" s="11"/>
      <c r="Y340" s="11">
        <v>0</v>
      </c>
      <c r="Z340" s="11">
        <v>84316</v>
      </c>
      <c r="AA340" s="11">
        <v>90154</v>
      </c>
      <c r="AB340" s="11">
        <v>89675</v>
      </c>
      <c r="AC340" s="17">
        <f t="shared" si="55"/>
        <v>3.6811103673140687E-2</v>
      </c>
      <c r="AD340" s="11">
        <f t="shared" si="56"/>
        <v>82142</v>
      </c>
      <c r="AE340" s="11">
        <f t="shared" si="57"/>
        <v>89986.571428571435</v>
      </c>
      <c r="AF340" s="28">
        <f t="shared" si="64"/>
        <v>1.0955001269578466</v>
      </c>
      <c r="AG340" s="42">
        <f t="shared" si="58"/>
        <v>0.25591941641882621</v>
      </c>
      <c r="AH340" s="14" t="str">
        <f t="shared" si="59"/>
        <v>-</v>
      </c>
      <c r="AI340" s="11">
        <f t="shared" si="60"/>
        <v>256</v>
      </c>
      <c r="AJ340" s="11">
        <f t="shared" si="61"/>
        <v>256</v>
      </c>
      <c r="AK340" s="11">
        <f t="shared" si="62"/>
        <v>0.38687818028939741</v>
      </c>
      <c r="AL340" s="42">
        <f t="shared" si="63"/>
        <v>0.38687818028939741</v>
      </c>
      <c r="AM340" s="14" t="str">
        <f t="shared" si="65"/>
        <v/>
      </c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</row>
    <row r="341" spans="1:56" ht="27" customHeight="1" x14ac:dyDescent="0.2">
      <c r="A341" s="9" t="s">
        <v>356</v>
      </c>
      <c r="B341" s="11">
        <v>122</v>
      </c>
      <c r="C341" s="2">
        <v>1179.73704512374</v>
      </c>
      <c r="D341" s="2">
        <v>7.2501999999999898</v>
      </c>
      <c r="E341" s="2">
        <v>-1</v>
      </c>
      <c r="F341" s="12" t="s">
        <v>115</v>
      </c>
      <c r="G341" s="12" t="s">
        <v>63</v>
      </c>
      <c r="H341" s="5"/>
      <c r="I341" s="11">
        <v>20227</v>
      </c>
      <c r="J341" s="11">
        <v>19475</v>
      </c>
      <c r="K341" s="11">
        <v>22184</v>
      </c>
      <c r="L341" s="11">
        <v>16412</v>
      </c>
      <c r="M341" s="11">
        <v>16536</v>
      </c>
      <c r="N341" s="11">
        <v>19661</v>
      </c>
      <c r="O341" s="11">
        <v>18396</v>
      </c>
      <c r="P341" s="11"/>
      <c r="Q341" s="11">
        <v>23006</v>
      </c>
      <c r="R341" s="11">
        <v>23422</v>
      </c>
      <c r="S341" s="11">
        <v>26043</v>
      </c>
      <c r="T341" s="11">
        <v>22253</v>
      </c>
      <c r="U341" s="11">
        <v>35435</v>
      </c>
      <c r="V341" s="11">
        <v>22428</v>
      </c>
      <c r="W341" s="11">
        <v>28781</v>
      </c>
      <c r="X341" s="11"/>
      <c r="Y341" s="11">
        <v>0</v>
      </c>
      <c r="Z341" s="11">
        <v>21614</v>
      </c>
      <c r="AA341" s="11">
        <v>25968</v>
      </c>
      <c r="AB341" s="11">
        <v>21575</v>
      </c>
      <c r="AC341" s="17">
        <f t="shared" si="55"/>
        <v>0.10953844283181588</v>
      </c>
      <c r="AD341" s="11">
        <f t="shared" si="56"/>
        <v>18984.428571428572</v>
      </c>
      <c r="AE341" s="11">
        <f t="shared" si="57"/>
        <v>25909.714285714286</v>
      </c>
      <c r="AF341" s="28">
        <f t="shared" si="64"/>
        <v>1.364787683138813</v>
      </c>
      <c r="AG341" s="42">
        <f t="shared" si="58"/>
        <v>7.900730997889488E-3</v>
      </c>
      <c r="AH341" s="14" t="str">
        <f t="shared" si="59"/>
        <v>**</v>
      </c>
      <c r="AI341" s="11">
        <f t="shared" si="60"/>
        <v>68</v>
      </c>
      <c r="AJ341" s="11">
        <f t="shared" si="61"/>
        <v>68</v>
      </c>
      <c r="AK341" s="11">
        <f t="shared" si="62"/>
        <v>4.4964454355635758E-2</v>
      </c>
      <c r="AL341" s="42">
        <f t="shared" si="63"/>
        <v>4.4964454355635758E-2</v>
      </c>
      <c r="AM341" s="14" t="str">
        <f t="shared" si="65"/>
        <v>**</v>
      </c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</row>
    <row r="342" spans="1:56" ht="27" customHeight="1" x14ac:dyDescent="0.2">
      <c r="A342" s="9" t="s">
        <v>356</v>
      </c>
      <c r="B342" s="11">
        <v>130</v>
      </c>
      <c r="C342" s="2">
        <v>1235.79889648731</v>
      </c>
      <c r="D342" s="2">
        <v>8.1289441176470003</v>
      </c>
      <c r="E342" s="2">
        <v>-1</v>
      </c>
      <c r="F342" s="12" t="s">
        <v>102</v>
      </c>
      <c r="G342" s="12" t="s">
        <v>63</v>
      </c>
      <c r="H342" s="5"/>
      <c r="I342" s="11">
        <v>32308</v>
      </c>
      <c r="J342" s="11">
        <v>32608</v>
      </c>
      <c r="K342" s="11">
        <v>26659</v>
      </c>
      <c r="L342" s="11">
        <v>24983</v>
      </c>
      <c r="M342" s="11">
        <v>25084</v>
      </c>
      <c r="N342" s="11">
        <v>31100</v>
      </c>
      <c r="O342" s="11">
        <v>32035</v>
      </c>
      <c r="P342" s="11"/>
      <c r="Q342" s="11">
        <v>22841</v>
      </c>
      <c r="R342" s="11">
        <v>27103</v>
      </c>
      <c r="S342" s="11">
        <v>26323</v>
      </c>
      <c r="T342" s="11">
        <v>23927</v>
      </c>
      <c r="U342" s="11">
        <v>30177</v>
      </c>
      <c r="V342" s="11">
        <v>19781</v>
      </c>
      <c r="W342" s="11">
        <v>25137</v>
      </c>
      <c r="X342" s="11"/>
      <c r="Y342" s="11">
        <v>0</v>
      </c>
      <c r="Z342" s="11">
        <v>25030</v>
      </c>
      <c r="AA342" s="11">
        <v>24992</v>
      </c>
      <c r="AB342" s="11">
        <v>27333</v>
      </c>
      <c r="AC342" s="17">
        <f t="shared" si="55"/>
        <v>5.19969733863722E-2</v>
      </c>
      <c r="AD342" s="11">
        <f t="shared" si="56"/>
        <v>29253.857142857141</v>
      </c>
      <c r="AE342" s="11">
        <f t="shared" si="57"/>
        <v>25041.285714285714</v>
      </c>
      <c r="AF342" s="28">
        <f t="shared" si="64"/>
        <v>0.8559994530635765</v>
      </c>
      <c r="AG342" s="42">
        <f t="shared" si="58"/>
        <v>3.9801794680787692E-2</v>
      </c>
      <c r="AH342" s="14" t="str">
        <f t="shared" si="59"/>
        <v>*</v>
      </c>
      <c r="AI342" s="11">
        <f t="shared" si="60"/>
        <v>149</v>
      </c>
      <c r="AJ342" s="11">
        <f t="shared" si="61"/>
        <v>149</v>
      </c>
      <c r="AK342" s="11">
        <f t="shared" si="62"/>
        <v>0.1033778157145291</v>
      </c>
      <c r="AL342" s="42">
        <f t="shared" si="63"/>
        <v>0.10302413948712418</v>
      </c>
      <c r="AM342" s="14" t="str">
        <f t="shared" si="65"/>
        <v/>
      </c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</row>
    <row r="343" spans="1:56" ht="27" customHeight="1" x14ac:dyDescent="0.2">
      <c r="A343" s="9" t="s">
        <v>356</v>
      </c>
      <c r="B343" s="11">
        <v>185</v>
      </c>
      <c r="C343" s="2">
        <v>1205.75228570323</v>
      </c>
      <c r="D343" s="2">
        <v>7.3572931372549402</v>
      </c>
      <c r="E343" s="2">
        <v>-1</v>
      </c>
      <c r="F343" s="12" t="s">
        <v>132</v>
      </c>
      <c r="G343" s="12" t="s">
        <v>63</v>
      </c>
      <c r="H343" s="5"/>
      <c r="I343" s="11">
        <v>15838</v>
      </c>
      <c r="J343" s="11">
        <v>13227</v>
      </c>
      <c r="K343" s="11">
        <v>21001</v>
      </c>
      <c r="L343" s="11">
        <v>13883</v>
      </c>
      <c r="M343" s="11">
        <v>13886</v>
      </c>
      <c r="N343" s="11">
        <v>16760</v>
      </c>
      <c r="O343" s="11">
        <v>16833</v>
      </c>
      <c r="P343" s="11"/>
      <c r="Q343" s="11">
        <v>16182</v>
      </c>
      <c r="R343" s="11">
        <v>15005</v>
      </c>
      <c r="S343" s="11">
        <v>18153</v>
      </c>
      <c r="T343" s="11">
        <v>14605</v>
      </c>
      <c r="U343" s="11">
        <v>15692</v>
      </c>
      <c r="V343" s="11">
        <v>12639</v>
      </c>
      <c r="W343" s="11">
        <v>11837</v>
      </c>
      <c r="X343" s="11"/>
      <c r="Y343" s="11">
        <v>0</v>
      </c>
      <c r="Z343" s="11">
        <v>15936</v>
      </c>
      <c r="AA343" s="11">
        <v>18310</v>
      </c>
      <c r="AB343" s="11">
        <v>16739</v>
      </c>
      <c r="AC343" s="17">
        <f t="shared" si="55"/>
        <v>7.1051886513477158E-2</v>
      </c>
      <c r="AD343" s="11">
        <f t="shared" si="56"/>
        <v>15918.285714285714</v>
      </c>
      <c r="AE343" s="11">
        <f t="shared" si="57"/>
        <v>14873.285714285714</v>
      </c>
      <c r="AF343" s="28">
        <f t="shared" si="64"/>
        <v>0.93435222744732027</v>
      </c>
      <c r="AG343" s="42">
        <f t="shared" si="58"/>
        <v>0.4358436622681986</v>
      </c>
      <c r="AH343" s="14" t="str">
        <f t="shared" si="59"/>
        <v>-</v>
      </c>
      <c r="AI343" s="11">
        <f t="shared" si="60"/>
        <v>307</v>
      </c>
      <c r="AJ343" s="11">
        <f t="shared" si="61"/>
        <v>307</v>
      </c>
      <c r="AK343" s="11">
        <f t="shared" si="62"/>
        <v>0.54941855797326666</v>
      </c>
      <c r="AL343" s="42">
        <f t="shared" si="63"/>
        <v>0.54941855797326666</v>
      </c>
      <c r="AM343" s="14" t="str">
        <f t="shared" si="65"/>
        <v/>
      </c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</row>
    <row r="344" spans="1:56" ht="27" customHeight="1" x14ac:dyDescent="0.2">
      <c r="A344" s="9" t="s">
        <v>356</v>
      </c>
      <c r="B344" s="11">
        <v>323</v>
      </c>
      <c r="C344" s="2">
        <v>1193.7543329306</v>
      </c>
      <c r="D344" s="2">
        <v>7.4414593749998703</v>
      </c>
      <c r="E344" s="2">
        <v>-1</v>
      </c>
      <c r="F344" s="12" t="s">
        <v>176</v>
      </c>
      <c r="G344" s="12" t="s">
        <v>63</v>
      </c>
      <c r="H344" s="5"/>
      <c r="I344" s="11">
        <v>11311</v>
      </c>
      <c r="J344" s="11">
        <v>8470</v>
      </c>
      <c r="K344" s="11">
        <v>10555</v>
      </c>
      <c r="L344" s="11">
        <v>7983</v>
      </c>
      <c r="M344" s="11">
        <v>7068</v>
      </c>
      <c r="N344" s="11">
        <v>9828</v>
      </c>
      <c r="O344" s="11">
        <v>10100</v>
      </c>
      <c r="P344" s="11"/>
      <c r="Q344" s="11">
        <v>7405</v>
      </c>
      <c r="R344" s="11">
        <v>9786</v>
      </c>
      <c r="S344" s="11">
        <v>10374</v>
      </c>
      <c r="T344" s="11">
        <v>8128</v>
      </c>
      <c r="U344" s="11">
        <v>10853</v>
      </c>
      <c r="V344" s="11">
        <v>8088</v>
      </c>
      <c r="W344" s="11">
        <v>8064</v>
      </c>
      <c r="X344" s="11"/>
      <c r="Y344" s="11">
        <v>0</v>
      </c>
      <c r="Z344" s="11">
        <v>7376</v>
      </c>
      <c r="AA344" s="11">
        <v>9439</v>
      </c>
      <c r="AB344" s="11">
        <v>9163</v>
      </c>
      <c r="AC344" s="17">
        <f t="shared" si="55"/>
        <v>0.12933259782593928</v>
      </c>
      <c r="AD344" s="11">
        <f t="shared" si="56"/>
        <v>9330.7142857142862</v>
      </c>
      <c r="AE344" s="11">
        <f t="shared" si="57"/>
        <v>8956.8571428571431</v>
      </c>
      <c r="AF344" s="28">
        <f t="shared" si="64"/>
        <v>0.95993263415754415</v>
      </c>
      <c r="AG344" s="42">
        <f t="shared" si="58"/>
        <v>0.63599074988213466</v>
      </c>
      <c r="AH344" s="14" t="str">
        <f t="shared" si="59"/>
        <v>-</v>
      </c>
      <c r="AI344" s="11">
        <f t="shared" si="60"/>
        <v>340</v>
      </c>
      <c r="AJ344" s="11">
        <f t="shared" si="61"/>
        <v>340</v>
      </c>
      <c r="AK344" s="11">
        <f t="shared" si="62"/>
        <v>0.72390711824819443</v>
      </c>
      <c r="AL344" s="42">
        <f t="shared" si="63"/>
        <v>0.72390711824819443</v>
      </c>
      <c r="AM344" s="14" t="str">
        <f t="shared" si="65"/>
        <v/>
      </c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</row>
    <row r="345" spans="1:56" ht="27" customHeight="1" x14ac:dyDescent="0.2">
      <c r="A345" s="9" t="s">
        <v>356</v>
      </c>
      <c r="B345" s="11">
        <v>346</v>
      </c>
      <c r="C345" s="2">
        <v>1151.70467751962</v>
      </c>
      <c r="D345" s="2">
        <v>6.9117294117647603</v>
      </c>
      <c r="E345" s="2">
        <v>-1</v>
      </c>
      <c r="F345" s="12" t="s">
        <v>146</v>
      </c>
      <c r="G345" s="12" t="s">
        <v>63</v>
      </c>
      <c r="H345" s="5"/>
      <c r="I345" s="11">
        <v>8908</v>
      </c>
      <c r="J345" s="11">
        <v>7199</v>
      </c>
      <c r="K345" s="11">
        <v>7723</v>
      </c>
      <c r="L345" s="11">
        <v>5141</v>
      </c>
      <c r="M345" s="11">
        <v>5696</v>
      </c>
      <c r="N345" s="11">
        <v>7056</v>
      </c>
      <c r="O345" s="11">
        <v>7409</v>
      </c>
      <c r="P345" s="11"/>
      <c r="Q345" s="11">
        <v>8043</v>
      </c>
      <c r="R345" s="11">
        <v>9768</v>
      </c>
      <c r="S345" s="11">
        <v>7232</v>
      </c>
      <c r="T345" s="11">
        <v>9215</v>
      </c>
      <c r="U345" s="11">
        <v>10571</v>
      </c>
      <c r="V345" s="11">
        <v>7875</v>
      </c>
      <c r="W345" s="11">
        <v>10070</v>
      </c>
      <c r="X345" s="11"/>
      <c r="Y345" s="11">
        <v>12</v>
      </c>
      <c r="Z345" s="11">
        <v>6735</v>
      </c>
      <c r="AA345" s="11">
        <v>9534</v>
      </c>
      <c r="AB345" s="11">
        <v>8459</v>
      </c>
      <c r="AC345" s="17">
        <f t="shared" si="55"/>
        <v>0.17130190923827293</v>
      </c>
      <c r="AD345" s="11">
        <f t="shared" si="56"/>
        <v>7018.8571428571431</v>
      </c>
      <c r="AE345" s="11">
        <f t="shared" si="57"/>
        <v>8967.7142857142862</v>
      </c>
      <c r="AF345" s="28">
        <f t="shared" si="64"/>
        <v>1.2776601807376049</v>
      </c>
      <c r="AG345" s="42">
        <f t="shared" si="58"/>
        <v>1.3532071966712061E-2</v>
      </c>
      <c r="AH345" s="14" t="str">
        <f t="shared" si="59"/>
        <v>*</v>
      </c>
      <c r="AI345" s="11">
        <f t="shared" si="60"/>
        <v>88</v>
      </c>
      <c r="AJ345" s="11">
        <f t="shared" si="61"/>
        <v>88</v>
      </c>
      <c r="AK345" s="11">
        <f t="shared" si="62"/>
        <v>5.9510361944517816E-2</v>
      </c>
      <c r="AL345" s="42">
        <f t="shared" si="63"/>
        <v>5.9510361944517816E-2</v>
      </c>
      <c r="AM345" s="14" t="str">
        <f t="shared" si="65"/>
        <v>*</v>
      </c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</row>
    <row r="346" spans="1:56" ht="27" customHeight="1" x14ac:dyDescent="0.2">
      <c r="A346" s="9" t="s">
        <v>356</v>
      </c>
      <c r="B346" s="11">
        <v>538</v>
      </c>
      <c r="C346" s="2">
        <v>1263.8303893401301</v>
      </c>
      <c r="D346" s="2">
        <v>8.6830888888889302</v>
      </c>
      <c r="E346" s="2">
        <v>-1</v>
      </c>
      <c r="F346" s="12" t="s">
        <v>200</v>
      </c>
      <c r="G346" s="12" t="s">
        <v>63</v>
      </c>
      <c r="H346" s="5"/>
      <c r="I346" s="11">
        <v>4878</v>
      </c>
      <c r="J346" s="11">
        <v>4477</v>
      </c>
      <c r="K346" s="11">
        <v>6260</v>
      </c>
      <c r="L346" s="11">
        <v>5254</v>
      </c>
      <c r="M346" s="11">
        <v>4881</v>
      </c>
      <c r="N346" s="11">
        <v>4956</v>
      </c>
      <c r="O346" s="11">
        <v>5007</v>
      </c>
      <c r="P346" s="11"/>
      <c r="Q346" s="11">
        <v>3955</v>
      </c>
      <c r="R346" s="11">
        <v>6207</v>
      </c>
      <c r="S346" s="11">
        <v>6558</v>
      </c>
      <c r="T346" s="11">
        <v>5960</v>
      </c>
      <c r="U346" s="11">
        <v>5557</v>
      </c>
      <c r="V346" s="11">
        <v>4122</v>
      </c>
      <c r="W346" s="11">
        <v>4623</v>
      </c>
      <c r="X346" s="11"/>
      <c r="Y346" s="11">
        <v>0</v>
      </c>
      <c r="Z346" s="11">
        <v>6430</v>
      </c>
      <c r="AA346" s="11">
        <v>5676</v>
      </c>
      <c r="AB346" s="11">
        <v>5023</v>
      </c>
      <c r="AC346" s="17">
        <f t="shared" si="55"/>
        <v>0.12331786833800693</v>
      </c>
      <c r="AD346" s="11">
        <f t="shared" si="56"/>
        <v>5101.8571428571431</v>
      </c>
      <c r="AE346" s="11">
        <f t="shared" si="57"/>
        <v>5283.1428571428569</v>
      </c>
      <c r="AF346" s="28">
        <f t="shared" si="64"/>
        <v>1.0355332791980509</v>
      </c>
      <c r="AG346" s="42">
        <f t="shared" si="58"/>
        <v>0.69523841853464896</v>
      </c>
      <c r="AH346" s="14" t="str">
        <f t="shared" si="59"/>
        <v>-</v>
      </c>
      <c r="AI346" s="11">
        <f t="shared" si="60"/>
        <v>346</v>
      </c>
      <c r="AJ346" s="11">
        <f t="shared" si="61"/>
        <v>346</v>
      </c>
      <c r="AK346" s="11">
        <f t="shared" si="62"/>
        <v>0.77762216177141363</v>
      </c>
      <c r="AL346" s="42">
        <f t="shared" si="63"/>
        <v>0.77546321185273948</v>
      </c>
      <c r="AM346" s="14" t="str">
        <f t="shared" si="65"/>
        <v/>
      </c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</row>
    <row r="347" spans="1:56" ht="27" customHeight="1" x14ac:dyDescent="0.2">
      <c r="A347" s="9" t="s">
        <v>356</v>
      </c>
      <c r="B347" s="11">
        <v>100</v>
      </c>
      <c r="C347" s="2">
        <v>1223.76250842025</v>
      </c>
      <c r="D347" s="2">
        <v>7.6321392156863501</v>
      </c>
      <c r="E347" s="2">
        <v>-1</v>
      </c>
      <c r="F347" s="12" t="s">
        <v>104</v>
      </c>
      <c r="G347" s="12" t="s">
        <v>105</v>
      </c>
      <c r="H347" s="5"/>
      <c r="I347" s="11">
        <v>37474</v>
      </c>
      <c r="J347" s="11">
        <v>22875</v>
      </c>
      <c r="K347" s="11">
        <v>26626</v>
      </c>
      <c r="L347" s="11">
        <v>29795</v>
      </c>
      <c r="M347" s="11">
        <v>21664</v>
      </c>
      <c r="N347" s="11">
        <v>29158</v>
      </c>
      <c r="O347" s="11">
        <v>30318</v>
      </c>
      <c r="P347" s="11"/>
      <c r="Q347" s="11">
        <v>35570</v>
      </c>
      <c r="R347" s="11">
        <v>37376</v>
      </c>
      <c r="S347" s="11">
        <v>41149</v>
      </c>
      <c r="T347" s="11">
        <v>44586</v>
      </c>
      <c r="U347" s="11">
        <v>35506</v>
      </c>
      <c r="V347" s="11">
        <v>43178</v>
      </c>
      <c r="W347" s="11">
        <v>44230</v>
      </c>
      <c r="X347" s="11"/>
      <c r="Y347" s="11">
        <v>0</v>
      </c>
      <c r="Z347" s="11">
        <v>35675</v>
      </c>
      <c r="AA347" s="11">
        <v>34339</v>
      </c>
      <c r="AB347" s="11">
        <v>32057</v>
      </c>
      <c r="AC347" s="17">
        <f t="shared" si="55"/>
        <v>5.3771290666933383E-2</v>
      </c>
      <c r="AD347" s="11">
        <f t="shared" si="56"/>
        <v>28272.857142857141</v>
      </c>
      <c r="AE347" s="11">
        <f t="shared" si="57"/>
        <v>40227.857142857145</v>
      </c>
      <c r="AF347" s="28">
        <f t="shared" si="64"/>
        <v>1.4228437168409884</v>
      </c>
      <c r="AG347" s="42">
        <f t="shared" si="58"/>
        <v>5.5560447105218794E-4</v>
      </c>
      <c r="AH347" s="14" t="str">
        <f t="shared" si="59"/>
        <v>***</v>
      </c>
      <c r="AI347" s="11">
        <f t="shared" si="60"/>
        <v>14</v>
      </c>
      <c r="AJ347" s="11">
        <f t="shared" si="61"/>
        <v>14</v>
      </c>
      <c r="AK347" s="11">
        <f t="shared" si="62"/>
        <v>1.5358495021228338E-2</v>
      </c>
      <c r="AL347" s="42">
        <f t="shared" si="63"/>
        <v>1.4435556595972071E-2</v>
      </c>
      <c r="AM347" s="14" t="str">
        <f t="shared" si="65"/>
        <v>**</v>
      </c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</row>
    <row r="348" spans="1:56" ht="27" customHeight="1" x14ac:dyDescent="0.2">
      <c r="A348" s="9" t="s">
        <v>356</v>
      </c>
      <c r="B348" s="11">
        <v>252</v>
      </c>
      <c r="C348" s="2">
        <v>1195.7322153073901</v>
      </c>
      <c r="D348" s="2">
        <v>7.24086862745094</v>
      </c>
      <c r="E348" s="2">
        <v>-1</v>
      </c>
      <c r="F348" s="12" t="s">
        <v>173</v>
      </c>
      <c r="G348" s="12" t="s">
        <v>105</v>
      </c>
      <c r="H348" s="5"/>
      <c r="I348" s="11">
        <v>8459</v>
      </c>
      <c r="J348" s="11">
        <v>9413</v>
      </c>
      <c r="K348" s="11">
        <v>7406</v>
      </c>
      <c r="L348" s="11">
        <v>7562</v>
      </c>
      <c r="M348" s="11">
        <v>7259</v>
      </c>
      <c r="N348" s="11">
        <v>10178</v>
      </c>
      <c r="O348" s="11">
        <v>7606</v>
      </c>
      <c r="P348" s="11"/>
      <c r="Q348" s="11">
        <v>8014</v>
      </c>
      <c r="R348" s="11">
        <v>10829</v>
      </c>
      <c r="S348" s="11">
        <v>10782</v>
      </c>
      <c r="T348" s="11">
        <v>11473</v>
      </c>
      <c r="U348" s="11">
        <v>9912</v>
      </c>
      <c r="V348" s="11">
        <v>12970</v>
      </c>
      <c r="W348" s="11">
        <v>15294</v>
      </c>
      <c r="X348" s="11"/>
      <c r="Y348" s="11">
        <v>0</v>
      </c>
      <c r="Z348" s="11">
        <v>8577</v>
      </c>
      <c r="AA348" s="11">
        <v>8669</v>
      </c>
      <c r="AB348" s="11">
        <v>9840</v>
      </c>
      <c r="AC348" s="17">
        <f t="shared" si="55"/>
        <v>7.7989303789527217E-2</v>
      </c>
      <c r="AD348" s="11">
        <f t="shared" si="56"/>
        <v>8269</v>
      </c>
      <c r="AE348" s="11">
        <f t="shared" si="57"/>
        <v>11324.857142857143</v>
      </c>
      <c r="AF348" s="28">
        <f t="shared" si="64"/>
        <v>1.3695558281360676</v>
      </c>
      <c r="AG348" s="42">
        <f t="shared" si="58"/>
        <v>1.2302949490772989E-2</v>
      </c>
      <c r="AH348" s="14" t="str">
        <f t="shared" si="59"/>
        <v>*</v>
      </c>
      <c r="AI348" s="11">
        <f t="shared" si="60"/>
        <v>82</v>
      </c>
      <c r="AJ348" s="11">
        <f t="shared" si="61"/>
        <v>82</v>
      </c>
      <c r="AK348" s="11">
        <f t="shared" si="62"/>
        <v>5.8063920157672519E-2</v>
      </c>
      <c r="AL348" s="42">
        <f t="shared" si="63"/>
        <v>5.7144139560858571E-2</v>
      </c>
      <c r="AM348" s="14" t="str">
        <f t="shared" si="65"/>
        <v>*</v>
      </c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</row>
    <row r="349" spans="1:56" ht="27" customHeight="1" x14ac:dyDescent="0.2">
      <c r="A349" s="9" t="s">
        <v>356</v>
      </c>
      <c r="B349" s="11">
        <v>384</v>
      </c>
      <c r="C349" s="2">
        <v>1167.70034530319</v>
      </c>
      <c r="D349" s="2">
        <v>6.9035539215685802</v>
      </c>
      <c r="E349" s="2">
        <v>-1</v>
      </c>
      <c r="F349" s="12" t="s">
        <v>245</v>
      </c>
      <c r="G349" s="12" t="s">
        <v>105</v>
      </c>
      <c r="H349" s="5"/>
      <c r="I349" s="11">
        <v>3737</v>
      </c>
      <c r="J349" s="11">
        <v>3241</v>
      </c>
      <c r="K349" s="11">
        <v>3577</v>
      </c>
      <c r="L349" s="11">
        <v>3802</v>
      </c>
      <c r="M349" s="11">
        <v>3577</v>
      </c>
      <c r="N349" s="11">
        <v>4224</v>
      </c>
      <c r="O349" s="11">
        <v>4416</v>
      </c>
      <c r="P349" s="11"/>
      <c r="Q349" s="11">
        <v>5957</v>
      </c>
      <c r="R349" s="11">
        <v>7678</v>
      </c>
      <c r="S349" s="11">
        <v>4766</v>
      </c>
      <c r="T349" s="11">
        <v>6531</v>
      </c>
      <c r="U349" s="11">
        <v>5780</v>
      </c>
      <c r="V349" s="11">
        <v>7295</v>
      </c>
      <c r="W349" s="11">
        <v>9587</v>
      </c>
      <c r="X349" s="11"/>
      <c r="Y349" s="11">
        <v>0</v>
      </c>
      <c r="Z349" s="11">
        <v>5211</v>
      </c>
      <c r="AA349" s="11">
        <v>5804</v>
      </c>
      <c r="AB349" s="11">
        <v>6887</v>
      </c>
      <c r="AC349" s="17">
        <f t="shared" si="55"/>
        <v>0.14241776917188417</v>
      </c>
      <c r="AD349" s="11">
        <f t="shared" si="56"/>
        <v>3796.2857142857142</v>
      </c>
      <c r="AE349" s="11">
        <f t="shared" si="57"/>
        <v>6799.1428571428569</v>
      </c>
      <c r="AF349" s="28">
        <f t="shared" si="64"/>
        <v>1.7909987205539248</v>
      </c>
      <c r="AG349" s="42">
        <f t="shared" si="58"/>
        <v>1.8941255674116753E-3</v>
      </c>
      <c r="AH349" s="14" t="str">
        <f t="shared" si="59"/>
        <v>**</v>
      </c>
      <c r="AI349" s="11">
        <f t="shared" si="60"/>
        <v>30</v>
      </c>
      <c r="AJ349" s="11">
        <f t="shared" si="61"/>
        <v>30</v>
      </c>
      <c r="AK349" s="11">
        <f t="shared" si="62"/>
        <v>2.4434219819610612E-2</v>
      </c>
      <c r="AL349" s="42">
        <f t="shared" si="63"/>
        <v>2.4434219819610612E-2</v>
      </c>
      <c r="AM349" s="14" t="str">
        <f t="shared" si="65"/>
        <v>**</v>
      </c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</row>
    <row r="350" spans="1:56" ht="27" customHeight="1" x14ac:dyDescent="0.2">
      <c r="A350" s="9" t="s">
        <v>356</v>
      </c>
      <c r="B350" s="11">
        <v>1032</v>
      </c>
      <c r="C350" s="2">
        <v>773.92831362647996</v>
      </c>
      <c r="D350" s="2">
        <v>7.1286107843137598</v>
      </c>
      <c r="E350" s="2">
        <v>-2</v>
      </c>
      <c r="F350" s="12" t="s">
        <v>297</v>
      </c>
      <c r="G350" s="12" t="s">
        <v>298</v>
      </c>
      <c r="H350" s="5"/>
      <c r="I350" s="11">
        <v>1048</v>
      </c>
      <c r="J350" s="11">
        <v>977</v>
      </c>
      <c r="K350" s="11">
        <v>1204</v>
      </c>
      <c r="L350" s="11">
        <v>1006</v>
      </c>
      <c r="M350" s="11">
        <v>542</v>
      </c>
      <c r="N350" s="11">
        <v>1731</v>
      </c>
      <c r="O350" s="11">
        <v>1823</v>
      </c>
      <c r="P350" s="11"/>
      <c r="Q350" s="11">
        <v>3228</v>
      </c>
      <c r="R350" s="11">
        <v>3100</v>
      </c>
      <c r="S350" s="11">
        <v>1496</v>
      </c>
      <c r="T350" s="11">
        <v>2689</v>
      </c>
      <c r="U350" s="11">
        <v>3177</v>
      </c>
      <c r="V350" s="11">
        <v>2061</v>
      </c>
      <c r="W350" s="11">
        <v>2610</v>
      </c>
      <c r="X350" s="11"/>
      <c r="Y350" s="11">
        <v>23</v>
      </c>
      <c r="Z350" s="11">
        <v>2199</v>
      </c>
      <c r="AA350" s="11">
        <v>2109</v>
      </c>
      <c r="AB350" s="11">
        <v>2094</v>
      </c>
      <c r="AC350" s="17">
        <f t="shared" si="55"/>
        <v>2.6611566756327431E-2</v>
      </c>
      <c r="AD350" s="11">
        <f t="shared" si="56"/>
        <v>1190.1428571428571</v>
      </c>
      <c r="AE350" s="11">
        <f t="shared" si="57"/>
        <v>2623</v>
      </c>
      <c r="AF350" s="28">
        <f t="shared" si="64"/>
        <v>2.2039371023886689</v>
      </c>
      <c r="AG350" s="42">
        <f t="shared" si="58"/>
        <v>5.7146563192309464E-4</v>
      </c>
      <c r="AH350" s="14" t="str">
        <f t="shared" si="59"/>
        <v>***</v>
      </c>
      <c r="AI350" s="11">
        <f t="shared" si="60"/>
        <v>15</v>
      </c>
      <c r="AJ350" s="11">
        <f t="shared" si="61"/>
        <v>15</v>
      </c>
      <c r="AK350" s="11">
        <f t="shared" si="62"/>
        <v>1.4743813303615842E-2</v>
      </c>
      <c r="AL350" s="42">
        <f t="shared" si="63"/>
        <v>1.4435556595972071E-2</v>
      </c>
      <c r="AM350" s="14" t="str">
        <f t="shared" si="65"/>
        <v>**</v>
      </c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</row>
    <row r="351" spans="1:56" ht="27" customHeight="1" x14ac:dyDescent="0.2">
      <c r="A351" s="9" t="s">
        <v>356</v>
      </c>
      <c r="B351" s="11">
        <v>2248</v>
      </c>
      <c r="C351" s="2">
        <v>870.70070052406504</v>
      </c>
      <c r="D351" s="2">
        <v>10.667891111111199</v>
      </c>
      <c r="E351" s="2">
        <v>-1</v>
      </c>
      <c r="F351" s="12" t="s">
        <v>343</v>
      </c>
      <c r="G351" s="12" t="s">
        <v>344</v>
      </c>
      <c r="H351" s="5"/>
      <c r="I351" s="11">
        <v>214</v>
      </c>
      <c r="J351" s="11">
        <v>216</v>
      </c>
      <c r="K351" s="11">
        <v>212</v>
      </c>
      <c r="L351" s="11">
        <v>308</v>
      </c>
      <c r="M351" s="11">
        <v>431</v>
      </c>
      <c r="N351" s="11">
        <v>293</v>
      </c>
      <c r="O351" s="11">
        <v>292</v>
      </c>
      <c r="P351" s="11"/>
      <c r="Q351" s="11">
        <v>433</v>
      </c>
      <c r="R351" s="11">
        <v>858</v>
      </c>
      <c r="S351" s="11">
        <v>383</v>
      </c>
      <c r="T351" s="11">
        <v>904</v>
      </c>
      <c r="U351" s="11">
        <v>451</v>
      </c>
      <c r="V351" s="11">
        <v>582</v>
      </c>
      <c r="W351" s="11">
        <v>1351</v>
      </c>
      <c r="X351" s="11"/>
      <c r="Y351" s="11">
        <v>0</v>
      </c>
      <c r="Z351" s="11">
        <v>431</v>
      </c>
      <c r="AA351" s="11">
        <v>454</v>
      </c>
      <c r="AB351" s="11">
        <v>529</v>
      </c>
      <c r="AC351" s="17">
        <f t="shared" si="55"/>
        <v>0.10872934408530247</v>
      </c>
      <c r="AD351" s="11">
        <f t="shared" si="56"/>
        <v>280.85714285714283</v>
      </c>
      <c r="AE351" s="11">
        <f t="shared" si="57"/>
        <v>708.85714285714289</v>
      </c>
      <c r="AF351" s="28">
        <f t="shared" si="64"/>
        <v>2.5239064089521874</v>
      </c>
      <c r="AG351" s="42">
        <f t="shared" si="58"/>
        <v>1.7409434893591095E-2</v>
      </c>
      <c r="AH351" s="14" t="str">
        <f t="shared" si="59"/>
        <v>*</v>
      </c>
      <c r="AI351" s="11">
        <f t="shared" si="60"/>
        <v>108</v>
      </c>
      <c r="AJ351" s="11">
        <f t="shared" si="61"/>
        <v>108</v>
      </c>
      <c r="AK351" s="11">
        <f t="shared" si="62"/>
        <v>6.2383808368701422E-2</v>
      </c>
      <c r="AL351" s="42">
        <f t="shared" si="63"/>
        <v>6.2383808368701422E-2</v>
      </c>
      <c r="AM351" s="14" t="str">
        <f t="shared" si="65"/>
        <v>*</v>
      </c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</row>
    <row r="352" spans="1:56" ht="27" customHeight="1" x14ac:dyDescent="0.2">
      <c r="A352" s="9" t="s">
        <v>356</v>
      </c>
      <c r="B352" s="11">
        <v>483</v>
      </c>
      <c r="C352" s="2">
        <v>652.58697779110605</v>
      </c>
      <c r="D352" s="2">
        <v>9.9677686274509405</v>
      </c>
      <c r="E352" s="2">
        <v>-1</v>
      </c>
      <c r="F352" s="12" t="s">
        <v>203</v>
      </c>
      <c r="G352" s="12" t="s">
        <v>204</v>
      </c>
      <c r="H352" s="5"/>
      <c r="I352" s="11">
        <v>2394</v>
      </c>
      <c r="J352" s="11">
        <v>3216</v>
      </c>
      <c r="K352" s="11">
        <v>3860</v>
      </c>
      <c r="L352" s="11">
        <v>2812</v>
      </c>
      <c r="M352" s="11">
        <v>2468</v>
      </c>
      <c r="N352" s="11">
        <v>3498</v>
      </c>
      <c r="O352" s="11">
        <v>4928</v>
      </c>
      <c r="P352" s="11"/>
      <c r="Q352" s="11">
        <v>4643</v>
      </c>
      <c r="R352" s="11">
        <v>2105</v>
      </c>
      <c r="S352" s="11">
        <v>3890</v>
      </c>
      <c r="T352" s="11">
        <v>5274</v>
      </c>
      <c r="U352" s="11">
        <v>5538</v>
      </c>
      <c r="V352" s="11">
        <v>4621</v>
      </c>
      <c r="W352" s="11">
        <v>7303</v>
      </c>
      <c r="X352" s="11"/>
      <c r="Y352" s="11">
        <v>0</v>
      </c>
      <c r="Z352" s="11">
        <v>3787</v>
      </c>
      <c r="AA352" s="11">
        <v>3839</v>
      </c>
      <c r="AB352" s="11">
        <v>5265</v>
      </c>
      <c r="AC352" s="17">
        <f t="shared" si="55"/>
        <v>0.19518633577891761</v>
      </c>
      <c r="AD352" s="11">
        <f t="shared" si="56"/>
        <v>3310.8571428571427</v>
      </c>
      <c r="AE352" s="11">
        <f t="shared" si="57"/>
        <v>4767.7142857142853</v>
      </c>
      <c r="AF352" s="28">
        <f t="shared" si="64"/>
        <v>1.440024162927166</v>
      </c>
      <c r="AG352" s="42">
        <f t="shared" si="58"/>
        <v>6.2221534332079803E-2</v>
      </c>
      <c r="AH352" s="14" t="str">
        <f t="shared" si="59"/>
        <v>-</v>
      </c>
      <c r="AI352" s="11">
        <f t="shared" si="60"/>
        <v>172</v>
      </c>
      <c r="AJ352" s="11">
        <f t="shared" si="61"/>
        <v>172</v>
      </c>
      <c r="AK352" s="11">
        <f t="shared" si="62"/>
        <v>0.13999845224717955</v>
      </c>
      <c r="AL352" s="42">
        <f t="shared" si="63"/>
        <v>0.13999845224717955</v>
      </c>
      <c r="AM352" s="14" t="str">
        <f t="shared" si="65"/>
        <v/>
      </c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</row>
    <row r="353" spans="1:56" ht="27" customHeight="1" x14ac:dyDescent="0.2">
      <c r="A353" s="9" t="s">
        <v>356</v>
      </c>
      <c r="B353" s="11">
        <v>535</v>
      </c>
      <c r="C353" s="2">
        <v>680.61779808043298</v>
      </c>
      <c r="D353" s="2">
        <v>10.848229411764599</v>
      </c>
      <c r="E353" s="2">
        <v>-2</v>
      </c>
      <c r="F353" s="12" t="s">
        <v>241</v>
      </c>
      <c r="G353" s="12" t="s">
        <v>204</v>
      </c>
      <c r="H353" s="5"/>
      <c r="I353" s="11">
        <v>2846</v>
      </c>
      <c r="J353" s="11">
        <v>2933</v>
      </c>
      <c r="K353" s="11">
        <v>4162</v>
      </c>
      <c r="L353" s="11">
        <v>3142</v>
      </c>
      <c r="M353" s="11">
        <v>3892</v>
      </c>
      <c r="N353" s="11">
        <v>3440</v>
      </c>
      <c r="O353" s="11">
        <v>6568</v>
      </c>
      <c r="P353" s="11"/>
      <c r="Q353" s="11">
        <v>2522</v>
      </c>
      <c r="R353" s="11">
        <v>2912</v>
      </c>
      <c r="S353" s="11">
        <v>3412</v>
      </c>
      <c r="T353" s="11">
        <v>3427</v>
      </c>
      <c r="U353" s="11">
        <v>4037</v>
      </c>
      <c r="V353" s="11">
        <v>4012</v>
      </c>
      <c r="W353" s="11">
        <v>5157</v>
      </c>
      <c r="X353" s="11"/>
      <c r="Y353" s="11">
        <v>0</v>
      </c>
      <c r="Z353" s="11">
        <v>3879</v>
      </c>
      <c r="AA353" s="11">
        <v>4369</v>
      </c>
      <c r="AB353" s="11">
        <v>4540</v>
      </c>
      <c r="AC353" s="17">
        <f t="shared" si="55"/>
        <v>8.0487033674211617E-2</v>
      </c>
      <c r="AD353" s="11">
        <f t="shared" si="56"/>
        <v>3854.7142857142858</v>
      </c>
      <c r="AE353" s="11">
        <f t="shared" si="57"/>
        <v>3639.8571428571427</v>
      </c>
      <c r="AF353" s="28">
        <f t="shared" si="64"/>
        <v>0.94426120149723891</v>
      </c>
      <c r="AG353" s="42">
        <f t="shared" si="58"/>
        <v>0.72169979514632954</v>
      </c>
      <c r="AH353" s="14" t="str">
        <f t="shared" si="59"/>
        <v>-</v>
      </c>
      <c r="AI353" s="11">
        <f t="shared" si="60"/>
        <v>352</v>
      </c>
      <c r="AJ353" s="11">
        <f t="shared" si="61"/>
        <v>352</v>
      </c>
      <c r="AK353" s="11">
        <f t="shared" si="62"/>
        <v>0.7934597179591748</v>
      </c>
      <c r="AL353" s="42">
        <f t="shared" si="63"/>
        <v>0.7934597179591748</v>
      </c>
      <c r="AM353" s="14" t="str">
        <f t="shared" si="65"/>
        <v/>
      </c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</row>
    <row r="354" spans="1:56" ht="27" customHeight="1" x14ac:dyDescent="0.2">
      <c r="A354" s="9" t="s">
        <v>356</v>
      </c>
      <c r="B354" s="11">
        <v>921</v>
      </c>
      <c r="C354" s="2">
        <v>708.64984489905999</v>
      </c>
      <c r="D354" s="2">
        <v>11.7683744444445</v>
      </c>
      <c r="E354" s="2">
        <v>-2</v>
      </c>
      <c r="F354" s="12" t="s">
        <v>266</v>
      </c>
      <c r="G354" s="12" t="s">
        <v>204</v>
      </c>
      <c r="H354" s="5"/>
      <c r="I354" s="11">
        <v>1430</v>
      </c>
      <c r="J354" s="11">
        <v>1454</v>
      </c>
      <c r="K354" s="11">
        <v>2915</v>
      </c>
      <c r="L354" s="11">
        <v>2099</v>
      </c>
      <c r="M354" s="11">
        <v>2221</v>
      </c>
      <c r="N354" s="11">
        <v>2208</v>
      </c>
      <c r="O354" s="11">
        <v>3133</v>
      </c>
      <c r="P354" s="11"/>
      <c r="Q354" s="11">
        <v>2226</v>
      </c>
      <c r="R354" s="11">
        <v>3051</v>
      </c>
      <c r="S354" s="11">
        <v>2010</v>
      </c>
      <c r="T354" s="11">
        <v>2536</v>
      </c>
      <c r="U354" s="11">
        <v>2763</v>
      </c>
      <c r="V354" s="11">
        <v>2661</v>
      </c>
      <c r="W354" s="11">
        <v>3682</v>
      </c>
      <c r="X354" s="11"/>
      <c r="Y354" s="11">
        <v>0</v>
      </c>
      <c r="Z354" s="11">
        <v>2274</v>
      </c>
      <c r="AA354" s="11">
        <v>2753</v>
      </c>
      <c r="AB354" s="11">
        <v>2995</v>
      </c>
      <c r="AC354" s="17">
        <f t="shared" si="55"/>
        <v>0.13722311109845708</v>
      </c>
      <c r="AD354" s="11">
        <f t="shared" si="56"/>
        <v>2208.5714285714284</v>
      </c>
      <c r="AE354" s="11">
        <f t="shared" si="57"/>
        <v>2704.1428571428573</v>
      </c>
      <c r="AF354" s="28">
        <f t="shared" si="64"/>
        <v>1.2243855109961193</v>
      </c>
      <c r="AG354" s="42">
        <f t="shared" si="58"/>
        <v>0.15073875634185097</v>
      </c>
      <c r="AH354" s="14" t="str">
        <f t="shared" si="59"/>
        <v>-</v>
      </c>
      <c r="AI354" s="11">
        <f t="shared" si="60"/>
        <v>226</v>
      </c>
      <c r="AJ354" s="11">
        <f t="shared" si="61"/>
        <v>226</v>
      </c>
      <c r="AK354" s="11">
        <f t="shared" si="62"/>
        <v>0.25812344559423156</v>
      </c>
      <c r="AL354" s="42">
        <f t="shared" si="63"/>
        <v>0.25812344559423156</v>
      </c>
      <c r="AM354" s="14" t="str">
        <f t="shared" si="65"/>
        <v/>
      </c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</row>
    <row r="355" spans="1:56" ht="27" customHeight="1" x14ac:dyDescent="0.2">
      <c r="A355" s="9" t="s">
        <v>356</v>
      </c>
      <c r="B355" s="11">
        <v>1051</v>
      </c>
      <c r="C355" s="2">
        <v>694.63422722107805</v>
      </c>
      <c r="D355" s="2">
        <v>11.300990624999899</v>
      </c>
      <c r="E355" s="2">
        <v>-2</v>
      </c>
      <c r="F355" s="12" t="s">
        <v>291</v>
      </c>
      <c r="G355" s="12" t="s">
        <v>204</v>
      </c>
      <c r="H355" s="5"/>
      <c r="I355" s="11">
        <v>1095</v>
      </c>
      <c r="J355" s="11">
        <v>1532</v>
      </c>
      <c r="K355" s="11">
        <v>2729</v>
      </c>
      <c r="L355" s="11">
        <v>1693</v>
      </c>
      <c r="M355" s="11">
        <v>1702</v>
      </c>
      <c r="N355" s="11">
        <v>1960</v>
      </c>
      <c r="O355" s="11">
        <v>3151</v>
      </c>
      <c r="P355" s="11"/>
      <c r="Q355" s="11">
        <v>1670</v>
      </c>
      <c r="R355" s="11">
        <v>1995</v>
      </c>
      <c r="S355" s="11">
        <v>1264</v>
      </c>
      <c r="T355" s="11">
        <v>2233</v>
      </c>
      <c r="U355" s="11">
        <v>2505</v>
      </c>
      <c r="V355" s="11">
        <v>1910</v>
      </c>
      <c r="W355" s="11">
        <v>2863</v>
      </c>
      <c r="X355" s="11"/>
      <c r="Y355" s="11">
        <v>0</v>
      </c>
      <c r="Z355" s="11">
        <v>1827</v>
      </c>
      <c r="AA355" s="11">
        <v>1857</v>
      </c>
      <c r="AB355" s="11">
        <v>2336</v>
      </c>
      <c r="AC355" s="17">
        <f t="shared" si="55"/>
        <v>0.14232817543258916</v>
      </c>
      <c r="AD355" s="11">
        <f t="shared" si="56"/>
        <v>1980.2857142857142</v>
      </c>
      <c r="AE355" s="11">
        <f t="shared" si="57"/>
        <v>2062.8571428571427</v>
      </c>
      <c r="AF355" s="28">
        <f t="shared" si="64"/>
        <v>1.0416967248593276</v>
      </c>
      <c r="AG355" s="42">
        <f t="shared" si="58"/>
        <v>0.81076429217826351</v>
      </c>
      <c r="AH355" s="14" t="str">
        <f t="shared" si="59"/>
        <v>-</v>
      </c>
      <c r="AI355" s="11">
        <f t="shared" si="60"/>
        <v>367</v>
      </c>
      <c r="AJ355" s="11">
        <f t="shared" si="61"/>
        <v>367</v>
      </c>
      <c r="AK355" s="11">
        <f t="shared" si="62"/>
        <v>0.85494763235146587</v>
      </c>
      <c r="AL355" s="42">
        <f t="shared" si="63"/>
        <v>0.85494763235146587</v>
      </c>
      <c r="AM355" s="14" t="str">
        <f t="shared" si="65"/>
        <v/>
      </c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</row>
    <row r="356" spans="1:56" ht="27" customHeight="1" x14ac:dyDescent="0.2">
      <c r="A356" s="9" t="s">
        <v>356</v>
      </c>
      <c r="B356" s="11">
        <v>1088</v>
      </c>
      <c r="C356" s="2">
        <v>650.57120982560605</v>
      </c>
      <c r="D356" s="2">
        <v>9.3461020833332498</v>
      </c>
      <c r="E356" s="2">
        <v>-2</v>
      </c>
      <c r="F356" s="12" t="s">
        <v>265</v>
      </c>
      <c r="G356" s="12" t="s">
        <v>204</v>
      </c>
      <c r="H356" s="5"/>
      <c r="I356" s="11">
        <v>1503</v>
      </c>
      <c r="J356" s="11">
        <v>1706</v>
      </c>
      <c r="K356" s="11">
        <v>2911</v>
      </c>
      <c r="L356" s="11">
        <v>1314</v>
      </c>
      <c r="M356" s="11">
        <v>1512</v>
      </c>
      <c r="N356" s="11">
        <v>1285</v>
      </c>
      <c r="O356" s="11">
        <v>2807</v>
      </c>
      <c r="P356" s="11"/>
      <c r="Q356" s="11">
        <v>1974</v>
      </c>
      <c r="R356" s="11">
        <v>1113</v>
      </c>
      <c r="S356" s="11">
        <v>1908</v>
      </c>
      <c r="T356" s="11">
        <v>2402</v>
      </c>
      <c r="U356" s="11">
        <v>2462</v>
      </c>
      <c r="V356" s="11">
        <v>1937</v>
      </c>
      <c r="W356" s="11">
        <v>3061</v>
      </c>
      <c r="X356" s="11"/>
      <c r="Y356" s="11">
        <v>225</v>
      </c>
      <c r="Z356" s="11">
        <v>1762</v>
      </c>
      <c r="AA356" s="11">
        <v>2204</v>
      </c>
      <c r="AB356" s="11">
        <v>2548</v>
      </c>
      <c r="AC356" s="17">
        <f t="shared" si="55"/>
        <v>0.18146311948593513</v>
      </c>
      <c r="AD356" s="11">
        <f t="shared" si="56"/>
        <v>1862.5714285714287</v>
      </c>
      <c r="AE356" s="11">
        <f t="shared" si="57"/>
        <v>2122.4285714285716</v>
      </c>
      <c r="AF356" s="28">
        <f t="shared" si="64"/>
        <v>1.139515263077159</v>
      </c>
      <c r="AG356" s="42">
        <f t="shared" si="58"/>
        <v>0.47038400504411249</v>
      </c>
      <c r="AH356" s="14" t="str">
        <f t="shared" si="59"/>
        <v>-</v>
      </c>
      <c r="AI356" s="11">
        <f t="shared" si="60"/>
        <v>312</v>
      </c>
      <c r="AJ356" s="11">
        <f t="shared" si="61"/>
        <v>312</v>
      </c>
      <c r="AK356" s="11">
        <f t="shared" si="62"/>
        <v>0.58345708317971645</v>
      </c>
      <c r="AL356" s="42">
        <f t="shared" si="63"/>
        <v>0.58251137666243857</v>
      </c>
      <c r="AM356" s="14" t="str">
        <f t="shared" si="65"/>
        <v/>
      </c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</row>
    <row r="357" spans="1:56" ht="27" customHeight="1" x14ac:dyDescent="0.2">
      <c r="A357" s="9" t="s">
        <v>356</v>
      </c>
      <c r="B357" s="11">
        <v>1174</v>
      </c>
      <c r="C357" s="2">
        <v>678.60271530831994</v>
      </c>
      <c r="D357" s="2">
        <v>10.175719607843099</v>
      </c>
      <c r="E357" s="2">
        <v>-2</v>
      </c>
      <c r="F357" s="12" t="s">
        <v>280</v>
      </c>
      <c r="G357" s="12" t="s">
        <v>204</v>
      </c>
      <c r="H357" s="5"/>
      <c r="I357" s="11">
        <v>1342</v>
      </c>
      <c r="J357" s="11">
        <v>1885</v>
      </c>
      <c r="K357" s="11">
        <v>2575</v>
      </c>
      <c r="L357" s="11">
        <v>1621</v>
      </c>
      <c r="M357" s="11">
        <v>1498</v>
      </c>
      <c r="N357" s="11">
        <v>1600</v>
      </c>
      <c r="O357" s="11">
        <v>2787</v>
      </c>
      <c r="P357" s="11"/>
      <c r="Q357" s="11">
        <v>1348</v>
      </c>
      <c r="R357" s="11">
        <v>1454</v>
      </c>
      <c r="S357" s="11">
        <v>1275</v>
      </c>
      <c r="T357" s="11">
        <v>1892</v>
      </c>
      <c r="U357" s="11">
        <v>1649</v>
      </c>
      <c r="V357" s="11">
        <v>2022</v>
      </c>
      <c r="W357" s="11">
        <v>2438</v>
      </c>
      <c r="X357" s="11"/>
      <c r="Y357" s="11">
        <v>0</v>
      </c>
      <c r="Z357" s="11">
        <v>1945</v>
      </c>
      <c r="AA357" s="11">
        <v>1852</v>
      </c>
      <c r="AB357" s="11">
        <v>2369</v>
      </c>
      <c r="AC357" s="17">
        <f t="shared" si="55"/>
        <v>0.13408750027349944</v>
      </c>
      <c r="AD357" s="11">
        <f t="shared" si="56"/>
        <v>1901.1428571428571</v>
      </c>
      <c r="AE357" s="11">
        <f t="shared" si="57"/>
        <v>1725.4285714285713</v>
      </c>
      <c r="AF357" s="28">
        <f t="shared" si="64"/>
        <v>0.90757439134355267</v>
      </c>
      <c r="AG357" s="42">
        <f t="shared" si="58"/>
        <v>0.51958354382059291</v>
      </c>
      <c r="AH357" s="14" t="str">
        <f t="shared" si="59"/>
        <v>-</v>
      </c>
      <c r="AI357" s="11">
        <f t="shared" si="60"/>
        <v>327</v>
      </c>
      <c r="AJ357" s="11">
        <f t="shared" si="61"/>
        <v>327</v>
      </c>
      <c r="AK357" s="11">
        <f t="shared" si="62"/>
        <v>0.61491997387941733</v>
      </c>
      <c r="AL357" s="42">
        <f t="shared" si="63"/>
        <v>0.61307583461299286</v>
      </c>
      <c r="AM357" s="14" t="str">
        <f t="shared" si="65"/>
        <v/>
      </c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</row>
    <row r="358" spans="1:56" ht="27" customHeight="1" x14ac:dyDescent="0.2">
      <c r="A358" s="9" t="s">
        <v>356</v>
      </c>
      <c r="B358" s="11">
        <v>1785</v>
      </c>
      <c r="C358" s="2">
        <v>704.61826292830699</v>
      </c>
      <c r="D358" s="2">
        <v>10.188641111111</v>
      </c>
      <c r="E358" s="2">
        <v>-2</v>
      </c>
      <c r="F358" s="12" t="s">
        <v>305</v>
      </c>
      <c r="G358" s="12" t="s">
        <v>204</v>
      </c>
      <c r="H358" s="5"/>
      <c r="I358" s="11">
        <v>673</v>
      </c>
      <c r="J358" s="11">
        <v>694</v>
      </c>
      <c r="K358" s="11">
        <v>1157</v>
      </c>
      <c r="L358" s="11">
        <v>767</v>
      </c>
      <c r="M358" s="11">
        <v>756</v>
      </c>
      <c r="N358" s="11">
        <v>796</v>
      </c>
      <c r="O358" s="11">
        <v>1541</v>
      </c>
      <c r="P358" s="11"/>
      <c r="Q358" s="11">
        <v>1180</v>
      </c>
      <c r="R358" s="11">
        <v>772</v>
      </c>
      <c r="S358" s="11">
        <v>850</v>
      </c>
      <c r="T358" s="11">
        <v>1329</v>
      </c>
      <c r="U358" s="11">
        <v>1497</v>
      </c>
      <c r="V358" s="11">
        <v>1389</v>
      </c>
      <c r="W358" s="11">
        <v>1413</v>
      </c>
      <c r="X358" s="11"/>
      <c r="Y358" s="11">
        <v>0</v>
      </c>
      <c r="Z358" s="11">
        <v>1044</v>
      </c>
      <c r="AA358" s="11">
        <v>1393</v>
      </c>
      <c r="AB358" s="11">
        <v>1738</v>
      </c>
      <c r="AC358" s="17">
        <f t="shared" si="55"/>
        <v>0.24934269788570196</v>
      </c>
      <c r="AD358" s="11">
        <f t="shared" si="56"/>
        <v>912</v>
      </c>
      <c r="AE358" s="11">
        <f t="shared" si="57"/>
        <v>1204.2857142857142</v>
      </c>
      <c r="AF358" s="28">
        <f t="shared" si="64"/>
        <v>1.3204887218045112</v>
      </c>
      <c r="AG358" s="42">
        <f t="shared" si="58"/>
        <v>9.7843842863805125E-2</v>
      </c>
      <c r="AH358" s="14" t="str">
        <f t="shared" si="59"/>
        <v>-</v>
      </c>
      <c r="AI358" s="11">
        <f t="shared" si="60"/>
        <v>192</v>
      </c>
      <c r="AJ358" s="11">
        <f t="shared" si="61"/>
        <v>192</v>
      </c>
      <c r="AK358" s="11">
        <f t="shared" si="62"/>
        <v>0.1972164957723572</v>
      </c>
      <c r="AL358" s="42">
        <f t="shared" si="63"/>
        <v>0.19642422013057473</v>
      </c>
      <c r="AM358" s="14" t="str">
        <f t="shared" si="65"/>
        <v/>
      </c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</row>
    <row r="359" spans="1:56" ht="27" customHeight="1" x14ac:dyDescent="0.2">
      <c r="A359" s="9" t="s">
        <v>356</v>
      </c>
      <c r="B359" s="11">
        <v>2047</v>
      </c>
      <c r="C359" s="2">
        <v>692.61922062753297</v>
      </c>
      <c r="D359" s="2">
        <v>10.6066435897436</v>
      </c>
      <c r="E359" s="2">
        <v>-1</v>
      </c>
      <c r="F359" s="12" t="s">
        <v>324</v>
      </c>
      <c r="G359" s="12" t="s">
        <v>204</v>
      </c>
      <c r="H359" s="5"/>
      <c r="I359" s="11">
        <v>501</v>
      </c>
      <c r="J359" s="11">
        <v>933</v>
      </c>
      <c r="K359" s="11">
        <v>1247</v>
      </c>
      <c r="L359" s="11">
        <v>897</v>
      </c>
      <c r="M359" s="11">
        <v>795</v>
      </c>
      <c r="N359" s="11">
        <v>792</v>
      </c>
      <c r="O359" s="11">
        <v>1473</v>
      </c>
      <c r="P359" s="11"/>
      <c r="Q359" s="11">
        <v>776</v>
      </c>
      <c r="R359" s="11">
        <v>770</v>
      </c>
      <c r="S359" s="11">
        <v>609</v>
      </c>
      <c r="T359" s="11">
        <v>1465</v>
      </c>
      <c r="U359" s="11">
        <v>1128</v>
      </c>
      <c r="V359" s="11">
        <v>1022</v>
      </c>
      <c r="W359" s="11">
        <v>1436</v>
      </c>
      <c r="X359" s="11"/>
      <c r="Y359" s="11">
        <v>0</v>
      </c>
      <c r="Z359" s="11">
        <v>1107</v>
      </c>
      <c r="AA359" s="11">
        <v>1075</v>
      </c>
      <c r="AB359" s="11">
        <v>1491</v>
      </c>
      <c r="AC359" s="17">
        <f t="shared" si="55"/>
        <v>0.18907734855832933</v>
      </c>
      <c r="AD359" s="11">
        <f t="shared" si="56"/>
        <v>948.28571428571433</v>
      </c>
      <c r="AE359" s="11">
        <f t="shared" si="57"/>
        <v>1029.4285714285713</v>
      </c>
      <c r="AF359" s="28">
        <f t="shared" si="64"/>
        <v>1.0855679421512503</v>
      </c>
      <c r="AG359" s="42">
        <f t="shared" si="58"/>
        <v>0.65147644228530621</v>
      </c>
      <c r="AH359" s="14" t="str">
        <f t="shared" si="59"/>
        <v>-</v>
      </c>
      <c r="AI359" s="11">
        <f t="shared" si="60"/>
        <v>341</v>
      </c>
      <c r="AJ359" s="11">
        <f t="shared" si="61"/>
        <v>341</v>
      </c>
      <c r="AK359" s="11">
        <f t="shared" si="62"/>
        <v>0.7393588949103036</v>
      </c>
      <c r="AL359" s="42">
        <f t="shared" si="63"/>
        <v>0.7393588949103036</v>
      </c>
      <c r="AM359" s="14" t="str">
        <f t="shared" si="65"/>
        <v/>
      </c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</row>
    <row r="360" spans="1:56" ht="27" customHeight="1" x14ac:dyDescent="0.2">
      <c r="A360" s="9" t="s">
        <v>356</v>
      </c>
      <c r="B360" s="11">
        <v>2049</v>
      </c>
      <c r="C360" s="2">
        <v>706.63374972937004</v>
      </c>
      <c r="D360" s="2">
        <v>11.0562692307691</v>
      </c>
      <c r="E360" s="2">
        <v>-1</v>
      </c>
      <c r="F360" s="12" t="s">
        <v>316</v>
      </c>
      <c r="G360" s="12" t="s">
        <v>204</v>
      </c>
      <c r="H360" s="5"/>
      <c r="I360" s="11">
        <v>781</v>
      </c>
      <c r="J360" s="11">
        <v>700</v>
      </c>
      <c r="K360" s="11">
        <v>1349</v>
      </c>
      <c r="L360" s="11">
        <v>1104</v>
      </c>
      <c r="M360" s="11">
        <v>728</v>
      </c>
      <c r="N360" s="11">
        <v>755</v>
      </c>
      <c r="O360" s="11">
        <v>1126</v>
      </c>
      <c r="P360" s="11"/>
      <c r="Q360" s="11">
        <v>730</v>
      </c>
      <c r="R360" s="11">
        <v>1341</v>
      </c>
      <c r="S360" s="11">
        <v>837</v>
      </c>
      <c r="T360" s="11">
        <v>1490</v>
      </c>
      <c r="U360" s="11">
        <v>1064</v>
      </c>
      <c r="V360" s="11">
        <v>1059</v>
      </c>
      <c r="W360" s="11">
        <v>1153</v>
      </c>
      <c r="X360" s="11"/>
      <c r="Y360" s="11">
        <v>0</v>
      </c>
      <c r="Z360" s="11">
        <v>1015</v>
      </c>
      <c r="AA360" s="11">
        <v>958</v>
      </c>
      <c r="AB360" s="11">
        <v>1312</v>
      </c>
      <c r="AC360" s="17">
        <f t="shared" si="55"/>
        <v>0.17358566252881139</v>
      </c>
      <c r="AD360" s="11">
        <f t="shared" si="56"/>
        <v>934.71428571428567</v>
      </c>
      <c r="AE360" s="11">
        <f t="shared" si="57"/>
        <v>1096.2857142857142</v>
      </c>
      <c r="AF360" s="28">
        <f t="shared" si="64"/>
        <v>1.1728564878496102</v>
      </c>
      <c r="AG360" s="42">
        <f t="shared" si="58"/>
        <v>0.26801182330445339</v>
      </c>
      <c r="AH360" s="14" t="str">
        <f t="shared" si="59"/>
        <v>-</v>
      </c>
      <c r="AI360" s="11">
        <f t="shared" si="60"/>
        <v>260</v>
      </c>
      <c r="AJ360" s="11">
        <f t="shared" si="61"/>
        <v>260</v>
      </c>
      <c r="AK360" s="11">
        <f t="shared" si="62"/>
        <v>0.3989252908416287</v>
      </c>
      <c r="AL360" s="42">
        <f t="shared" si="63"/>
        <v>0.3989252908416287</v>
      </c>
      <c r="AM360" s="14" t="str">
        <f t="shared" si="65"/>
        <v/>
      </c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</row>
    <row r="361" spans="1:56" ht="27" customHeight="1" x14ac:dyDescent="0.2">
      <c r="A361" s="9" t="s">
        <v>356</v>
      </c>
      <c r="B361" s="11">
        <v>2518</v>
      </c>
      <c r="C361" s="2">
        <v>666.60377586965899</v>
      </c>
      <c r="D361" s="2">
        <v>10.4023455555556</v>
      </c>
      <c r="E361" s="2">
        <v>-1</v>
      </c>
      <c r="F361" s="12" t="s">
        <v>593</v>
      </c>
      <c r="G361" s="12" t="s">
        <v>204</v>
      </c>
      <c r="H361" s="5"/>
      <c r="I361" s="11">
        <v>848</v>
      </c>
      <c r="J361" s="11">
        <v>1193</v>
      </c>
      <c r="K361" s="11">
        <v>934</v>
      </c>
      <c r="L361" s="11">
        <v>1031</v>
      </c>
      <c r="M361" s="11">
        <v>713</v>
      </c>
      <c r="N361" s="11">
        <v>686</v>
      </c>
      <c r="O361" s="11">
        <v>1129</v>
      </c>
      <c r="P361" s="11"/>
      <c r="Q361" s="11">
        <v>521</v>
      </c>
      <c r="R361" s="11">
        <v>657</v>
      </c>
      <c r="S361" s="11">
        <v>549</v>
      </c>
      <c r="T361" s="11">
        <v>808</v>
      </c>
      <c r="U361" s="11">
        <v>795</v>
      </c>
      <c r="V361" s="11">
        <v>867</v>
      </c>
      <c r="W361" s="11">
        <v>790</v>
      </c>
      <c r="X361" s="11"/>
      <c r="Y361" s="11">
        <v>0</v>
      </c>
      <c r="Z361" s="11">
        <v>1030</v>
      </c>
      <c r="AA361" s="11">
        <v>872</v>
      </c>
      <c r="AB361" s="11">
        <v>697</v>
      </c>
      <c r="AC361" s="17">
        <f t="shared" si="55"/>
        <v>0.19227276639693605</v>
      </c>
      <c r="AD361" s="11">
        <f t="shared" si="56"/>
        <v>933.42857142857144</v>
      </c>
      <c r="AE361" s="11">
        <f t="shared" si="57"/>
        <v>712.42857142857144</v>
      </c>
      <c r="AF361" s="28">
        <f t="shared" si="64"/>
        <v>0.76323844505662686</v>
      </c>
      <c r="AG361" s="42">
        <f t="shared" si="58"/>
        <v>3.338089476714675E-2</v>
      </c>
      <c r="AH361" s="14" t="str">
        <f t="shared" si="59"/>
        <v>*</v>
      </c>
      <c r="AI361" s="11">
        <f t="shared" si="60"/>
        <v>139</v>
      </c>
      <c r="AJ361" s="11">
        <f t="shared" si="61"/>
        <v>139</v>
      </c>
      <c r="AK361" s="11">
        <f t="shared" si="62"/>
        <v>9.2938174639466131E-2</v>
      </c>
      <c r="AL361" s="42">
        <f t="shared" si="63"/>
        <v>9.2289142428524734E-2</v>
      </c>
      <c r="AM361" s="14" t="str">
        <f t="shared" si="65"/>
        <v>*</v>
      </c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</row>
    <row r="362" spans="1:56" ht="27" customHeight="1" x14ac:dyDescent="0.2">
      <c r="A362" s="9" t="s">
        <v>356</v>
      </c>
      <c r="B362" s="11">
        <v>3570</v>
      </c>
      <c r="C362" s="2">
        <v>618.47765877219501</v>
      </c>
      <c r="D362" s="2">
        <v>6.8263537037036599</v>
      </c>
      <c r="E362" s="2">
        <v>-1</v>
      </c>
      <c r="F362" s="12" t="s">
        <v>663</v>
      </c>
      <c r="G362" s="12" t="s">
        <v>664</v>
      </c>
      <c r="H362" s="5"/>
      <c r="I362" s="11">
        <v>320</v>
      </c>
      <c r="J362" s="11">
        <v>265</v>
      </c>
      <c r="K362" s="11">
        <v>491</v>
      </c>
      <c r="L362" s="11">
        <v>212</v>
      </c>
      <c r="M362" s="11">
        <v>849</v>
      </c>
      <c r="N362" s="11">
        <v>513</v>
      </c>
      <c r="O362" s="11">
        <v>376</v>
      </c>
      <c r="P362" s="11"/>
      <c r="Q362" s="11">
        <v>456</v>
      </c>
      <c r="R362" s="11">
        <v>549</v>
      </c>
      <c r="S362" s="11">
        <v>560</v>
      </c>
      <c r="T362" s="11">
        <v>540</v>
      </c>
      <c r="U362" s="11">
        <v>761</v>
      </c>
      <c r="V362" s="11">
        <v>568</v>
      </c>
      <c r="W362" s="11">
        <v>407</v>
      </c>
      <c r="X362" s="11"/>
      <c r="Y362" s="11">
        <v>37</v>
      </c>
      <c r="Z362" s="11">
        <v>393</v>
      </c>
      <c r="AA362" s="11">
        <v>482</v>
      </c>
      <c r="AB362" s="11">
        <v>359</v>
      </c>
      <c r="AC362" s="17">
        <f t="shared" si="55"/>
        <v>0.15441588836582418</v>
      </c>
      <c r="AD362" s="11">
        <f t="shared" si="56"/>
        <v>432.28571428571428</v>
      </c>
      <c r="AE362" s="11">
        <f t="shared" si="57"/>
        <v>548.71428571428567</v>
      </c>
      <c r="AF362" s="28">
        <f t="shared" si="64"/>
        <v>1.2693324520819562</v>
      </c>
      <c r="AG362" s="42">
        <f t="shared" si="58"/>
        <v>0.23418695120091959</v>
      </c>
      <c r="AH362" s="14" t="str">
        <f t="shared" si="59"/>
        <v>-</v>
      </c>
      <c r="AI362" s="11">
        <f t="shared" si="60"/>
        <v>250</v>
      </c>
      <c r="AJ362" s="11">
        <f t="shared" si="61"/>
        <v>250</v>
      </c>
      <c r="AK362" s="11">
        <f t="shared" si="62"/>
        <v>0.36252140045902354</v>
      </c>
      <c r="AL362" s="42">
        <f t="shared" si="63"/>
        <v>0.36232973884591996</v>
      </c>
      <c r="AM362" s="14" t="str">
        <f t="shared" si="65"/>
        <v/>
      </c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</row>
    <row r="363" spans="1:56" ht="27" customHeight="1" x14ac:dyDescent="0.2">
      <c r="A363" s="9" t="s">
        <v>356</v>
      </c>
      <c r="B363" s="11">
        <v>46</v>
      </c>
      <c r="C363" s="2">
        <v>761.57990339449304</v>
      </c>
      <c r="D363" s="2">
        <v>7.5723872549019404</v>
      </c>
      <c r="E363" s="2">
        <v>-1</v>
      </c>
      <c r="F363" s="12" t="s">
        <v>56</v>
      </c>
      <c r="G363" s="12" t="s">
        <v>57</v>
      </c>
      <c r="H363" s="5"/>
      <c r="I363" s="11">
        <v>55579</v>
      </c>
      <c r="J363" s="11">
        <v>57439</v>
      </c>
      <c r="K363" s="11">
        <v>78784</v>
      </c>
      <c r="L363" s="11">
        <v>58720</v>
      </c>
      <c r="M363" s="11">
        <v>64601</v>
      </c>
      <c r="N363" s="11">
        <v>78077</v>
      </c>
      <c r="O363" s="11">
        <v>76673</v>
      </c>
      <c r="P363" s="11"/>
      <c r="Q363" s="11">
        <v>93202</v>
      </c>
      <c r="R363" s="11">
        <v>121370</v>
      </c>
      <c r="S363" s="11">
        <v>86269</v>
      </c>
      <c r="T363" s="11">
        <v>117195</v>
      </c>
      <c r="U363" s="11">
        <v>113340</v>
      </c>
      <c r="V363" s="11">
        <v>109532</v>
      </c>
      <c r="W363" s="11">
        <v>125867</v>
      </c>
      <c r="X363" s="11"/>
      <c r="Y363" s="11">
        <v>0</v>
      </c>
      <c r="Z363" s="11">
        <v>85512</v>
      </c>
      <c r="AA363" s="11">
        <v>97673</v>
      </c>
      <c r="AB363" s="11">
        <v>90696</v>
      </c>
      <c r="AC363" s="17">
        <f t="shared" si="55"/>
        <v>6.6844615116597811E-2</v>
      </c>
      <c r="AD363" s="11">
        <f t="shared" si="56"/>
        <v>67124.71428571429</v>
      </c>
      <c r="AE363" s="11">
        <f t="shared" si="57"/>
        <v>109539.28571428571</v>
      </c>
      <c r="AF363" s="28">
        <f t="shared" si="64"/>
        <v>1.6318771242442105</v>
      </c>
      <c r="AG363" s="42">
        <f t="shared" si="58"/>
        <v>6.774590458406882E-5</v>
      </c>
      <c r="AH363" s="14" t="str">
        <f t="shared" si="59"/>
        <v>***</v>
      </c>
      <c r="AI363" s="11">
        <f t="shared" si="60"/>
        <v>3</v>
      </c>
      <c r="AJ363" s="11">
        <f t="shared" si="61"/>
        <v>3</v>
      </c>
      <c r="AK363" s="11">
        <f t="shared" si="62"/>
        <v>8.7392216913448773E-3</v>
      </c>
      <c r="AL363" s="42">
        <f t="shared" si="63"/>
        <v>6.4321232640629205E-3</v>
      </c>
      <c r="AM363" s="14" t="str">
        <f t="shared" si="65"/>
        <v>**</v>
      </c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</row>
    <row r="364" spans="1:56" ht="27" customHeight="1" x14ac:dyDescent="0.2">
      <c r="A364" s="9" t="s">
        <v>356</v>
      </c>
      <c r="B364" s="11">
        <v>58</v>
      </c>
      <c r="C364" s="2">
        <v>817.64349625273303</v>
      </c>
      <c r="D364" s="2">
        <v>8.7449774509804108</v>
      </c>
      <c r="E364" s="2">
        <v>-1</v>
      </c>
      <c r="F364" s="12" t="s">
        <v>58</v>
      </c>
      <c r="G364" s="12" t="s">
        <v>57</v>
      </c>
      <c r="H364" s="5"/>
      <c r="I364" s="11">
        <v>43857</v>
      </c>
      <c r="J364" s="11">
        <v>48976</v>
      </c>
      <c r="K364" s="11">
        <v>59381</v>
      </c>
      <c r="L364" s="11">
        <v>52385</v>
      </c>
      <c r="M364" s="11">
        <v>63238</v>
      </c>
      <c r="N364" s="11">
        <v>67400</v>
      </c>
      <c r="O364" s="11">
        <v>70527</v>
      </c>
      <c r="P364" s="11"/>
      <c r="Q364" s="11">
        <v>64260</v>
      </c>
      <c r="R364" s="11">
        <v>56106</v>
      </c>
      <c r="S364" s="11">
        <v>50980</v>
      </c>
      <c r="T364" s="11">
        <v>77407</v>
      </c>
      <c r="U364" s="11">
        <v>83086</v>
      </c>
      <c r="V364" s="11">
        <v>73701</v>
      </c>
      <c r="W364" s="11">
        <v>88839</v>
      </c>
      <c r="X364" s="11"/>
      <c r="Y364" s="11">
        <v>0</v>
      </c>
      <c r="Z364" s="11">
        <v>64110</v>
      </c>
      <c r="AA364" s="11">
        <v>69102</v>
      </c>
      <c r="AB364" s="11">
        <v>85302</v>
      </c>
      <c r="AC364" s="17">
        <f t="shared" si="55"/>
        <v>0.15210420407941458</v>
      </c>
      <c r="AD364" s="11">
        <f t="shared" si="56"/>
        <v>57966.285714285717</v>
      </c>
      <c r="AE364" s="11">
        <f t="shared" si="57"/>
        <v>70625.571428571435</v>
      </c>
      <c r="AF364" s="28">
        <f t="shared" si="64"/>
        <v>1.2183904929959286</v>
      </c>
      <c r="AG364" s="42">
        <f t="shared" si="58"/>
        <v>7.7431167632236203E-2</v>
      </c>
      <c r="AH364" s="14" t="str">
        <f t="shared" si="59"/>
        <v>-</v>
      </c>
      <c r="AI364" s="11">
        <f t="shared" si="60"/>
        <v>183</v>
      </c>
      <c r="AJ364" s="11">
        <f t="shared" si="61"/>
        <v>183</v>
      </c>
      <c r="AK364" s="11">
        <f t="shared" si="62"/>
        <v>0.16374787909112246</v>
      </c>
      <c r="AL364" s="42">
        <f t="shared" si="63"/>
        <v>0.16374787909112246</v>
      </c>
      <c r="AM364" s="14" t="str">
        <f t="shared" si="65"/>
        <v/>
      </c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</row>
    <row r="365" spans="1:56" ht="27" customHeight="1" x14ac:dyDescent="0.2">
      <c r="A365" s="9" t="s">
        <v>356</v>
      </c>
      <c r="B365" s="11">
        <v>83</v>
      </c>
      <c r="C365" s="2">
        <v>845.67414907716204</v>
      </c>
      <c r="D365" s="2">
        <v>9.4706715686274698</v>
      </c>
      <c r="E365" s="2">
        <v>-1</v>
      </c>
      <c r="F365" s="12" t="s">
        <v>74</v>
      </c>
      <c r="G365" s="12" t="s">
        <v>57</v>
      </c>
      <c r="H365" s="5"/>
      <c r="I365" s="11">
        <v>30392</v>
      </c>
      <c r="J365" s="11">
        <v>29195</v>
      </c>
      <c r="K365" s="11">
        <v>46027</v>
      </c>
      <c r="L365" s="11">
        <v>37320</v>
      </c>
      <c r="M365" s="11">
        <v>46543</v>
      </c>
      <c r="N365" s="11">
        <v>45493</v>
      </c>
      <c r="O365" s="11">
        <v>53862</v>
      </c>
      <c r="P365" s="11"/>
      <c r="Q365" s="11">
        <v>37696</v>
      </c>
      <c r="R365" s="11">
        <v>40676</v>
      </c>
      <c r="S365" s="11">
        <v>30025</v>
      </c>
      <c r="T365" s="11">
        <v>44654</v>
      </c>
      <c r="U365" s="11">
        <v>49682</v>
      </c>
      <c r="V365" s="11">
        <v>42342</v>
      </c>
      <c r="W365" s="11">
        <v>55161</v>
      </c>
      <c r="X365" s="11"/>
      <c r="Y365" s="11">
        <v>0</v>
      </c>
      <c r="Z365" s="11">
        <v>41810</v>
      </c>
      <c r="AA365" s="11">
        <v>44415</v>
      </c>
      <c r="AB365" s="11">
        <v>48522</v>
      </c>
      <c r="AC365" s="17">
        <f t="shared" si="55"/>
        <v>7.5338827534608591E-2</v>
      </c>
      <c r="AD365" s="11">
        <f t="shared" si="56"/>
        <v>41261.714285714283</v>
      </c>
      <c r="AE365" s="11">
        <f t="shared" si="57"/>
        <v>42890.857142857145</v>
      </c>
      <c r="AF365" s="28">
        <f t="shared" si="64"/>
        <v>1.0394831597606915</v>
      </c>
      <c r="AG365" s="42">
        <f t="shared" si="58"/>
        <v>0.73165744407881328</v>
      </c>
      <c r="AH365" s="14" t="str">
        <f t="shared" si="59"/>
        <v>-</v>
      </c>
      <c r="AI365" s="11">
        <f t="shared" si="60"/>
        <v>353</v>
      </c>
      <c r="AJ365" s="11">
        <f t="shared" si="61"/>
        <v>353</v>
      </c>
      <c r="AK365" s="11">
        <f t="shared" si="62"/>
        <v>0.80212869931586617</v>
      </c>
      <c r="AL365" s="42">
        <f t="shared" si="63"/>
        <v>0.80212869931586617</v>
      </c>
      <c r="AM365" s="14" t="str">
        <f t="shared" si="65"/>
        <v/>
      </c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</row>
    <row r="366" spans="1:56" ht="27" customHeight="1" x14ac:dyDescent="0.2">
      <c r="A366" s="9" t="s">
        <v>356</v>
      </c>
      <c r="B366" s="11">
        <v>88</v>
      </c>
      <c r="C366" s="2">
        <v>871.69014160314703</v>
      </c>
      <c r="D366" s="2">
        <v>9.4679852941175806</v>
      </c>
      <c r="E366" s="2">
        <v>-1</v>
      </c>
      <c r="F366" s="12" t="s">
        <v>83</v>
      </c>
      <c r="G366" s="12" t="s">
        <v>57</v>
      </c>
      <c r="H366" s="5"/>
      <c r="I366" s="11">
        <v>20684</v>
      </c>
      <c r="J366" s="11">
        <v>19036</v>
      </c>
      <c r="K366" s="11">
        <v>33214</v>
      </c>
      <c r="L366" s="11">
        <v>27674</v>
      </c>
      <c r="M366" s="11">
        <v>27594</v>
      </c>
      <c r="N366" s="11">
        <v>30541</v>
      </c>
      <c r="O366" s="11">
        <v>33819</v>
      </c>
      <c r="P366" s="11"/>
      <c r="Q366" s="11">
        <v>32359</v>
      </c>
      <c r="R366" s="11">
        <v>37087</v>
      </c>
      <c r="S366" s="11">
        <v>24222</v>
      </c>
      <c r="T366" s="11">
        <v>41130</v>
      </c>
      <c r="U366" s="11">
        <v>45952</v>
      </c>
      <c r="V366" s="11">
        <v>40373</v>
      </c>
      <c r="W366" s="11">
        <v>51524</v>
      </c>
      <c r="X366" s="11"/>
      <c r="Y366" s="11">
        <v>0</v>
      </c>
      <c r="Z366" s="11">
        <v>34808</v>
      </c>
      <c r="AA366" s="11">
        <v>36150</v>
      </c>
      <c r="AB366" s="11">
        <v>36027</v>
      </c>
      <c r="AC366" s="17">
        <f t="shared" si="55"/>
        <v>2.0802466155805235E-2</v>
      </c>
      <c r="AD366" s="11">
        <f t="shared" si="56"/>
        <v>27508.857142857141</v>
      </c>
      <c r="AE366" s="11">
        <f t="shared" si="57"/>
        <v>38949.571428571428</v>
      </c>
      <c r="AF366" s="28">
        <f t="shared" si="64"/>
        <v>1.4158920243869508</v>
      </c>
      <c r="AG366" s="42">
        <f t="shared" si="58"/>
        <v>1.6873661294115421E-2</v>
      </c>
      <c r="AH366" s="14" t="str">
        <f t="shared" si="59"/>
        <v>*</v>
      </c>
      <c r="AI366" s="11">
        <f t="shared" si="60"/>
        <v>104</v>
      </c>
      <c r="AJ366" s="11">
        <f t="shared" si="61"/>
        <v>104</v>
      </c>
      <c r="AK366" s="11">
        <f t="shared" si="62"/>
        <v>6.2789489623294878E-2</v>
      </c>
      <c r="AL366" s="42">
        <f t="shared" si="63"/>
        <v>6.1851950472227211E-2</v>
      </c>
      <c r="AM366" s="14" t="str">
        <f t="shared" si="65"/>
        <v>*</v>
      </c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</row>
    <row r="367" spans="1:56" ht="27" customHeight="1" x14ac:dyDescent="0.2">
      <c r="A367" s="9" t="s">
        <v>356</v>
      </c>
      <c r="B367" s="11">
        <v>105</v>
      </c>
      <c r="C367" s="2">
        <v>789.61200718146904</v>
      </c>
      <c r="D367" s="2">
        <v>8.1129460784313494</v>
      </c>
      <c r="E367" s="2">
        <v>-2</v>
      </c>
      <c r="F367" s="12" t="s">
        <v>85</v>
      </c>
      <c r="G367" s="12" t="s">
        <v>57</v>
      </c>
      <c r="H367" s="5"/>
      <c r="I367" s="11">
        <v>15932</v>
      </c>
      <c r="J367" s="11">
        <v>18621</v>
      </c>
      <c r="K367" s="11">
        <v>25079</v>
      </c>
      <c r="L367" s="11">
        <v>18902</v>
      </c>
      <c r="M367" s="11">
        <v>22036</v>
      </c>
      <c r="N367" s="11">
        <v>28449</v>
      </c>
      <c r="O367" s="11">
        <v>25159</v>
      </c>
      <c r="P367" s="11"/>
      <c r="Q367" s="11">
        <v>32144</v>
      </c>
      <c r="R367" s="11">
        <v>30369</v>
      </c>
      <c r="S367" s="11">
        <v>29225</v>
      </c>
      <c r="T367" s="11">
        <v>32976</v>
      </c>
      <c r="U367" s="11">
        <v>37324</v>
      </c>
      <c r="V367" s="11">
        <v>33298</v>
      </c>
      <c r="W367" s="11">
        <v>42329</v>
      </c>
      <c r="X367" s="11"/>
      <c r="Y367" s="11">
        <v>80</v>
      </c>
      <c r="Z367" s="11">
        <v>27332</v>
      </c>
      <c r="AA367" s="11">
        <v>27271</v>
      </c>
      <c r="AB367" s="11">
        <v>34582</v>
      </c>
      <c r="AC367" s="17">
        <f t="shared" si="55"/>
        <v>0.14139740834954545</v>
      </c>
      <c r="AD367" s="11">
        <f t="shared" si="56"/>
        <v>22025.428571428572</v>
      </c>
      <c r="AE367" s="11">
        <f t="shared" si="57"/>
        <v>33952.142857142855</v>
      </c>
      <c r="AF367" s="28">
        <f t="shared" si="64"/>
        <v>1.5414974899142548</v>
      </c>
      <c r="AG367" s="42">
        <f t="shared" si="58"/>
        <v>3.1642336614644419E-4</v>
      </c>
      <c r="AH367" s="14" t="str">
        <f t="shared" si="59"/>
        <v>***</v>
      </c>
      <c r="AI367" s="11">
        <f t="shared" si="60"/>
        <v>9</v>
      </c>
      <c r="AJ367" s="11">
        <f t="shared" si="61"/>
        <v>9</v>
      </c>
      <c r="AK367" s="11">
        <f t="shared" si="62"/>
        <v>1.36062047442971E-2</v>
      </c>
      <c r="AL367" s="42">
        <f t="shared" si="63"/>
        <v>1.36062047442971E-2</v>
      </c>
      <c r="AM367" s="14" t="str">
        <f t="shared" si="65"/>
        <v>**</v>
      </c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</row>
    <row r="368" spans="1:56" ht="27" customHeight="1" x14ac:dyDescent="0.2">
      <c r="A368" s="9" t="s">
        <v>356</v>
      </c>
      <c r="B368" s="11">
        <v>192</v>
      </c>
      <c r="C368" s="2">
        <v>873.70600668088503</v>
      </c>
      <c r="D368" s="2">
        <v>10.2694970588235</v>
      </c>
      <c r="E368" s="2">
        <v>-1</v>
      </c>
      <c r="F368" s="12" t="s">
        <v>119</v>
      </c>
      <c r="G368" s="12" t="s">
        <v>57</v>
      </c>
      <c r="H368" s="5"/>
      <c r="I368" s="11">
        <v>7283</v>
      </c>
      <c r="J368" s="11">
        <v>8219</v>
      </c>
      <c r="K368" s="11">
        <v>15897</v>
      </c>
      <c r="L368" s="11">
        <v>10917</v>
      </c>
      <c r="M368" s="11">
        <v>10337</v>
      </c>
      <c r="N368" s="11">
        <v>11720</v>
      </c>
      <c r="O368" s="11">
        <v>13870</v>
      </c>
      <c r="P368" s="11"/>
      <c r="Q368" s="11">
        <v>12197</v>
      </c>
      <c r="R368" s="11">
        <v>15578</v>
      </c>
      <c r="S368" s="11">
        <v>10760</v>
      </c>
      <c r="T368" s="11">
        <v>16276</v>
      </c>
      <c r="U368" s="11">
        <v>17292</v>
      </c>
      <c r="V368" s="11">
        <v>15555</v>
      </c>
      <c r="W368" s="11">
        <v>20203</v>
      </c>
      <c r="X368" s="11"/>
      <c r="Y368" s="11">
        <v>0</v>
      </c>
      <c r="Z368" s="11">
        <v>12877</v>
      </c>
      <c r="AA368" s="11">
        <v>15407</v>
      </c>
      <c r="AB368" s="11">
        <v>15725</v>
      </c>
      <c r="AC368" s="17">
        <f t="shared" si="55"/>
        <v>0.10638385492518537</v>
      </c>
      <c r="AD368" s="11">
        <f t="shared" si="56"/>
        <v>11177.571428571429</v>
      </c>
      <c r="AE368" s="11">
        <f t="shared" si="57"/>
        <v>15408.714285714286</v>
      </c>
      <c r="AF368" s="28">
        <f t="shared" si="64"/>
        <v>1.3785386552151631</v>
      </c>
      <c r="AG368" s="42">
        <f t="shared" si="58"/>
        <v>2.4538748163019715E-2</v>
      </c>
      <c r="AH368" s="14" t="str">
        <f t="shared" si="59"/>
        <v>*</v>
      </c>
      <c r="AI368" s="11">
        <f t="shared" si="60"/>
        <v>120</v>
      </c>
      <c r="AJ368" s="11">
        <f t="shared" si="61"/>
        <v>120</v>
      </c>
      <c r="AK368" s="11">
        <f t="shared" si="62"/>
        <v>7.913746282573858E-2</v>
      </c>
      <c r="AL368" s="42">
        <f t="shared" si="63"/>
        <v>7.8063548834243934E-2</v>
      </c>
      <c r="AM368" s="14" t="str">
        <f t="shared" si="65"/>
        <v>*</v>
      </c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</row>
    <row r="369" spans="1:56" ht="27" customHeight="1" x14ac:dyDescent="0.2">
      <c r="A369" s="9" t="s">
        <v>356</v>
      </c>
      <c r="B369" s="11">
        <v>229</v>
      </c>
      <c r="C369" s="2">
        <v>859.68910240469495</v>
      </c>
      <c r="D369" s="2">
        <v>9.8647764705882306</v>
      </c>
      <c r="E369" s="2">
        <v>-1</v>
      </c>
      <c r="F369" s="12" t="s">
        <v>125</v>
      </c>
      <c r="G369" s="12" t="s">
        <v>57</v>
      </c>
      <c r="H369" s="5"/>
      <c r="I369" s="11">
        <v>8839</v>
      </c>
      <c r="J369" s="11">
        <v>8738</v>
      </c>
      <c r="K369" s="11">
        <v>14558</v>
      </c>
      <c r="L369" s="11">
        <v>11255</v>
      </c>
      <c r="M369" s="11">
        <v>12395</v>
      </c>
      <c r="N369" s="11">
        <v>12553</v>
      </c>
      <c r="O369" s="11">
        <v>15250</v>
      </c>
      <c r="P369" s="11"/>
      <c r="Q369" s="11">
        <v>12105</v>
      </c>
      <c r="R369" s="11">
        <v>15214</v>
      </c>
      <c r="S369" s="11">
        <v>9789</v>
      </c>
      <c r="T369" s="11">
        <v>14921</v>
      </c>
      <c r="U369" s="11">
        <v>16967</v>
      </c>
      <c r="V369" s="11">
        <v>13856</v>
      </c>
      <c r="W369" s="11">
        <v>17350</v>
      </c>
      <c r="X369" s="11"/>
      <c r="Y369" s="11">
        <v>0</v>
      </c>
      <c r="Z369" s="11">
        <v>12300</v>
      </c>
      <c r="AA369" s="11">
        <v>15090</v>
      </c>
      <c r="AB369" s="11">
        <v>15684</v>
      </c>
      <c r="AC369" s="17">
        <f t="shared" si="55"/>
        <v>0.12584321907995558</v>
      </c>
      <c r="AD369" s="11">
        <f t="shared" si="56"/>
        <v>11941.142857142857</v>
      </c>
      <c r="AE369" s="11">
        <f t="shared" si="57"/>
        <v>14314.571428571429</v>
      </c>
      <c r="AF369" s="28">
        <f t="shared" si="64"/>
        <v>1.1987605876441596</v>
      </c>
      <c r="AG369" s="42">
        <f t="shared" si="58"/>
        <v>0.1146784075340589</v>
      </c>
      <c r="AH369" s="14" t="str">
        <f t="shared" si="59"/>
        <v>-</v>
      </c>
      <c r="AI369" s="11">
        <f t="shared" si="60"/>
        <v>207</v>
      </c>
      <c r="AJ369" s="11">
        <f t="shared" si="61"/>
        <v>207</v>
      </c>
      <c r="AK369" s="11">
        <f t="shared" si="62"/>
        <v>0.21439876191150142</v>
      </c>
      <c r="AL369" s="42">
        <f t="shared" si="63"/>
        <v>0.21439876191150142</v>
      </c>
      <c r="AM369" s="14" t="str">
        <f t="shared" si="65"/>
        <v/>
      </c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</row>
    <row r="370" spans="1:56" ht="27" customHeight="1" x14ac:dyDescent="0.2">
      <c r="A370" s="9" t="s">
        <v>356</v>
      </c>
      <c r="B370" s="11">
        <v>240</v>
      </c>
      <c r="C370" s="2">
        <v>831.65835404243899</v>
      </c>
      <c r="D370" s="2">
        <v>9.0996421568627603</v>
      </c>
      <c r="E370" s="2">
        <v>-1</v>
      </c>
      <c r="F370" s="12" t="s">
        <v>126</v>
      </c>
      <c r="G370" s="12" t="s">
        <v>57</v>
      </c>
      <c r="H370" s="5"/>
      <c r="I370" s="11">
        <v>8080</v>
      </c>
      <c r="J370" s="11">
        <v>10492</v>
      </c>
      <c r="K370" s="11">
        <v>13786</v>
      </c>
      <c r="L370" s="11">
        <v>11365</v>
      </c>
      <c r="M370" s="11">
        <v>12445</v>
      </c>
      <c r="N370" s="11">
        <v>13864</v>
      </c>
      <c r="O370" s="11">
        <v>16566</v>
      </c>
      <c r="P370" s="11"/>
      <c r="Q370" s="11">
        <v>9074</v>
      </c>
      <c r="R370" s="11">
        <v>12410</v>
      </c>
      <c r="S370" s="11">
        <v>7721</v>
      </c>
      <c r="T370" s="11">
        <v>12357</v>
      </c>
      <c r="U370" s="11">
        <v>12178</v>
      </c>
      <c r="V370" s="11">
        <v>11404</v>
      </c>
      <c r="W370" s="11">
        <v>13835</v>
      </c>
      <c r="X370" s="11"/>
      <c r="Y370" s="11">
        <v>0</v>
      </c>
      <c r="Z370" s="11">
        <v>11431</v>
      </c>
      <c r="AA370" s="11">
        <v>13647</v>
      </c>
      <c r="AB370" s="11">
        <v>14403</v>
      </c>
      <c r="AC370" s="17">
        <f t="shared" si="55"/>
        <v>0.11736883597610383</v>
      </c>
      <c r="AD370" s="11">
        <f t="shared" si="56"/>
        <v>12371.142857142857</v>
      </c>
      <c r="AE370" s="11">
        <f t="shared" si="57"/>
        <v>11282.714285714286</v>
      </c>
      <c r="AF370" s="28">
        <f t="shared" si="64"/>
        <v>0.9120187533199382</v>
      </c>
      <c r="AG370" s="42">
        <f t="shared" si="58"/>
        <v>0.42331297414181257</v>
      </c>
      <c r="AH370" s="14" t="str">
        <f t="shared" si="59"/>
        <v>-</v>
      </c>
      <c r="AI370" s="11">
        <f t="shared" si="60"/>
        <v>304</v>
      </c>
      <c r="AJ370" s="11">
        <f t="shared" si="61"/>
        <v>304</v>
      </c>
      <c r="AK370" s="11">
        <f t="shared" si="62"/>
        <v>0.5388885558976364</v>
      </c>
      <c r="AL370" s="42">
        <f t="shared" si="63"/>
        <v>0.5388885558976364</v>
      </c>
      <c r="AM370" s="14" t="str">
        <f t="shared" si="65"/>
        <v/>
      </c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</row>
    <row r="371" spans="1:56" ht="27" customHeight="1" x14ac:dyDescent="0.2">
      <c r="A371" s="9" t="s">
        <v>356</v>
      </c>
      <c r="B371" s="11">
        <v>261</v>
      </c>
      <c r="C371" s="2">
        <v>843.65828615576197</v>
      </c>
      <c r="D371" s="2">
        <v>8.9268098039215893</v>
      </c>
      <c r="E371" s="2">
        <v>-2</v>
      </c>
      <c r="F371" s="12" t="s">
        <v>138</v>
      </c>
      <c r="G371" s="12" t="s">
        <v>57</v>
      </c>
      <c r="H371" s="5"/>
      <c r="I371" s="11">
        <v>7990</v>
      </c>
      <c r="J371" s="11">
        <v>8161</v>
      </c>
      <c r="K371" s="11">
        <v>11272</v>
      </c>
      <c r="L371" s="11">
        <v>10731</v>
      </c>
      <c r="M371" s="11">
        <v>11102</v>
      </c>
      <c r="N371" s="11">
        <v>10788</v>
      </c>
      <c r="O371" s="11">
        <v>14685</v>
      </c>
      <c r="P371" s="11"/>
      <c r="Q371" s="11">
        <v>9015</v>
      </c>
      <c r="R371" s="11">
        <v>11859</v>
      </c>
      <c r="S371" s="11">
        <v>8038</v>
      </c>
      <c r="T371" s="11">
        <v>10821</v>
      </c>
      <c r="U371" s="11">
        <v>9623</v>
      </c>
      <c r="V371" s="11">
        <v>10474</v>
      </c>
      <c r="W371" s="11">
        <v>9389</v>
      </c>
      <c r="X371" s="11"/>
      <c r="Y371" s="11">
        <v>0</v>
      </c>
      <c r="Z371" s="11">
        <v>9747</v>
      </c>
      <c r="AA371" s="11">
        <v>10142</v>
      </c>
      <c r="AB371" s="11">
        <v>10796</v>
      </c>
      <c r="AC371" s="17">
        <f t="shared" si="55"/>
        <v>5.1797506697180043E-2</v>
      </c>
      <c r="AD371" s="11">
        <f t="shared" si="56"/>
        <v>10675.571428571429</v>
      </c>
      <c r="AE371" s="11">
        <f t="shared" si="57"/>
        <v>9888.4285714285706</v>
      </c>
      <c r="AF371" s="28">
        <f t="shared" si="64"/>
        <v>0.92626691110546089</v>
      </c>
      <c r="AG371" s="42">
        <f t="shared" si="58"/>
        <v>0.43840122793034098</v>
      </c>
      <c r="AH371" s="14" t="str">
        <f t="shared" si="59"/>
        <v>-</v>
      </c>
      <c r="AI371" s="11">
        <f t="shared" si="60"/>
        <v>308</v>
      </c>
      <c r="AJ371" s="11">
        <f t="shared" si="61"/>
        <v>308</v>
      </c>
      <c r="AK371" s="11">
        <f t="shared" si="62"/>
        <v>0.55084829613325303</v>
      </c>
      <c r="AL371" s="42">
        <f t="shared" si="63"/>
        <v>0.55084829613325303</v>
      </c>
      <c r="AM371" s="14" t="str">
        <f t="shared" si="65"/>
        <v/>
      </c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</row>
    <row r="372" spans="1:56" ht="27" customHeight="1" x14ac:dyDescent="0.2">
      <c r="A372" s="9" t="s">
        <v>356</v>
      </c>
      <c r="B372" s="11">
        <v>310</v>
      </c>
      <c r="C372" s="2">
        <v>763.595435065993</v>
      </c>
      <c r="D372" s="2">
        <v>7.7628960784312904</v>
      </c>
      <c r="E372" s="2">
        <v>-1</v>
      </c>
      <c r="F372" s="12" t="s">
        <v>177</v>
      </c>
      <c r="G372" s="12" t="s">
        <v>57</v>
      </c>
      <c r="H372" s="5"/>
      <c r="I372" s="11">
        <v>4349</v>
      </c>
      <c r="J372" s="11">
        <v>3734</v>
      </c>
      <c r="K372" s="11">
        <v>4628</v>
      </c>
      <c r="L372" s="11">
        <v>5242</v>
      </c>
      <c r="M372" s="11">
        <v>4545</v>
      </c>
      <c r="N372" s="11">
        <v>4049</v>
      </c>
      <c r="O372" s="11">
        <v>5183</v>
      </c>
      <c r="P372" s="11"/>
      <c r="Q372" s="11">
        <v>8160</v>
      </c>
      <c r="R372" s="11">
        <v>7636</v>
      </c>
      <c r="S372" s="11">
        <v>6798</v>
      </c>
      <c r="T372" s="11">
        <v>7848</v>
      </c>
      <c r="U372" s="11">
        <v>11862</v>
      </c>
      <c r="V372" s="11">
        <v>9978</v>
      </c>
      <c r="W372" s="11">
        <v>9625</v>
      </c>
      <c r="X372" s="11"/>
      <c r="Y372" s="11">
        <v>0</v>
      </c>
      <c r="Z372" s="11">
        <v>7023</v>
      </c>
      <c r="AA372" s="11">
        <v>6484</v>
      </c>
      <c r="AB372" s="11">
        <v>8388</v>
      </c>
      <c r="AC372" s="17">
        <f t="shared" si="55"/>
        <v>0.13447006022079444</v>
      </c>
      <c r="AD372" s="11">
        <f t="shared" si="56"/>
        <v>4532.8571428571431</v>
      </c>
      <c r="AE372" s="11">
        <f t="shared" si="57"/>
        <v>8843.8571428571431</v>
      </c>
      <c r="AF372" s="28">
        <f t="shared" si="64"/>
        <v>1.9510557831705011</v>
      </c>
      <c r="AG372" s="42">
        <f t="shared" si="58"/>
        <v>3.7516359258639833E-4</v>
      </c>
      <c r="AH372" s="14" t="str">
        <f t="shared" si="59"/>
        <v>***</v>
      </c>
      <c r="AI372" s="11">
        <f t="shared" si="60"/>
        <v>10</v>
      </c>
      <c r="AJ372" s="11">
        <f t="shared" si="61"/>
        <v>10</v>
      </c>
      <c r="AK372" s="11">
        <f t="shared" si="62"/>
        <v>1.4518831033093616E-2</v>
      </c>
      <c r="AL372" s="42">
        <f t="shared" si="63"/>
        <v>1.3989347393509016E-2</v>
      </c>
      <c r="AM372" s="14" t="str">
        <f t="shared" si="65"/>
        <v>**</v>
      </c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</row>
    <row r="373" spans="1:56" ht="27" customHeight="1" x14ac:dyDescent="0.2">
      <c r="A373" s="9" t="s">
        <v>356</v>
      </c>
      <c r="B373" s="11">
        <v>402</v>
      </c>
      <c r="C373" s="2">
        <v>803.62679465089502</v>
      </c>
      <c r="D373" s="2">
        <v>8.4238104166666794</v>
      </c>
      <c r="E373" s="2">
        <v>-1</v>
      </c>
      <c r="F373" s="12" t="s">
        <v>170</v>
      </c>
      <c r="G373" s="12" t="s">
        <v>57</v>
      </c>
      <c r="H373" s="5"/>
      <c r="I373" s="11">
        <v>5155</v>
      </c>
      <c r="J373" s="11">
        <v>4016</v>
      </c>
      <c r="K373" s="11">
        <v>6617</v>
      </c>
      <c r="L373" s="11">
        <v>3349</v>
      </c>
      <c r="M373" s="11">
        <v>4614</v>
      </c>
      <c r="N373" s="11">
        <v>5704</v>
      </c>
      <c r="O373" s="11">
        <v>6326</v>
      </c>
      <c r="P373" s="11"/>
      <c r="Q373" s="11">
        <v>4296</v>
      </c>
      <c r="R373" s="11">
        <v>5315</v>
      </c>
      <c r="S373" s="11">
        <v>5119</v>
      </c>
      <c r="T373" s="11">
        <v>4957</v>
      </c>
      <c r="U373" s="11">
        <v>6883</v>
      </c>
      <c r="V373" s="11">
        <v>5720</v>
      </c>
      <c r="W373" s="11">
        <v>3046</v>
      </c>
      <c r="X373" s="11"/>
      <c r="Y373" s="11">
        <v>0</v>
      </c>
      <c r="Z373" s="11">
        <v>6937</v>
      </c>
      <c r="AA373" s="11">
        <v>5891</v>
      </c>
      <c r="AB373" s="11">
        <v>9155</v>
      </c>
      <c r="AC373" s="17">
        <f t="shared" si="55"/>
        <v>0.2274530500383023</v>
      </c>
      <c r="AD373" s="11">
        <f t="shared" si="56"/>
        <v>5111.5714285714284</v>
      </c>
      <c r="AE373" s="11">
        <f t="shared" si="57"/>
        <v>5048</v>
      </c>
      <c r="AF373" s="28">
        <f t="shared" si="64"/>
        <v>0.9875632318828429</v>
      </c>
      <c r="AG373" s="42">
        <f t="shared" si="58"/>
        <v>0.9223411565531906</v>
      </c>
      <c r="AH373" s="14" t="str">
        <f t="shared" si="59"/>
        <v>-</v>
      </c>
      <c r="AI373" s="11">
        <f t="shared" si="60"/>
        <v>379</v>
      </c>
      <c r="AJ373" s="11">
        <f t="shared" si="61"/>
        <v>379</v>
      </c>
      <c r="AK373" s="11">
        <f t="shared" si="62"/>
        <v>0.94181009917172764</v>
      </c>
      <c r="AL373" s="42">
        <f t="shared" si="63"/>
        <v>0.94181009917172764</v>
      </c>
      <c r="AM373" s="14" t="str">
        <f t="shared" si="65"/>
        <v/>
      </c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</row>
    <row r="374" spans="1:56" ht="27" customHeight="1" x14ac:dyDescent="0.2">
      <c r="A374" s="9" t="s">
        <v>356</v>
      </c>
      <c r="B374" s="11">
        <v>680</v>
      </c>
      <c r="C374" s="2">
        <v>857.67489839259395</v>
      </c>
      <c r="D374" s="2">
        <v>9.2776805555554098</v>
      </c>
      <c r="E374" s="2">
        <v>-1</v>
      </c>
      <c r="F374" s="12" t="s">
        <v>235</v>
      </c>
      <c r="G374" s="12" t="s">
        <v>57</v>
      </c>
      <c r="H374" s="5"/>
      <c r="I374" s="11">
        <v>2555</v>
      </c>
      <c r="J374" s="11">
        <v>2655</v>
      </c>
      <c r="K374" s="11">
        <v>4303</v>
      </c>
      <c r="L374" s="11">
        <v>4273</v>
      </c>
      <c r="M374" s="11">
        <v>3826</v>
      </c>
      <c r="N374" s="11">
        <v>3803</v>
      </c>
      <c r="O374" s="11">
        <v>5233</v>
      </c>
      <c r="P374" s="11"/>
      <c r="Q374" s="11">
        <v>3154</v>
      </c>
      <c r="R374" s="11">
        <v>4601</v>
      </c>
      <c r="S374" s="11">
        <v>3098</v>
      </c>
      <c r="T374" s="11">
        <v>3722</v>
      </c>
      <c r="U374" s="11">
        <v>4260</v>
      </c>
      <c r="V374" s="11">
        <v>3669</v>
      </c>
      <c r="W374" s="11">
        <v>4398</v>
      </c>
      <c r="X374" s="11"/>
      <c r="Y374" s="11">
        <v>0</v>
      </c>
      <c r="Z374" s="11">
        <v>3453</v>
      </c>
      <c r="AA374" s="11">
        <v>3451</v>
      </c>
      <c r="AB374" s="11">
        <v>4454</v>
      </c>
      <c r="AC374" s="17">
        <f t="shared" si="55"/>
        <v>0.15280132964188314</v>
      </c>
      <c r="AD374" s="11">
        <f t="shared" si="56"/>
        <v>3806.8571428571427</v>
      </c>
      <c r="AE374" s="11">
        <f t="shared" si="57"/>
        <v>3843.1428571428573</v>
      </c>
      <c r="AF374" s="28">
        <f t="shared" si="64"/>
        <v>1.0095316721705194</v>
      </c>
      <c r="AG374" s="42">
        <f t="shared" si="58"/>
        <v>0.93335048368659557</v>
      </c>
      <c r="AH374" s="14" t="str">
        <f t="shared" si="59"/>
        <v>-</v>
      </c>
      <c r="AI374" s="11">
        <f t="shared" si="60"/>
        <v>380</v>
      </c>
      <c r="AJ374" s="11">
        <f t="shared" si="61"/>
        <v>380</v>
      </c>
      <c r="AK374" s="11">
        <f t="shared" si="62"/>
        <v>0.950543782070296</v>
      </c>
      <c r="AL374" s="42">
        <f t="shared" si="63"/>
        <v>0.950543782070296</v>
      </c>
      <c r="AM374" s="14" t="str">
        <f t="shared" si="65"/>
        <v/>
      </c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</row>
    <row r="375" spans="1:56" ht="27" customHeight="1" x14ac:dyDescent="0.2">
      <c r="A375" s="9" t="s">
        <v>356</v>
      </c>
      <c r="B375" s="11">
        <v>841</v>
      </c>
      <c r="C375" s="2">
        <v>787.59600381267001</v>
      </c>
      <c r="D375" s="2">
        <v>7.7041156862745197</v>
      </c>
      <c r="E375" s="2">
        <v>-2</v>
      </c>
      <c r="F375" s="12" t="s">
        <v>234</v>
      </c>
      <c r="G375" s="12" t="s">
        <v>57</v>
      </c>
      <c r="H375" s="5"/>
      <c r="I375" s="11">
        <v>1803</v>
      </c>
      <c r="J375" s="11">
        <v>2260</v>
      </c>
      <c r="K375" s="11">
        <v>3763</v>
      </c>
      <c r="L375" s="11">
        <v>2383</v>
      </c>
      <c r="M375" s="11">
        <v>1887</v>
      </c>
      <c r="N375" s="11">
        <v>2994</v>
      </c>
      <c r="O375" s="11">
        <v>3182</v>
      </c>
      <c r="P375" s="11"/>
      <c r="Q375" s="11">
        <v>2882</v>
      </c>
      <c r="R375" s="11">
        <v>3523</v>
      </c>
      <c r="S375" s="11">
        <v>3900</v>
      </c>
      <c r="T375" s="11">
        <v>3347</v>
      </c>
      <c r="U375" s="11">
        <v>4103</v>
      </c>
      <c r="V375" s="11">
        <v>3243</v>
      </c>
      <c r="W375" s="11">
        <v>3782</v>
      </c>
      <c r="X375" s="11"/>
      <c r="Y375" s="11">
        <v>513</v>
      </c>
      <c r="Z375" s="11">
        <v>2700</v>
      </c>
      <c r="AA375" s="11">
        <v>3700</v>
      </c>
      <c r="AB375" s="11">
        <v>4069</v>
      </c>
      <c r="AC375" s="17">
        <f t="shared" si="55"/>
        <v>0.20297703581742457</v>
      </c>
      <c r="AD375" s="11">
        <f t="shared" si="56"/>
        <v>2610.2857142857142</v>
      </c>
      <c r="AE375" s="11">
        <f t="shared" si="57"/>
        <v>3540</v>
      </c>
      <c r="AF375" s="28">
        <f t="shared" si="64"/>
        <v>1.3561733800350264</v>
      </c>
      <c r="AG375" s="42">
        <f t="shared" si="58"/>
        <v>1.5499595768821177E-2</v>
      </c>
      <c r="AH375" s="14" t="str">
        <f t="shared" si="59"/>
        <v>*</v>
      </c>
      <c r="AI375" s="11">
        <f t="shared" si="60"/>
        <v>97</v>
      </c>
      <c r="AJ375" s="11">
        <f t="shared" si="61"/>
        <v>97</v>
      </c>
      <c r="AK375" s="11">
        <f t="shared" si="62"/>
        <v>6.1838593428183458E-2</v>
      </c>
      <c r="AL375" s="42">
        <f t="shared" si="63"/>
        <v>6.145585314357644E-2</v>
      </c>
      <c r="AM375" s="14" t="str">
        <f t="shared" si="65"/>
        <v>*</v>
      </c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</row>
    <row r="376" spans="1:56" ht="27" customHeight="1" x14ac:dyDescent="0.2">
      <c r="A376" s="9" t="s">
        <v>356</v>
      </c>
      <c r="B376" s="11">
        <v>1045</v>
      </c>
      <c r="C376" s="2">
        <v>857.67314638054995</v>
      </c>
      <c r="D376" s="2">
        <v>9.1114314814814392</v>
      </c>
      <c r="E376" s="2">
        <v>-1</v>
      </c>
      <c r="F376" s="12" t="s">
        <v>278</v>
      </c>
      <c r="G376" s="12" t="s">
        <v>57</v>
      </c>
      <c r="H376" s="5"/>
      <c r="I376" s="11">
        <v>1098</v>
      </c>
      <c r="J376" s="11">
        <v>1111</v>
      </c>
      <c r="K376" s="11">
        <v>2008</v>
      </c>
      <c r="L376" s="11">
        <v>1411</v>
      </c>
      <c r="M376" s="11">
        <v>1632</v>
      </c>
      <c r="N376" s="11">
        <v>1737</v>
      </c>
      <c r="O376" s="11">
        <v>2093</v>
      </c>
      <c r="P376" s="11"/>
      <c r="Q376" s="11">
        <v>2091</v>
      </c>
      <c r="R376" s="11">
        <v>1527</v>
      </c>
      <c r="S376" s="11">
        <v>1467</v>
      </c>
      <c r="T376" s="11">
        <v>1970</v>
      </c>
      <c r="U376" s="11">
        <v>3192</v>
      </c>
      <c r="V376" s="11">
        <v>2179</v>
      </c>
      <c r="W376" s="11">
        <v>2537</v>
      </c>
      <c r="X376" s="11"/>
      <c r="Y376" s="11">
        <v>0</v>
      </c>
      <c r="Z376" s="11">
        <v>1919</v>
      </c>
      <c r="AA376" s="11">
        <v>1955</v>
      </c>
      <c r="AB376" s="11">
        <v>2117</v>
      </c>
      <c r="AC376" s="17">
        <f t="shared" si="55"/>
        <v>5.2814409107401941E-2</v>
      </c>
      <c r="AD376" s="11">
        <f t="shared" si="56"/>
        <v>1584.2857142857142</v>
      </c>
      <c r="AE376" s="11">
        <f t="shared" si="57"/>
        <v>2137.5714285714284</v>
      </c>
      <c r="AF376" s="28">
        <f t="shared" si="64"/>
        <v>1.3492335437330929</v>
      </c>
      <c r="AG376" s="42">
        <f t="shared" si="58"/>
        <v>6.7005135529762297E-2</v>
      </c>
      <c r="AH376" s="14" t="str">
        <f t="shared" si="59"/>
        <v>-</v>
      </c>
      <c r="AI376" s="11">
        <f t="shared" si="60"/>
        <v>179</v>
      </c>
      <c r="AJ376" s="11">
        <f t="shared" si="61"/>
        <v>179</v>
      </c>
      <c r="AK376" s="11">
        <f t="shared" si="62"/>
        <v>0.14486585167607827</v>
      </c>
      <c r="AL376" s="42">
        <f t="shared" si="63"/>
        <v>0.14486585167607827</v>
      </c>
      <c r="AM376" s="14" t="str">
        <f t="shared" si="65"/>
        <v/>
      </c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</row>
    <row r="377" spans="1:56" ht="27" customHeight="1" x14ac:dyDescent="0.2">
      <c r="A377" s="9" t="s">
        <v>356</v>
      </c>
      <c r="B377" s="11">
        <v>268</v>
      </c>
      <c r="C377" s="2">
        <v>465.30238715892898</v>
      </c>
      <c r="D377" s="2">
        <v>6.0533774509804701</v>
      </c>
      <c r="E377" s="2">
        <v>-1</v>
      </c>
      <c r="F377" s="12" t="s">
        <v>695</v>
      </c>
      <c r="G377" s="12" t="s">
        <v>697</v>
      </c>
      <c r="H377" s="5"/>
      <c r="I377" s="11">
        <v>7403</v>
      </c>
      <c r="J377" s="11">
        <v>6722</v>
      </c>
      <c r="K377" s="11">
        <v>10412</v>
      </c>
      <c r="L377" s="11">
        <v>7868</v>
      </c>
      <c r="M377" s="11">
        <v>9294</v>
      </c>
      <c r="N377" s="11">
        <v>10808</v>
      </c>
      <c r="O377" s="11">
        <v>10079</v>
      </c>
      <c r="P377" s="11"/>
      <c r="Q377" s="11">
        <v>8178</v>
      </c>
      <c r="R377" s="11">
        <v>10464</v>
      </c>
      <c r="S377" s="11">
        <v>6646</v>
      </c>
      <c r="T377" s="11">
        <v>9593</v>
      </c>
      <c r="U377" s="11">
        <v>13637</v>
      </c>
      <c r="V377" s="11">
        <v>10871</v>
      </c>
      <c r="W377" s="11">
        <v>14062</v>
      </c>
      <c r="X377" s="11"/>
      <c r="Y377" s="11">
        <v>737</v>
      </c>
      <c r="Z377" s="11">
        <v>9986</v>
      </c>
      <c r="AA377" s="11">
        <v>10373</v>
      </c>
      <c r="AB377" s="11">
        <v>10560</v>
      </c>
      <c r="AC377" s="17">
        <f t="shared" si="55"/>
        <v>2.8404826345908282E-2</v>
      </c>
      <c r="AD377" s="11">
        <f t="shared" si="56"/>
        <v>8940.8571428571431</v>
      </c>
      <c r="AE377" s="11">
        <f t="shared" si="57"/>
        <v>10493</v>
      </c>
      <c r="AF377" s="28">
        <f t="shared" si="64"/>
        <v>1.1736011248522034</v>
      </c>
      <c r="AG377" s="42">
        <f t="shared" si="58"/>
        <v>0.22115015766880933</v>
      </c>
      <c r="AH377" s="14" t="str">
        <f t="shared" si="59"/>
        <v>-</v>
      </c>
      <c r="AI377" s="11">
        <f t="shared" si="60"/>
        <v>249</v>
      </c>
      <c r="AJ377" s="11">
        <f t="shared" si="61"/>
        <v>249</v>
      </c>
      <c r="AK377" s="11">
        <f t="shared" si="62"/>
        <v>0.34371530529248678</v>
      </c>
      <c r="AL377" s="42">
        <f t="shared" si="63"/>
        <v>0.34371530529248678</v>
      </c>
      <c r="AM377" s="14" t="str">
        <f t="shared" si="65"/>
        <v/>
      </c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</row>
    <row r="378" spans="1:56" ht="27" customHeight="1" x14ac:dyDescent="0.2">
      <c r="A378" s="9" t="s">
        <v>356</v>
      </c>
      <c r="B378" s="11">
        <v>932</v>
      </c>
      <c r="C378" s="2">
        <v>1304.1655675269101</v>
      </c>
      <c r="D378" s="2">
        <v>17.396059803921499</v>
      </c>
      <c r="E378" s="2">
        <v>-1</v>
      </c>
      <c r="F378" s="12" t="s">
        <v>691</v>
      </c>
      <c r="G378" s="12" t="s">
        <v>694</v>
      </c>
      <c r="H378" s="5"/>
      <c r="I378" s="11">
        <v>1122</v>
      </c>
      <c r="J378" s="11">
        <v>1477</v>
      </c>
      <c r="K378" s="11">
        <v>1952</v>
      </c>
      <c r="L378" s="11">
        <v>1656</v>
      </c>
      <c r="M378" s="11">
        <v>1306</v>
      </c>
      <c r="N378" s="11">
        <v>1751</v>
      </c>
      <c r="O378" s="11">
        <v>2340</v>
      </c>
      <c r="P378" s="11"/>
      <c r="Q378" s="11">
        <v>2545</v>
      </c>
      <c r="R378" s="11">
        <v>1721</v>
      </c>
      <c r="S378" s="11">
        <v>2091</v>
      </c>
      <c r="T378" s="11">
        <v>3128</v>
      </c>
      <c r="U378" s="11">
        <v>2493</v>
      </c>
      <c r="V378" s="11">
        <v>3631</v>
      </c>
      <c r="W378" s="11">
        <v>3278</v>
      </c>
      <c r="X378" s="11"/>
      <c r="Y378" s="11">
        <v>0</v>
      </c>
      <c r="Z378" s="11">
        <v>2285</v>
      </c>
      <c r="AA378" s="11">
        <v>1712</v>
      </c>
      <c r="AB378" s="11">
        <v>2816</v>
      </c>
      <c r="AC378" s="17">
        <f t="shared" si="55"/>
        <v>0.24312335364088714</v>
      </c>
      <c r="AD378" s="11">
        <f t="shared" si="56"/>
        <v>1657.7142857142858</v>
      </c>
      <c r="AE378" s="11">
        <f t="shared" si="57"/>
        <v>2698.1428571428573</v>
      </c>
      <c r="AF378" s="28">
        <f t="shared" si="64"/>
        <v>1.6276284039986213</v>
      </c>
      <c r="AG378" s="42">
        <f t="shared" si="58"/>
        <v>6.2121885403622545E-3</v>
      </c>
      <c r="AH378" s="14" t="str">
        <f t="shared" si="59"/>
        <v>**</v>
      </c>
      <c r="AI378" s="11">
        <f t="shared" si="60"/>
        <v>58</v>
      </c>
      <c r="AJ378" s="11">
        <f t="shared" si="61"/>
        <v>58</v>
      </c>
      <c r="AK378" s="11">
        <f t="shared" si="62"/>
        <v>4.1450292502072279E-2</v>
      </c>
      <c r="AL378" s="42">
        <f t="shared" si="63"/>
        <v>4.1450292502072279E-2</v>
      </c>
      <c r="AM378" s="14" t="str">
        <f t="shared" si="65"/>
        <v>**</v>
      </c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</row>
    <row r="379" spans="1:56" ht="27" customHeight="1" x14ac:dyDescent="0.2">
      <c r="A379" s="9" t="s">
        <v>356</v>
      </c>
      <c r="B379" s="11">
        <v>1913</v>
      </c>
      <c r="C379" s="2">
        <v>1236.1023013910699</v>
      </c>
      <c r="D379" s="2">
        <v>17.151485294117499</v>
      </c>
      <c r="E379" s="2">
        <v>-1</v>
      </c>
      <c r="F379" s="12" t="s">
        <v>692</v>
      </c>
      <c r="G379" s="12" t="s">
        <v>694</v>
      </c>
      <c r="H379" s="5"/>
      <c r="I379" s="11">
        <v>442</v>
      </c>
      <c r="J379" s="11">
        <v>541</v>
      </c>
      <c r="K379" s="11">
        <v>733</v>
      </c>
      <c r="L379" s="11">
        <v>472</v>
      </c>
      <c r="M379" s="11">
        <v>908</v>
      </c>
      <c r="N379" s="11">
        <v>496</v>
      </c>
      <c r="O379" s="11">
        <v>976</v>
      </c>
      <c r="P379" s="11"/>
      <c r="Q379" s="11">
        <v>1073</v>
      </c>
      <c r="R379" s="11">
        <v>985</v>
      </c>
      <c r="S379" s="11">
        <v>569</v>
      </c>
      <c r="T379" s="11">
        <v>1235</v>
      </c>
      <c r="U379" s="11">
        <v>1114</v>
      </c>
      <c r="V379" s="11">
        <v>1056</v>
      </c>
      <c r="W379" s="11">
        <v>1609</v>
      </c>
      <c r="X379" s="11"/>
      <c r="Y379" s="11">
        <v>0</v>
      </c>
      <c r="Z379" s="11">
        <v>653</v>
      </c>
      <c r="AA379" s="11">
        <v>855</v>
      </c>
      <c r="AB379" s="11">
        <v>909</v>
      </c>
      <c r="AC379" s="17">
        <f t="shared" si="55"/>
        <v>0.16749105854374419</v>
      </c>
      <c r="AD379" s="11">
        <f t="shared" si="56"/>
        <v>652.57142857142856</v>
      </c>
      <c r="AE379" s="11">
        <f t="shared" si="57"/>
        <v>1091.5714285714287</v>
      </c>
      <c r="AF379" s="28">
        <f t="shared" si="64"/>
        <v>1.6727232924693523</v>
      </c>
      <c r="AG379" s="42">
        <f t="shared" si="58"/>
        <v>1.106027391342604E-2</v>
      </c>
      <c r="AH379" s="14" t="str">
        <f t="shared" si="59"/>
        <v>*</v>
      </c>
      <c r="AI379" s="11">
        <f t="shared" si="60"/>
        <v>79</v>
      </c>
      <c r="AJ379" s="11">
        <f t="shared" si="61"/>
        <v>79</v>
      </c>
      <c r="AK379" s="11">
        <f t="shared" si="62"/>
        <v>5.4181341829061744E-2</v>
      </c>
      <c r="AL379" s="42">
        <f t="shared" si="63"/>
        <v>5.4181341829061744E-2</v>
      </c>
      <c r="AM379" s="14" t="str">
        <f t="shared" si="65"/>
        <v>*</v>
      </c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</row>
    <row r="380" spans="1:56" ht="27" customHeight="1" x14ac:dyDescent="0.2">
      <c r="A380" s="9" t="s">
        <v>356</v>
      </c>
      <c r="B380" s="11">
        <v>2036</v>
      </c>
      <c r="C380" s="2">
        <v>1372.2256114675699</v>
      </c>
      <c r="D380" s="2">
        <v>17.604754166666702</v>
      </c>
      <c r="E380" s="2">
        <v>-1</v>
      </c>
      <c r="F380" s="12" t="s">
        <v>693</v>
      </c>
      <c r="G380" s="12" t="s">
        <v>694</v>
      </c>
      <c r="H380" s="5"/>
      <c r="I380" s="11">
        <v>525</v>
      </c>
      <c r="J380" s="11">
        <v>308</v>
      </c>
      <c r="K380" s="11">
        <v>932</v>
      </c>
      <c r="L380" s="11">
        <v>477</v>
      </c>
      <c r="M380" s="11">
        <v>389</v>
      </c>
      <c r="N380" s="11">
        <v>472</v>
      </c>
      <c r="O380" s="11">
        <v>693</v>
      </c>
      <c r="P380" s="11"/>
      <c r="Q380" s="11">
        <v>1016</v>
      </c>
      <c r="R380" s="11">
        <v>867</v>
      </c>
      <c r="S380" s="11">
        <v>1142</v>
      </c>
      <c r="T380" s="11">
        <v>1323</v>
      </c>
      <c r="U380" s="11">
        <v>1026</v>
      </c>
      <c r="V380" s="11">
        <v>1497</v>
      </c>
      <c r="W380" s="11">
        <v>1322</v>
      </c>
      <c r="X380" s="11"/>
      <c r="Y380" s="11">
        <v>0</v>
      </c>
      <c r="Z380" s="11">
        <v>658</v>
      </c>
      <c r="AA380" s="11">
        <v>770</v>
      </c>
      <c r="AB380" s="11">
        <v>1029</v>
      </c>
      <c r="AC380" s="17">
        <f t="shared" si="55"/>
        <v>0.23234661912937069</v>
      </c>
      <c r="AD380" s="11">
        <f t="shared" si="56"/>
        <v>542.28571428571433</v>
      </c>
      <c r="AE380" s="11">
        <f t="shared" si="57"/>
        <v>1170.4285714285713</v>
      </c>
      <c r="AF380" s="28">
        <f t="shared" si="64"/>
        <v>2.1583245521601682</v>
      </c>
      <c r="AG380" s="42">
        <f t="shared" si="58"/>
        <v>1.4328638618577684E-4</v>
      </c>
      <c r="AH380" s="14" t="str">
        <f t="shared" si="59"/>
        <v>***</v>
      </c>
      <c r="AI380" s="11">
        <f t="shared" si="60"/>
        <v>8</v>
      </c>
      <c r="AJ380" s="11">
        <f t="shared" si="61"/>
        <v>8</v>
      </c>
      <c r="AK380" s="11">
        <f t="shared" si="62"/>
        <v>6.9314789317369545E-3</v>
      </c>
      <c r="AL380" s="42">
        <f t="shared" si="63"/>
        <v>6.9314789317369545E-3</v>
      </c>
      <c r="AM380" s="14" t="str">
        <f t="shared" si="65"/>
        <v>**</v>
      </c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</row>
    <row r="381" spans="1:56" ht="27" customHeight="1" x14ac:dyDescent="0.2">
      <c r="A381" s="9" t="s">
        <v>356</v>
      </c>
      <c r="B381" s="11">
        <v>14</v>
      </c>
      <c r="C381" s="2">
        <v>485.33708786678397</v>
      </c>
      <c r="D381" s="2">
        <v>5.2532541666665598</v>
      </c>
      <c r="E381" s="2">
        <v>-1</v>
      </c>
      <c r="F381" s="12" t="s">
        <v>52</v>
      </c>
      <c r="G381" s="12" t="s">
        <v>53</v>
      </c>
      <c r="H381" s="5"/>
      <c r="I381" s="11">
        <v>318469</v>
      </c>
      <c r="J381" s="11">
        <v>341497</v>
      </c>
      <c r="K381" s="11">
        <v>384038</v>
      </c>
      <c r="L381" s="11">
        <v>338996</v>
      </c>
      <c r="M381" s="11">
        <v>370312</v>
      </c>
      <c r="N381" s="11">
        <v>381748</v>
      </c>
      <c r="O381" s="11">
        <v>336346</v>
      </c>
      <c r="P381" s="11"/>
      <c r="Q381" s="11">
        <v>344732</v>
      </c>
      <c r="R381" s="11">
        <v>339339</v>
      </c>
      <c r="S381" s="11">
        <v>350856</v>
      </c>
      <c r="T381" s="11">
        <v>401953</v>
      </c>
      <c r="U381" s="11">
        <v>367022</v>
      </c>
      <c r="V381" s="11">
        <v>371228</v>
      </c>
      <c r="W381" s="11">
        <v>377437</v>
      </c>
      <c r="X381" s="11"/>
      <c r="Y381" s="11">
        <v>399003</v>
      </c>
      <c r="Z381" s="11">
        <v>350155</v>
      </c>
      <c r="AA381" s="11">
        <v>353752</v>
      </c>
      <c r="AB381" s="11">
        <v>427828</v>
      </c>
      <c r="AC381" s="17">
        <f t="shared" si="55"/>
        <v>0.11621908028830231</v>
      </c>
      <c r="AD381" s="11">
        <f t="shared" si="56"/>
        <v>353058</v>
      </c>
      <c r="AE381" s="11">
        <f t="shared" si="57"/>
        <v>364652.42857142858</v>
      </c>
      <c r="AF381" s="28">
        <f t="shared" si="64"/>
        <v>1.0328400109087701</v>
      </c>
      <c r="AG381" s="42">
        <f t="shared" si="58"/>
        <v>0.37780538936761887</v>
      </c>
      <c r="AH381" s="14" t="str">
        <f t="shared" si="59"/>
        <v>-</v>
      </c>
      <c r="AI381" s="11">
        <f t="shared" si="60"/>
        <v>287</v>
      </c>
      <c r="AJ381" s="11">
        <f t="shared" si="61"/>
        <v>287</v>
      </c>
      <c r="AK381" s="11">
        <f t="shared" si="62"/>
        <v>0.50944489785807845</v>
      </c>
      <c r="AL381" s="42">
        <f t="shared" si="63"/>
        <v>0.50815077864741287</v>
      </c>
      <c r="AM381" s="14" t="str">
        <f t="shared" si="65"/>
        <v/>
      </c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</row>
    <row r="382" spans="1:56" ht="27" customHeight="1" x14ac:dyDescent="0.2">
      <c r="A382" s="9" t="s">
        <v>356</v>
      </c>
      <c r="B382" s="11">
        <v>29</v>
      </c>
      <c r="C382" s="2">
        <v>828.56323441813095</v>
      </c>
      <c r="D382" s="2">
        <v>7.1870444444444397</v>
      </c>
      <c r="E382" s="2">
        <v>-1</v>
      </c>
      <c r="F382" s="12" t="s">
        <v>76</v>
      </c>
      <c r="G382" s="12" t="s">
        <v>53</v>
      </c>
      <c r="H382" s="5"/>
      <c r="I382" s="11">
        <v>217260</v>
      </c>
      <c r="J382" s="11">
        <v>201132</v>
      </c>
      <c r="K382" s="11">
        <v>210407</v>
      </c>
      <c r="L382" s="11">
        <v>185832</v>
      </c>
      <c r="M382" s="11">
        <v>199222</v>
      </c>
      <c r="N382" s="11">
        <v>223338</v>
      </c>
      <c r="O382" s="11">
        <v>182227</v>
      </c>
      <c r="P382" s="11"/>
      <c r="Q382" s="11">
        <v>184487</v>
      </c>
      <c r="R382" s="11">
        <v>172756</v>
      </c>
      <c r="S382" s="11">
        <v>207372</v>
      </c>
      <c r="T382" s="11">
        <v>212355</v>
      </c>
      <c r="U382" s="11">
        <v>216393</v>
      </c>
      <c r="V382" s="11">
        <v>217267</v>
      </c>
      <c r="W382" s="11">
        <v>206903</v>
      </c>
      <c r="X382" s="11"/>
      <c r="Y382" s="11">
        <v>137739</v>
      </c>
      <c r="Z382" s="11">
        <v>199589</v>
      </c>
      <c r="AA382" s="11">
        <v>219880</v>
      </c>
      <c r="AB382" s="11">
        <v>227109</v>
      </c>
      <c r="AC382" s="17">
        <f t="shared" si="55"/>
        <v>6.6197539081125037E-2</v>
      </c>
      <c r="AD382" s="11">
        <f t="shared" si="56"/>
        <v>202774</v>
      </c>
      <c r="AE382" s="11">
        <f t="shared" si="57"/>
        <v>202504.71428571429</v>
      </c>
      <c r="AF382" s="28">
        <f t="shared" si="64"/>
        <v>0.99867199091458614</v>
      </c>
      <c r="AG382" s="42">
        <f t="shared" si="58"/>
        <v>0.97581097634111691</v>
      </c>
      <c r="AH382" s="14" t="str">
        <f t="shared" si="59"/>
        <v>-</v>
      </c>
      <c r="AI382" s="11">
        <f t="shared" si="60"/>
        <v>383</v>
      </c>
      <c r="AJ382" s="11">
        <f t="shared" si="61"/>
        <v>383</v>
      </c>
      <c r="AK382" s="11">
        <f t="shared" si="62"/>
        <v>0.98600221369193786</v>
      </c>
      <c r="AL382" s="42">
        <f t="shared" si="63"/>
        <v>0.98546789382457556</v>
      </c>
      <c r="AM382" s="14" t="str">
        <f t="shared" si="65"/>
        <v/>
      </c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</row>
    <row r="383" spans="1:56" ht="27" customHeight="1" x14ac:dyDescent="0.2">
      <c r="A383" s="9" t="s">
        <v>356</v>
      </c>
      <c r="B383" s="11">
        <v>36</v>
      </c>
      <c r="C383" s="2">
        <v>587.40570551267399</v>
      </c>
      <c r="D383" s="2">
        <v>5.1797525641025297</v>
      </c>
      <c r="E383" s="2">
        <v>-1</v>
      </c>
      <c r="F383" s="12" t="s">
        <v>79</v>
      </c>
      <c r="G383" s="12" t="s">
        <v>53</v>
      </c>
      <c r="H383" s="5"/>
      <c r="I383" s="11">
        <v>143574</v>
      </c>
      <c r="J383" s="11">
        <v>131280</v>
      </c>
      <c r="K383" s="11">
        <v>147071</v>
      </c>
      <c r="L383" s="11">
        <v>173962</v>
      </c>
      <c r="M383" s="11">
        <v>188352</v>
      </c>
      <c r="N383" s="11">
        <v>138295</v>
      </c>
      <c r="O383" s="11">
        <v>176584</v>
      </c>
      <c r="P383" s="11"/>
      <c r="Q383" s="11">
        <v>165348</v>
      </c>
      <c r="R383" s="11">
        <v>172370</v>
      </c>
      <c r="S383" s="11">
        <v>136643</v>
      </c>
      <c r="T383" s="11">
        <v>161770</v>
      </c>
      <c r="U383" s="11">
        <v>168578</v>
      </c>
      <c r="V383" s="11">
        <v>142653</v>
      </c>
      <c r="W383" s="11">
        <v>161245</v>
      </c>
      <c r="X383" s="11"/>
      <c r="Y383" s="11">
        <v>160615</v>
      </c>
      <c r="Z383" s="11">
        <v>166746</v>
      </c>
      <c r="AA383" s="11">
        <v>175728</v>
      </c>
      <c r="AB383" s="11">
        <v>165213</v>
      </c>
      <c r="AC383" s="17">
        <f t="shared" si="55"/>
        <v>3.356548168044169E-2</v>
      </c>
      <c r="AD383" s="11">
        <f t="shared" si="56"/>
        <v>157016.85714285713</v>
      </c>
      <c r="AE383" s="11">
        <f t="shared" si="57"/>
        <v>158372.42857142858</v>
      </c>
      <c r="AF383" s="28">
        <f t="shared" si="64"/>
        <v>1.0086332859620168</v>
      </c>
      <c r="AG383" s="42">
        <f t="shared" si="58"/>
        <v>0.89273838921048698</v>
      </c>
      <c r="AH383" s="14" t="str">
        <f t="shared" si="59"/>
        <v>-</v>
      </c>
      <c r="AI383" s="11">
        <f t="shared" si="60"/>
        <v>373</v>
      </c>
      <c r="AJ383" s="11">
        <f t="shared" si="61"/>
        <v>373</v>
      </c>
      <c r="AK383" s="11">
        <f t="shared" si="62"/>
        <v>0.92624599631222104</v>
      </c>
      <c r="AL383" s="42">
        <f t="shared" si="63"/>
        <v>0.92624599631222104</v>
      </c>
      <c r="AM383" s="14" t="str">
        <f t="shared" si="65"/>
        <v/>
      </c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</row>
    <row r="384" spans="1:56" ht="27" customHeight="1" x14ac:dyDescent="0.2">
      <c r="A384" s="9" t="s">
        <v>356</v>
      </c>
      <c r="B384" s="11">
        <v>40</v>
      </c>
      <c r="C384" s="2">
        <v>753.54115303677804</v>
      </c>
      <c r="D384" s="2">
        <v>7.2046990740741599</v>
      </c>
      <c r="E384" s="2">
        <v>-1</v>
      </c>
      <c r="F384" s="12" t="s">
        <v>91</v>
      </c>
      <c r="G384" s="12" t="s">
        <v>53</v>
      </c>
      <c r="H384" s="5"/>
      <c r="I384" s="11">
        <v>127456</v>
      </c>
      <c r="J384" s="11">
        <v>122810</v>
      </c>
      <c r="K384" s="11">
        <v>130180</v>
      </c>
      <c r="L384" s="11">
        <v>140761</v>
      </c>
      <c r="M384" s="11">
        <v>163399</v>
      </c>
      <c r="N384" s="11">
        <v>137742</v>
      </c>
      <c r="O384" s="11">
        <v>155760</v>
      </c>
      <c r="P384" s="11"/>
      <c r="Q384" s="11">
        <v>146074</v>
      </c>
      <c r="R384" s="11">
        <v>148609</v>
      </c>
      <c r="S384" s="11">
        <v>131937</v>
      </c>
      <c r="T384" s="11">
        <v>149405</v>
      </c>
      <c r="U384" s="11">
        <v>151728</v>
      </c>
      <c r="V384" s="11">
        <v>132332</v>
      </c>
      <c r="W384" s="11">
        <v>156547</v>
      </c>
      <c r="X384" s="11"/>
      <c r="Y384" s="11">
        <v>120671</v>
      </c>
      <c r="Z384" s="11">
        <v>146899</v>
      </c>
      <c r="AA384" s="11">
        <v>128899</v>
      </c>
      <c r="AB384" s="11">
        <v>166255</v>
      </c>
      <c r="AC384" s="17">
        <f t="shared" si="55"/>
        <v>0.12678639018895954</v>
      </c>
      <c r="AD384" s="11">
        <f t="shared" si="56"/>
        <v>139729.71428571429</v>
      </c>
      <c r="AE384" s="11">
        <f t="shared" si="57"/>
        <v>145233.14285714287</v>
      </c>
      <c r="AF384" s="28">
        <f t="shared" si="64"/>
        <v>1.039386243645896</v>
      </c>
      <c r="AG384" s="42">
        <f t="shared" si="58"/>
        <v>0.43121044578872925</v>
      </c>
      <c r="AH384" s="14" t="str">
        <f t="shared" si="59"/>
        <v>-</v>
      </c>
      <c r="AI384" s="11">
        <f t="shared" si="60"/>
        <v>305</v>
      </c>
      <c r="AJ384" s="11">
        <f t="shared" si="61"/>
        <v>305</v>
      </c>
      <c r="AK384" s="11">
        <f t="shared" si="62"/>
        <v>0.54714243449258437</v>
      </c>
      <c r="AL384" s="42">
        <f t="shared" si="63"/>
        <v>0.5462767865982352</v>
      </c>
      <c r="AM384" s="14" t="str">
        <f t="shared" si="65"/>
        <v/>
      </c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</row>
    <row r="385" spans="1:56" ht="27" customHeight="1" x14ac:dyDescent="0.2">
      <c r="A385" s="9" t="s">
        <v>356</v>
      </c>
      <c r="B385" s="11">
        <v>42</v>
      </c>
      <c r="C385" s="2">
        <v>740.54584127077806</v>
      </c>
      <c r="D385" s="2">
        <v>7.2891768518518303</v>
      </c>
      <c r="E385" s="2">
        <v>-1</v>
      </c>
      <c r="F385" s="12" t="s">
        <v>114</v>
      </c>
      <c r="G385" s="12" t="s">
        <v>53</v>
      </c>
      <c r="H385" s="5"/>
      <c r="I385" s="11">
        <v>74511</v>
      </c>
      <c r="J385" s="11">
        <v>77944</v>
      </c>
      <c r="K385" s="11">
        <v>92272</v>
      </c>
      <c r="L385" s="11">
        <v>104454</v>
      </c>
      <c r="M385" s="11">
        <v>101053</v>
      </c>
      <c r="N385" s="11">
        <v>85499</v>
      </c>
      <c r="O385" s="11">
        <v>105404</v>
      </c>
      <c r="P385" s="11"/>
      <c r="Q385" s="11">
        <v>91264</v>
      </c>
      <c r="R385" s="11">
        <v>98747</v>
      </c>
      <c r="S385" s="11">
        <v>73905</v>
      </c>
      <c r="T385" s="11">
        <v>98386</v>
      </c>
      <c r="U385" s="11">
        <v>96795</v>
      </c>
      <c r="V385" s="11">
        <v>90318</v>
      </c>
      <c r="W385" s="11">
        <v>109467</v>
      </c>
      <c r="X385" s="11"/>
      <c r="Y385" s="11">
        <v>160562</v>
      </c>
      <c r="Z385" s="11">
        <v>93589</v>
      </c>
      <c r="AA385" s="11">
        <v>102134</v>
      </c>
      <c r="AB385" s="11">
        <v>115337</v>
      </c>
      <c r="AC385" s="17">
        <f t="shared" si="55"/>
        <v>0.10567243327441218</v>
      </c>
      <c r="AD385" s="11">
        <f t="shared" si="56"/>
        <v>91591</v>
      </c>
      <c r="AE385" s="11">
        <f t="shared" si="57"/>
        <v>94126</v>
      </c>
      <c r="AF385" s="28">
        <f t="shared" si="64"/>
        <v>1.0276773918834821</v>
      </c>
      <c r="AG385" s="42">
        <f t="shared" si="58"/>
        <v>0.69531197548553125</v>
      </c>
      <c r="AH385" s="14" t="str">
        <f t="shared" si="59"/>
        <v>-</v>
      </c>
      <c r="AI385" s="11">
        <f t="shared" si="60"/>
        <v>347</v>
      </c>
      <c r="AJ385" s="11">
        <f t="shared" si="61"/>
        <v>347</v>
      </c>
      <c r="AK385" s="11">
        <f t="shared" si="62"/>
        <v>0.77546321185273948</v>
      </c>
      <c r="AL385" s="42">
        <f t="shared" si="63"/>
        <v>0.77546321185273948</v>
      </c>
      <c r="AM385" s="14" t="str">
        <f t="shared" si="65"/>
        <v/>
      </c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</row>
    <row r="386" spans="1:56" ht="27" customHeight="1" x14ac:dyDescent="0.2">
      <c r="A386" s="9" t="s">
        <v>356</v>
      </c>
      <c r="B386" s="11">
        <v>51</v>
      </c>
      <c r="C386" s="2">
        <v>589.55325027802598</v>
      </c>
      <c r="D386" s="2">
        <v>8.0945027777779401</v>
      </c>
      <c r="E386" s="2">
        <v>-1</v>
      </c>
      <c r="F386" s="12" t="s">
        <v>96</v>
      </c>
      <c r="G386" s="12" t="s">
        <v>53</v>
      </c>
      <c r="H386" s="5"/>
      <c r="I386" s="11">
        <v>38893</v>
      </c>
      <c r="J386" s="11">
        <v>41321</v>
      </c>
      <c r="K386" s="11">
        <v>59839</v>
      </c>
      <c r="L386" s="11">
        <v>59577</v>
      </c>
      <c r="M386" s="11">
        <v>62298</v>
      </c>
      <c r="N386" s="11">
        <v>55839</v>
      </c>
      <c r="O386" s="11">
        <v>75592</v>
      </c>
      <c r="P386" s="11"/>
      <c r="Q386" s="11">
        <v>55883</v>
      </c>
      <c r="R386" s="11">
        <v>55141</v>
      </c>
      <c r="S386" s="11">
        <v>42210</v>
      </c>
      <c r="T386" s="11">
        <v>64235</v>
      </c>
      <c r="U386" s="11">
        <v>69680</v>
      </c>
      <c r="V386" s="11">
        <v>54760</v>
      </c>
      <c r="W386" s="11">
        <v>64796</v>
      </c>
      <c r="X386" s="11"/>
      <c r="Y386" s="11">
        <v>103412</v>
      </c>
      <c r="Z386" s="11">
        <v>57515</v>
      </c>
      <c r="AA386" s="11">
        <v>63453</v>
      </c>
      <c r="AB386" s="11">
        <v>75006</v>
      </c>
      <c r="AC386" s="17">
        <f t="shared" si="55"/>
        <v>0.13615750059099707</v>
      </c>
      <c r="AD386" s="11">
        <f t="shared" si="56"/>
        <v>56194.142857142855</v>
      </c>
      <c r="AE386" s="11">
        <f t="shared" si="57"/>
        <v>58100.714285714283</v>
      </c>
      <c r="AF386" s="28">
        <f t="shared" si="64"/>
        <v>1.0339282945095956</v>
      </c>
      <c r="AG386" s="42">
        <f t="shared" si="58"/>
        <v>0.75195370301005171</v>
      </c>
      <c r="AH386" s="14" t="str">
        <f t="shared" si="59"/>
        <v>-</v>
      </c>
      <c r="AI386" s="11">
        <f t="shared" si="60"/>
        <v>357</v>
      </c>
      <c r="AJ386" s="11">
        <f t="shared" si="61"/>
        <v>357</v>
      </c>
      <c r="AK386" s="11">
        <f t="shared" si="62"/>
        <v>0.81514308981761907</v>
      </c>
      <c r="AL386" s="42">
        <f t="shared" si="63"/>
        <v>0.81491766186724424</v>
      </c>
      <c r="AM386" s="14" t="str">
        <f t="shared" si="65"/>
        <v/>
      </c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</row>
    <row r="387" spans="1:56" ht="27" customHeight="1" x14ac:dyDescent="0.2">
      <c r="A387" s="9" t="s">
        <v>356</v>
      </c>
      <c r="B387" s="11">
        <v>60</v>
      </c>
      <c r="C387" s="2">
        <v>422.34936320468199</v>
      </c>
      <c r="D387" s="2">
        <v>5.9306435185184903</v>
      </c>
      <c r="E387" s="2">
        <v>-1</v>
      </c>
      <c r="F387" s="12" t="s">
        <v>133</v>
      </c>
      <c r="G387" s="12" t="s">
        <v>53</v>
      </c>
      <c r="H387" s="5"/>
      <c r="I387" s="11">
        <v>29752</v>
      </c>
      <c r="J387" s="11">
        <v>32108</v>
      </c>
      <c r="K387" s="11">
        <v>37677</v>
      </c>
      <c r="L387" s="11">
        <v>49520</v>
      </c>
      <c r="M387" s="11">
        <v>47546</v>
      </c>
      <c r="N387" s="11">
        <v>34424</v>
      </c>
      <c r="O387" s="11">
        <v>47537</v>
      </c>
      <c r="P387" s="11"/>
      <c r="Q387" s="11">
        <v>43561</v>
      </c>
      <c r="R387" s="11">
        <v>47673</v>
      </c>
      <c r="S387" s="11">
        <v>31514</v>
      </c>
      <c r="T387" s="11">
        <v>40811</v>
      </c>
      <c r="U387" s="11">
        <v>47008</v>
      </c>
      <c r="V387" s="11">
        <v>37950</v>
      </c>
      <c r="W387" s="11">
        <v>45434</v>
      </c>
      <c r="X387" s="11"/>
      <c r="Y387" s="11">
        <v>87553</v>
      </c>
      <c r="Z387" s="11">
        <v>41397</v>
      </c>
      <c r="AA387" s="11">
        <v>46485</v>
      </c>
      <c r="AB387" s="11">
        <v>45044</v>
      </c>
      <c r="AC387" s="17">
        <f t="shared" si="55"/>
        <v>5.9186920546379619E-2</v>
      </c>
      <c r="AD387" s="11">
        <f t="shared" si="56"/>
        <v>39794.857142857145</v>
      </c>
      <c r="AE387" s="11">
        <f t="shared" si="57"/>
        <v>41993</v>
      </c>
      <c r="AF387" s="28">
        <f t="shared" si="64"/>
        <v>1.0552368575982538</v>
      </c>
      <c r="AG387" s="42">
        <f t="shared" si="58"/>
        <v>0.57509691994693024</v>
      </c>
      <c r="AH387" s="14" t="str">
        <f t="shared" si="59"/>
        <v>-</v>
      </c>
      <c r="AI387" s="11">
        <f t="shared" si="60"/>
        <v>334</v>
      </c>
      <c r="AJ387" s="11">
        <f t="shared" si="61"/>
        <v>334</v>
      </c>
      <c r="AK387" s="11">
        <f t="shared" si="62"/>
        <v>0.66635481442952693</v>
      </c>
      <c r="AL387" s="42">
        <f t="shared" si="63"/>
        <v>0.66635481442952693</v>
      </c>
      <c r="AM387" s="14" t="str">
        <f t="shared" si="65"/>
        <v/>
      </c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</row>
    <row r="388" spans="1:56" ht="27" customHeight="1" x14ac:dyDescent="0.2">
      <c r="A388" s="9" t="s">
        <v>356</v>
      </c>
      <c r="B388" s="11">
        <v>69</v>
      </c>
      <c r="C388" s="2">
        <v>709.55101895448297</v>
      </c>
      <c r="D388" s="2">
        <v>8.0869462962963894</v>
      </c>
      <c r="E388" s="2">
        <v>-1</v>
      </c>
      <c r="F388" s="12" t="s">
        <v>535</v>
      </c>
      <c r="G388" s="12" t="s">
        <v>53</v>
      </c>
      <c r="H388" s="5"/>
      <c r="I388" s="11">
        <v>20233</v>
      </c>
      <c r="J388" s="11">
        <v>19443</v>
      </c>
      <c r="K388" s="11">
        <v>22978</v>
      </c>
      <c r="L388" s="11">
        <v>30856</v>
      </c>
      <c r="M388" s="11">
        <v>31952</v>
      </c>
      <c r="N388" s="11">
        <v>26272</v>
      </c>
      <c r="O388" s="11">
        <v>27027</v>
      </c>
      <c r="P388" s="11"/>
      <c r="Q388" s="11">
        <v>26869</v>
      </c>
      <c r="R388" s="11">
        <v>26939</v>
      </c>
      <c r="S388" s="11">
        <v>20009</v>
      </c>
      <c r="T388" s="11">
        <v>28870</v>
      </c>
      <c r="U388" s="11">
        <v>32885</v>
      </c>
      <c r="V388" s="11">
        <v>28840</v>
      </c>
      <c r="W388" s="11">
        <v>29176</v>
      </c>
      <c r="X388" s="11"/>
      <c r="Y388" s="11">
        <v>69381</v>
      </c>
      <c r="Z388" s="11">
        <v>31022</v>
      </c>
      <c r="AA388" s="11">
        <v>29425</v>
      </c>
      <c r="AB388" s="11">
        <v>31513</v>
      </c>
      <c r="AC388" s="17">
        <f t="shared" ref="AC388:AC390" si="66">IFERROR(STDEV(Z388:AB388)/AVERAGE(Z388:AB388),0)</f>
        <v>3.5615345478730062E-2</v>
      </c>
      <c r="AD388" s="11">
        <f t="shared" si="56"/>
        <v>25537.285714285714</v>
      </c>
      <c r="AE388" s="11">
        <f t="shared" si="57"/>
        <v>27655.428571428572</v>
      </c>
      <c r="AF388" s="28">
        <f t="shared" si="64"/>
        <v>1.0829431475545561</v>
      </c>
      <c r="AG388" s="42">
        <f t="shared" si="58"/>
        <v>0.39011229974852812</v>
      </c>
      <c r="AH388" s="14" t="str">
        <f t="shared" ref="AH388:AH390" si="67">IF(AG388&lt;0.001,"***",IF(AG388&lt;0.01,"**",IF(AG388&lt;0.05,"*","-")))</f>
        <v>-</v>
      </c>
      <c r="AI388" s="11">
        <f t="shared" si="60"/>
        <v>295</v>
      </c>
      <c r="AJ388" s="11">
        <f t="shared" ref="AJ388:AJ390" si="68">COUNTIF($AI$4:$AI$390,AI388)+AI388-1</f>
        <v>295</v>
      </c>
      <c r="AK388" s="11">
        <f t="shared" ref="AK388:AK390" si="69">MIN(AG388*$AJ$3/AJ388,1)</f>
        <v>0.51177444068705213</v>
      </c>
      <c r="AL388" s="42">
        <f t="shared" ref="AL388:AL390" si="70">MIN(AK388,IFERROR(VLOOKUP(AJ388+1,$AJ$4:$AL$390,3,FALSE),1))</f>
        <v>0.51177444068705213</v>
      </c>
      <c r="AM388" s="14" t="str">
        <f t="shared" si="65"/>
        <v/>
      </c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</row>
    <row r="389" spans="1:56" ht="27" customHeight="1" x14ac:dyDescent="0.2">
      <c r="A389" s="9" t="s">
        <v>356</v>
      </c>
      <c r="B389" s="11">
        <v>101</v>
      </c>
      <c r="C389" s="2">
        <v>796.65279861793897</v>
      </c>
      <c r="D389" s="2">
        <v>7.6652194444445501</v>
      </c>
      <c r="E389" s="2">
        <v>-1</v>
      </c>
      <c r="F389" s="12" t="s">
        <v>155</v>
      </c>
      <c r="G389" s="12" t="s">
        <v>53</v>
      </c>
      <c r="H389" s="5"/>
      <c r="I389" s="11">
        <v>16761</v>
      </c>
      <c r="J389" s="11">
        <v>17449</v>
      </c>
      <c r="K389" s="11">
        <v>22399</v>
      </c>
      <c r="L389" s="11">
        <v>25529</v>
      </c>
      <c r="M389" s="11">
        <v>22824</v>
      </c>
      <c r="N389" s="11">
        <v>19500</v>
      </c>
      <c r="O389" s="11">
        <v>25231</v>
      </c>
      <c r="P389" s="11"/>
      <c r="Q389" s="11">
        <v>23049</v>
      </c>
      <c r="R389" s="11">
        <v>24827</v>
      </c>
      <c r="S389" s="11">
        <v>17686</v>
      </c>
      <c r="T389" s="11">
        <v>29399</v>
      </c>
      <c r="U389" s="11">
        <v>23502</v>
      </c>
      <c r="V389" s="11">
        <v>18108</v>
      </c>
      <c r="W389" s="11">
        <v>22997</v>
      </c>
      <c r="X389" s="11"/>
      <c r="Y389" s="11">
        <v>44123</v>
      </c>
      <c r="Z389" s="11">
        <v>21538</v>
      </c>
      <c r="AA389" s="11">
        <v>20889</v>
      </c>
      <c r="AB389" s="11">
        <v>25940</v>
      </c>
      <c r="AC389" s="17">
        <f t="shared" si="66"/>
        <v>0.12058766217924874</v>
      </c>
      <c r="AD389" s="11">
        <f t="shared" si="56"/>
        <v>21384.714285714286</v>
      </c>
      <c r="AE389" s="11">
        <f t="shared" si="57"/>
        <v>22795.428571428572</v>
      </c>
      <c r="AF389" s="28">
        <f t="shared" ref="AF389:AF390" si="71">AE389/AD389</f>
        <v>1.0659683485533726</v>
      </c>
      <c r="AG389" s="42">
        <f t="shared" si="58"/>
        <v>0.49909838279904095</v>
      </c>
      <c r="AH389" s="14" t="str">
        <f t="shared" si="67"/>
        <v>-</v>
      </c>
      <c r="AI389" s="11">
        <f t="shared" si="60"/>
        <v>318</v>
      </c>
      <c r="AJ389" s="11">
        <f t="shared" si="68"/>
        <v>318</v>
      </c>
      <c r="AK389" s="11">
        <f t="shared" si="69"/>
        <v>0.60739331491581394</v>
      </c>
      <c r="AL389" s="42">
        <f t="shared" si="70"/>
        <v>0.60548481134420329</v>
      </c>
      <c r="AM389" s="14" t="str">
        <f t="shared" ref="AM389:AM390" si="72">IF(AL389&lt;0.05,"**",IF(AL389&lt;0.1,"*",""))</f>
        <v/>
      </c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</row>
    <row r="390" spans="1:56" ht="27" customHeight="1" x14ac:dyDescent="0.2">
      <c r="A390" s="9" t="s">
        <v>356</v>
      </c>
      <c r="B390" s="11">
        <v>113</v>
      </c>
      <c r="C390" s="2">
        <v>811.61947146699299</v>
      </c>
      <c r="D390" s="2">
        <v>7.9504539215686396</v>
      </c>
      <c r="E390" s="2">
        <v>-1</v>
      </c>
      <c r="F390" s="12" t="s">
        <v>539</v>
      </c>
      <c r="G390" s="12" t="s">
        <v>53</v>
      </c>
      <c r="H390" s="5"/>
      <c r="I390" s="11">
        <v>11531</v>
      </c>
      <c r="J390" s="11">
        <v>13684</v>
      </c>
      <c r="K390" s="11">
        <v>11724</v>
      </c>
      <c r="L390" s="11">
        <v>14616</v>
      </c>
      <c r="M390" s="11">
        <v>16617</v>
      </c>
      <c r="N390" s="11">
        <v>13908</v>
      </c>
      <c r="O390" s="11">
        <v>15549</v>
      </c>
      <c r="P390" s="11"/>
      <c r="Q390" s="11">
        <v>13566</v>
      </c>
      <c r="R390" s="11">
        <v>12128</v>
      </c>
      <c r="S390" s="11">
        <v>11753</v>
      </c>
      <c r="T390" s="11">
        <v>17572</v>
      </c>
      <c r="U390" s="11">
        <v>11996</v>
      </c>
      <c r="V390" s="11">
        <v>10601</v>
      </c>
      <c r="W390" s="11">
        <v>14737</v>
      </c>
      <c r="X390" s="11"/>
      <c r="Y390" s="11">
        <v>38532</v>
      </c>
      <c r="Z390" s="11">
        <v>15812</v>
      </c>
      <c r="AA390" s="11">
        <v>10036</v>
      </c>
      <c r="AB390" s="11">
        <v>14504</v>
      </c>
      <c r="AC390" s="17">
        <f t="shared" si="66"/>
        <v>0.22516674417841737</v>
      </c>
      <c r="AD390" s="11">
        <f t="shared" si="56"/>
        <v>13947</v>
      </c>
      <c r="AE390" s="11">
        <f t="shared" si="57"/>
        <v>13193.285714285714</v>
      </c>
      <c r="AF390" s="28">
        <f t="shared" si="71"/>
        <v>0.94595868031015373</v>
      </c>
      <c r="AG390" s="42">
        <f t="shared" si="58"/>
        <v>0.51960949290196812</v>
      </c>
      <c r="AH390" s="14" t="str">
        <f t="shared" si="67"/>
        <v>-</v>
      </c>
      <c r="AI390" s="11">
        <f t="shared" si="60"/>
        <v>328</v>
      </c>
      <c r="AJ390" s="11">
        <f t="shared" si="68"/>
        <v>328</v>
      </c>
      <c r="AK390" s="11">
        <f t="shared" si="69"/>
        <v>0.61307583461299286</v>
      </c>
      <c r="AL390" s="42">
        <f t="shared" si="70"/>
        <v>0.61307583461299286</v>
      </c>
      <c r="AM390" s="14" t="str">
        <f t="shared" si="72"/>
        <v/>
      </c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</row>
    <row r="392" spans="1:56" x14ac:dyDescent="0.2">
      <c r="F392" s="18" t="s">
        <v>730</v>
      </c>
      <c r="AG392" s="16" t="s">
        <v>723</v>
      </c>
      <c r="AL392" s="33" t="s">
        <v>724</v>
      </c>
    </row>
    <row r="393" spans="1:56" x14ac:dyDescent="0.2">
      <c r="F393" s="18" t="s">
        <v>733</v>
      </c>
      <c r="G393" s="16"/>
      <c r="H393"/>
      <c r="AG393" s="16" t="s">
        <v>725</v>
      </c>
      <c r="AL393" s="33" t="s">
        <v>726</v>
      </c>
    </row>
    <row r="394" spans="1:56" x14ac:dyDescent="0.2">
      <c r="F394" s="18" t="s">
        <v>731</v>
      </c>
      <c r="G394" s="16"/>
      <c r="H394"/>
      <c r="AG394" s="16" t="s">
        <v>727</v>
      </c>
      <c r="AL394" s="33" t="s">
        <v>728</v>
      </c>
    </row>
    <row r="395" spans="1:56" x14ac:dyDescent="0.2">
      <c r="F395" s="18" t="s">
        <v>732</v>
      </c>
      <c r="G395" s="16"/>
      <c r="H395"/>
      <c r="AG395" s="16" t="s">
        <v>729</v>
      </c>
    </row>
    <row r="396" spans="1:56" x14ac:dyDescent="0.2">
      <c r="F396" s="26"/>
    </row>
    <row r="397" spans="1:56" x14ac:dyDescent="0.2">
      <c r="T397" s="26"/>
    </row>
  </sheetData>
  <autoFilter ref="A3:AM3" xr:uid="{97D5E2D7-5867-4C51-A944-D315829BC7DF}"/>
  <sortState xmlns:xlrd2="http://schemas.microsoft.com/office/spreadsheetml/2017/richdata2" ref="A4:AH390">
    <sortCondition ref="A4:A390"/>
    <sortCondition ref="G4:G390"/>
  </sortState>
  <mergeCells count="392">
    <mergeCell ref="AN13:BD13"/>
    <mergeCell ref="AD2:AE2"/>
    <mergeCell ref="AG2:AH2"/>
    <mergeCell ref="AN1:AT1"/>
    <mergeCell ref="AV1:BB1"/>
    <mergeCell ref="AN4:BD4"/>
    <mergeCell ref="AN5:BD5"/>
    <mergeCell ref="AN6:BD6"/>
    <mergeCell ref="AN7:BD7"/>
    <mergeCell ref="AN8:BD8"/>
    <mergeCell ref="AN9:BD9"/>
    <mergeCell ref="AN10:BD10"/>
    <mergeCell ref="AN11:BD11"/>
    <mergeCell ref="AN12:BD12"/>
    <mergeCell ref="AL2:AM2"/>
    <mergeCell ref="AN19:BD19"/>
    <mergeCell ref="AN14:BD14"/>
    <mergeCell ref="AN15:BD15"/>
    <mergeCell ref="AN16:BD16"/>
    <mergeCell ref="AN17:BD17"/>
    <mergeCell ref="AN18:BD18"/>
    <mergeCell ref="AN39:BD39"/>
    <mergeCell ref="AN40:BD40"/>
    <mergeCell ref="AN20:BD20"/>
    <mergeCell ref="AN21:BD21"/>
    <mergeCell ref="AN22:BD22"/>
    <mergeCell ref="AN23:BD23"/>
    <mergeCell ref="AN24:BD24"/>
    <mergeCell ref="AN25:BD25"/>
    <mergeCell ref="AN26:BD26"/>
    <mergeCell ref="AN27:BD27"/>
    <mergeCell ref="AN28:BD28"/>
    <mergeCell ref="AN29:BD29"/>
    <mergeCell ref="AN30:BD30"/>
    <mergeCell ref="AN31:BD31"/>
    <mergeCell ref="AN32:BD32"/>
    <mergeCell ref="AN33:BD33"/>
    <mergeCell ref="AN34:BD34"/>
    <mergeCell ref="AN41:BD41"/>
    <mergeCell ref="AN42:BD42"/>
    <mergeCell ref="AN43:BD43"/>
    <mergeCell ref="AN44:BD44"/>
    <mergeCell ref="AN45:BD45"/>
    <mergeCell ref="AN46:BD46"/>
    <mergeCell ref="AN61:BD61"/>
    <mergeCell ref="AN47:BD47"/>
    <mergeCell ref="AN48:BD48"/>
    <mergeCell ref="AN49:BD49"/>
    <mergeCell ref="AN50:BD50"/>
    <mergeCell ref="AN51:BD51"/>
    <mergeCell ref="AN52:BD52"/>
    <mergeCell ref="AN53:BD53"/>
    <mergeCell ref="AN54:BD54"/>
    <mergeCell ref="AN55:BD55"/>
    <mergeCell ref="AN56:BD56"/>
    <mergeCell ref="AN57:BD57"/>
    <mergeCell ref="AN58:BD58"/>
    <mergeCell ref="AN59:BD59"/>
    <mergeCell ref="AN60:BD60"/>
    <mergeCell ref="AN75:BD75"/>
    <mergeCell ref="AN62:BD62"/>
    <mergeCell ref="AN63:BD63"/>
    <mergeCell ref="AN64:BD64"/>
    <mergeCell ref="AN65:BD65"/>
    <mergeCell ref="AN66:BD66"/>
    <mergeCell ref="AN67:BD67"/>
    <mergeCell ref="AN68:BD68"/>
    <mergeCell ref="AN69:BD69"/>
    <mergeCell ref="AN70:BD70"/>
    <mergeCell ref="AN71:BD71"/>
    <mergeCell ref="AN72:BD72"/>
    <mergeCell ref="AN73:BD73"/>
    <mergeCell ref="AN74:BD74"/>
    <mergeCell ref="AN91:BD91"/>
    <mergeCell ref="AN76:BD76"/>
    <mergeCell ref="AN77:BD77"/>
    <mergeCell ref="AN78:BD78"/>
    <mergeCell ref="AN79:BD79"/>
    <mergeCell ref="AN80:BD80"/>
    <mergeCell ref="AN81:BD81"/>
    <mergeCell ref="AN82:BD82"/>
    <mergeCell ref="AN83:BD83"/>
    <mergeCell ref="AN84:BD84"/>
    <mergeCell ref="AN85:BD85"/>
    <mergeCell ref="AN86:BD86"/>
    <mergeCell ref="AN87:BD87"/>
    <mergeCell ref="AN88:BD88"/>
    <mergeCell ref="AN89:BD89"/>
    <mergeCell ref="AN90:BD90"/>
    <mergeCell ref="AN92:BD92"/>
    <mergeCell ref="AN93:BD93"/>
    <mergeCell ref="AN94:BD94"/>
    <mergeCell ref="AN95:BD95"/>
    <mergeCell ref="AN96:BD96"/>
    <mergeCell ref="AN97:BD97"/>
    <mergeCell ref="AN98:BD98"/>
    <mergeCell ref="AN99:BD99"/>
    <mergeCell ref="AN100:BD100"/>
    <mergeCell ref="AN101:BD101"/>
    <mergeCell ref="AN102:BD102"/>
    <mergeCell ref="AN103:BD103"/>
    <mergeCell ref="AN104:BD104"/>
    <mergeCell ref="AN124:BD124"/>
    <mergeCell ref="AN105:BD105"/>
    <mergeCell ref="AN106:BD106"/>
    <mergeCell ref="AN107:BD107"/>
    <mergeCell ref="AN108:BD108"/>
    <mergeCell ref="AN109:BD109"/>
    <mergeCell ref="AN110:BD110"/>
    <mergeCell ref="AN111:BD111"/>
    <mergeCell ref="AN112:BD112"/>
    <mergeCell ref="AN113:BD113"/>
    <mergeCell ref="AN114:BD114"/>
    <mergeCell ref="AN115:BD115"/>
    <mergeCell ref="AN116:BD116"/>
    <mergeCell ref="AN117:BD117"/>
    <mergeCell ref="AN118:BD118"/>
    <mergeCell ref="AN119:BD119"/>
    <mergeCell ref="AN120:BD120"/>
    <mergeCell ref="AN121:BD121"/>
    <mergeCell ref="AN122:BD122"/>
    <mergeCell ref="AN123:BD123"/>
    <mergeCell ref="AN140:BD140"/>
    <mergeCell ref="AN125:BD125"/>
    <mergeCell ref="AN126:BD126"/>
    <mergeCell ref="AN127:BD127"/>
    <mergeCell ref="AN128:BD128"/>
    <mergeCell ref="AN129:BD129"/>
    <mergeCell ref="AN130:BD130"/>
    <mergeCell ref="AN131:BD131"/>
    <mergeCell ref="AN132:BD132"/>
    <mergeCell ref="AN133:BD133"/>
    <mergeCell ref="AN134:BD134"/>
    <mergeCell ref="AN135:BD135"/>
    <mergeCell ref="AN136:BD136"/>
    <mergeCell ref="AN137:BD137"/>
    <mergeCell ref="AN138:BD138"/>
    <mergeCell ref="AN139:BD139"/>
    <mergeCell ref="AN159:BD159"/>
    <mergeCell ref="AN141:BD141"/>
    <mergeCell ref="AN142:BD142"/>
    <mergeCell ref="AN143:BD143"/>
    <mergeCell ref="AN144:BD144"/>
    <mergeCell ref="AN145:BD145"/>
    <mergeCell ref="AN146:BD146"/>
    <mergeCell ref="AN147:BD147"/>
    <mergeCell ref="AN148:BD148"/>
    <mergeCell ref="AN149:BD149"/>
    <mergeCell ref="AN150:BD150"/>
    <mergeCell ref="AN151:BD151"/>
    <mergeCell ref="AN152:BD152"/>
    <mergeCell ref="AN153:BD153"/>
    <mergeCell ref="AN154:BD154"/>
    <mergeCell ref="AN155:BD155"/>
    <mergeCell ref="AN156:BD156"/>
    <mergeCell ref="AN157:BD157"/>
    <mergeCell ref="AN158:BD158"/>
    <mergeCell ref="AN160:BD160"/>
    <mergeCell ref="AN161:BD161"/>
    <mergeCell ref="AN162:BD162"/>
    <mergeCell ref="AN163:BD163"/>
    <mergeCell ref="AN164:BD164"/>
    <mergeCell ref="AN165:BD165"/>
    <mergeCell ref="AN166:BD166"/>
    <mergeCell ref="AN167:BD167"/>
    <mergeCell ref="AN168:BD168"/>
    <mergeCell ref="AN169:BD169"/>
    <mergeCell ref="AN170:BD170"/>
    <mergeCell ref="AN171:BD171"/>
    <mergeCell ref="AN172:BD172"/>
    <mergeCell ref="AN173:BD173"/>
    <mergeCell ref="AN174:BD174"/>
    <mergeCell ref="AN175:BD175"/>
    <mergeCell ref="AN176:BD176"/>
    <mergeCell ref="AN177:BD177"/>
    <mergeCell ref="AN178:BD178"/>
    <mergeCell ref="AN179:BD179"/>
    <mergeCell ref="AN180:BD180"/>
    <mergeCell ref="AN181:BD181"/>
    <mergeCell ref="AN182:BD182"/>
    <mergeCell ref="AN186:BD186"/>
    <mergeCell ref="AN187:BD187"/>
    <mergeCell ref="AN183:BD183"/>
    <mergeCell ref="AN184:BD184"/>
    <mergeCell ref="AN204:BD204"/>
    <mergeCell ref="AN185:BD185"/>
    <mergeCell ref="AN188:BD188"/>
    <mergeCell ref="AN189:BD189"/>
    <mergeCell ref="AN190:BD190"/>
    <mergeCell ref="AN191:BD191"/>
    <mergeCell ref="AN192:BD192"/>
    <mergeCell ref="AN193:BD193"/>
    <mergeCell ref="AN194:BD194"/>
    <mergeCell ref="AN195:BD195"/>
    <mergeCell ref="AN196:BD196"/>
    <mergeCell ref="AN197:BD197"/>
    <mergeCell ref="AN198:BD198"/>
    <mergeCell ref="AN199:BD199"/>
    <mergeCell ref="AN200:BD200"/>
    <mergeCell ref="AN201:BD201"/>
    <mergeCell ref="AN202:BD202"/>
    <mergeCell ref="AN203:BD203"/>
    <mergeCell ref="AN222:BD222"/>
    <mergeCell ref="AN205:BD205"/>
    <mergeCell ref="AN206:BD206"/>
    <mergeCell ref="AN207:BD207"/>
    <mergeCell ref="AN208:BD208"/>
    <mergeCell ref="AN209:BD209"/>
    <mergeCell ref="AN210:BD210"/>
    <mergeCell ref="AN211:BD211"/>
    <mergeCell ref="AN212:BD212"/>
    <mergeCell ref="AN213:BD213"/>
    <mergeCell ref="AN214:BD214"/>
    <mergeCell ref="AN215:BD215"/>
    <mergeCell ref="AN216:BD216"/>
    <mergeCell ref="AN217:BD217"/>
    <mergeCell ref="AN218:BD218"/>
    <mergeCell ref="AN219:BD219"/>
    <mergeCell ref="AN220:BD220"/>
    <mergeCell ref="AN221:BD221"/>
    <mergeCell ref="AN223:BD223"/>
    <mergeCell ref="AN224:BD224"/>
    <mergeCell ref="AN225:BD225"/>
    <mergeCell ref="AN226:BD226"/>
    <mergeCell ref="AN227:BD227"/>
    <mergeCell ref="AN228:BD228"/>
    <mergeCell ref="AN229:BD229"/>
    <mergeCell ref="AN230:BD230"/>
    <mergeCell ref="AN231:BD231"/>
    <mergeCell ref="AN232:BD232"/>
    <mergeCell ref="AN233:BD233"/>
    <mergeCell ref="AN234:BD234"/>
    <mergeCell ref="AN235:BD235"/>
    <mergeCell ref="AN236:BD236"/>
    <mergeCell ref="AN237:BD237"/>
    <mergeCell ref="AN238:BD238"/>
    <mergeCell ref="AN239:BD239"/>
    <mergeCell ref="AN258:BD258"/>
    <mergeCell ref="AN240:BD240"/>
    <mergeCell ref="AN241:BD241"/>
    <mergeCell ref="AN242:BD242"/>
    <mergeCell ref="AN243:BD243"/>
    <mergeCell ref="AN244:BD244"/>
    <mergeCell ref="AN245:BD245"/>
    <mergeCell ref="AN246:BD246"/>
    <mergeCell ref="AN247:BD247"/>
    <mergeCell ref="AN248:BD248"/>
    <mergeCell ref="AN249:BD249"/>
    <mergeCell ref="AN250:BD250"/>
    <mergeCell ref="AN251:BD251"/>
    <mergeCell ref="AN252:BD252"/>
    <mergeCell ref="AN253:BD253"/>
    <mergeCell ref="AN254:BD254"/>
    <mergeCell ref="AN255:BD255"/>
    <mergeCell ref="AN256:BD256"/>
    <mergeCell ref="AN257:BD257"/>
    <mergeCell ref="AN276:BD276"/>
    <mergeCell ref="AN259:BD259"/>
    <mergeCell ref="AN260:BD260"/>
    <mergeCell ref="AN261:BD261"/>
    <mergeCell ref="AN262:BD262"/>
    <mergeCell ref="AN263:BD263"/>
    <mergeCell ref="AN264:BD264"/>
    <mergeCell ref="AN265:BD265"/>
    <mergeCell ref="AN266:BD266"/>
    <mergeCell ref="AN267:BD267"/>
    <mergeCell ref="AN268:BD268"/>
    <mergeCell ref="AN269:BD269"/>
    <mergeCell ref="AN270:BD270"/>
    <mergeCell ref="AN271:BD271"/>
    <mergeCell ref="AN272:BD272"/>
    <mergeCell ref="AN273:BD273"/>
    <mergeCell ref="AN274:BD274"/>
    <mergeCell ref="AN275:BD275"/>
    <mergeCell ref="AN291:BD291"/>
    <mergeCell ref="AN277:BD277"/>
    <mergeCell ref="AN278:BD278"/>
    <mergeCell ref="AN279:BD279"/>
    <mergeCell ref="AN280:BD280"/>
    <mergeCell ref="AN281:BD281"/>
    <mergeCell ref="AN282:BD282"/>
    <mergeCell ref="AN283:BD283"/>
    <mergeCell ref="AN284:BD284"/>
    <mergeCell ref="AN285:BD285"/>
    <mergeCell ref="AN286:BD286"/>
    <mergeCell ref="AN287:BD287"/>
    <mergeCell ref="AN288:BD288"/>
    <mergeCell ref="AN289:BD289"/>
    <mergeCell ref="AN290:BD290"/>
    <mergeCell ref="AN307:BD307"/>
    <mergeCell ref="AN292:BD292"/>
    <mergeCell ref="AN293:BD293"/>
    <mergeCell ref="AN294:BD294"/>
    <mergeCell ref="AN295:BD295"/>
    <mergeCell ref="AN296:BD296"/>
    <mergeCell ref="AN297:BD297"/>
    <mergeCell ref="AN298:BD298"/>
    <mergeCell ref="AN299:BD299"/>
    <mergeCell ref="AN300:BD300"/>
    <mergeCell ref="AN301:BD301"/>
    <mergeCell ref="AN302:BD302"/>
    <mergeCell ref="AN303:BD303"/>
    <mergeCell ref="AN304:BD304"/>
    <mergeCell ref="AN305:BD305"/>
    <mergeCell ref="AN306:BD306"/>
    <mergeCell ref="AN327:BD327"/>
    <mergeCell ref="AN308:BD308"/>
    <mergeCell ref="AN309:BD309"/>
    <mergeCell ref="AN310:BD310"/>
    <mergeCell ref="AN311:BD311"/>
    <mergeCell ref="AN312:BD312"/>
    <mergeCell ref="AN313:BD313"/>
    <mergeCell ref="AN314:BD314"/>
    <mergeCell ref="AN315:BD315"/>
    <mergeCell ref="AN316:BD316"/>
    <mergeCell ref="AN317:BD317"/>
    <mergeCell ref="AN318:BD318"/>
    <mergeCell ref="AN319:BD319"/>
    <mergeCell ref="AN320:BD320"/>
    <mergeCell ref="AN321:BD321"/>
    <mergeCell ref="AN322:BD322"/>
    <mergeCell ref="AN323:BD323"/>
    <mergeCell ref="AN324:BD324"/>
    <mergeCell ref="AN325:BD325"/>
    <mergeCell ref="AN326:BD326"/>
    <mergeCell ref="AN362:BD362"/>
    <mergeCell ref="AN363:BD363"/>
    <mergeCell ref="AN364:BD364"/>
    <mergeCell ref="AN328:BD328"/>
    <mergeCell ref="AN329:BD329"/>
    <mergeCell ref="AN330:BD330"/>
    <mergeCell ref="AN331:BD331"/>
    <mergeCell ref="AN332:BD332"/>
    <mergeCell ref="AN333:BD333"/>
    <mergeCell ref="AN334:BD334"/>
    <mergeCell ref="AN335:BD335"/>
    <mergeCell ref="AN343:BD343"/>
    <mergeCell ref="AN336:BD336"/>
    <mergeCell ref="AN337:BD337"/>
    <mergeCell ref="AN338:BD338"/>
    <mergeCell ref="AN339:BD339"/>
    <mergeCell ref="AN340:BD340"/>
    <mergeCell ref="AN341:BD341"/>
    <mergeCell ref="AN342:BD342"/>
    <mergeCell ref="AN370:BD370"/>
    <mergeCell ref="AN371:BD371"/>
    <mergeCell ref="AN372:BD372"/>
    <mergeCell ref="AN373:BD373"/>
    <mergeCell ref="AN374:BD374"/>
    <mergeCell ref="AN344:BD344"/>
    <mergeCell ref="AN345:BD345"/>
    <mergeCell ref="AN346:BD346"/>
    <mergeCell ref="AN347:BD347"/>
    <mergeCell ref="AN348:BD348"/>
    <mergeCell ref="AN349:BD349"/>
    <mergeCell ref="AN350:BD350"/>
    <mergeCell ref="AN365:BD365"/>
    <mergeCell ref="AN351:BD351"/>
    <mergeCell ref="AN352:BD352"/>
    <mergeCell ref="AN353:BD353"/>
    <mergeCell ref="AN354:BD354"/>
    <mergeCell ref="AN355:BD355"/>
    <mergeCell ref="AN356:BD356"/>
    <mergeCell ref="AN357:BD357"/>
    <mergeCell ref="AN358:BD358"/>
    <mergeCell ref="AN359:BD359"/>
    <mergeCell ref="AN360:BD360"/>
    <mergeCell ref="AN361:BD361"/>
    <mergeCell ref="AN390:BD390"/>
    <mergeCell ref="AN381:BD381"/>
    <mergeCell ref="AN382:BD382"/>
    <mergeCell ref="AN383:BD383"/>
    <mergeCell ref="AN384:BD384"/>
    <mergeCell ref="AN385:BD385"/>
    <mergeCell ref="AN386:BD386"/>
    <mergeCell ref="AN35:BD35"/>
    <mergeCell ref="AN36:BD36"/>
    <mergeCell ref="AN37:BD37"/>
    <mergeCell ref="AN38:BD38"/>
    <mergeCell ref="AN375:BD375"/>
    <mergeCell ref="AN376:BD376"/>
    <mergeCell ref="AN377:BD377"/>
    <mergeCell ref="AN378:BD378"/>
    <mergeCell ref="AN379:BD379"/>
    <mergeCell ref="AN380:BD380"/>
    <mergeCell ref="AN387:BD387"/>
    <mergeCell ref="AN388:BD388"/>
    <mergeCell ref="AN389:BD389"/>
    <mergeCell ref="AN366:BD366"/>
    <mergeCell ref="AN367:BD367"/>
    <mergeCell ref="AN368:BD368"/>
    <mergeCell ref="AN369:BD369"/>
  </mergeCells>
  <phoneticPr fontId="2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636C5596-04E6-4A1E-B6C6-F820D5420AA1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'Molecules_Negative-ion mode'!I4:Y4</xm:f>
              <xm:sqref>AN4</xm:sqref>
            </x14:sparkline>
            <x14:sparkline>
              <xm:f>'Molecules_Negative-ion mode'!I5:Y5</xm:f>
              <xm:sqref>AN5</xm:sqref>
            </x14:sparkline>
            <x14:sparkline>
              <xm:f>'Molecules_Negative-ion mode'!I6:Y6</xm:f>
              <xm:sqref>AN6</xm:sqref>
            </x14:sparkline>
            <x14:sparkline>
              <xm:f>'Molecules_Negative-ion mode'!I7:Y7</xm:f>
              <xm:sqref>AN7</xm:sqref>
            </x14:sparkline>
            <x14:sparkline>
              <xm:f>'Molecules_Negative-ion mode'!I8:Y8</xm:f>
              <xm:sqref>AN8</xm:sqref>
            </x14:sparkline>
            <x14:sparkline>
              <xm:f>'Molecules_Negative-ion mode'!I9:Y9</xm:f>
              <xm:sqref>AN9</xm:sqref>
            </x14:sparkline>
            <x14:sparkline>
              <xm:f>'Molecules_Negative-ion mode'!I10:Y10</xm:f>
              <xm:sqref>AN10</xm:sqref>
            </x14:sparkline>
            <x14:sparkline>
              <xm:f>'Molecules_Negative-ion mode'!I11:Y11</xm:f>
              <xm:sqref>AN11</xm:sqref>
            </x14:sparkline>
            <x14:sparkline>
              <xm:f>'Molecules_Negative-ion mode'!I12:Y12</xm:f>
              <xm:sqref>AN12</xm:sqref>
            </x14:sparkline>
            <x14:sparkline>
              <xm:f>'Molecules_Negative-ion mode'!I13:Y13</xm:f>
              <xm:sqref>AN13</xm:sqref>
            </x14:sparkline>
            <x14:sparkline>
              <xm:f>'Molecules_Negative-ion mode'!I14:Y14</xm:f>
              <xm:sqref>AN14</xm:sqref>
            </x14:sparkline>
            <x14:sparkline>
              <xm:f>'Molecules_Negative-ion mode'!I15:Y15</xm:f>
              <xm:sqref>AN15</xm:sqref>
            </x14:sparkline>
            <x14:sparkline>
              <xm:f>'Molecules_Negative-ion mode'!I16:Y16</xm:f>
              <xm:sqref>AN16</xm:sqref>
            </x14:sparkline>
            <x14:sparkline>
              <xm:f>'Molecules_Negative-ion mode'!I17:Y17</xm:f>
              <xm:sqref>AN17</xm:sqref>
            </x14:sparkline>
            <x14:sparkline>
              <xm:f>'Molecules_Negative-ion mode'!I18:Y18</xm:f>
              <xm:sqref>AN18</xm:sqref>
            </x14:sparkline>
            <x14:sparkline>
              <xm:f>'Molecules_Negative-ion mode'!I19:Y19</xm:f>
              <xm:sqref>AN19</xm:sqref>
            </x14:sparkline>
            <x14:sparkline>
              <xm:f>'Molecules_Negative-ion mode'!I20:Y20</xm:f>
              <xm:sqref>AN20</xm:sqref>
            </x14:sparkline>
            <x14:sparkline>
              <xm:f>'Molecules_Negative-ion mode'!I21:Y21</xm:f>
              <xm:sqref>AN21</xm:sqref>
            </x14:sparkline>
            <x14:sparkline>
              <xm:f>'Molecules_Negative-ion mode'!I22:Y22</xm:f>
              <xm:sqref>AN22</xm:sqref>
            </x14:sparkline>
            <x14:sparkline>
              <xm:f>'Molecules_Negative-ion mode'!I23:Y23</xm:f>
              <xm:sqref>AN23</xm:sqref>
            </x14:sparkline>
            <x14:sparkline>
              <xm:f>'Molecules_Negative-ion mode'!I24:Y24</xm:f>
              <xm:sqref>AN24</xm:sqref>
            </x14:sparkline>
            <x14:sparkline>
              <xm:f>'Molecules_Negative-ion mode'!I25:Y25</xm:f>
              <xm:sqref>AN25</xm:sqref>
            </x14:sparkline>
            <x14:sparkline>
              <xm:f>'Molecules_Negative-ion mode'!I26:Y26</xm:f>
              <xm:sqref>AN26</xm:sqref>
            </x14:sparkline>
            <x14:sparkline>
              <xm:f>'Molecules_Negative-ion mode'!I27:Y27</xm:f>
              <xm:sqref>AN27</xm:sqref>
            </x14:sparkline>
            <x14:sparkline>
              <xm:f>'Molecules_Negative-ion mode'!I28:Y28</xm:f>
              <xm:sqref>AN28</xm:sqref>
            </x14:sparkline>
            <x14:sparkline>
              <xm:f>'Molecules_Negative-ion mode'!I29:Y29</xm:f>
              <xm:sqref>AN29</xm:sqref>
            </x14:sparkline>
            <x14:sparkline>
              <xm:f>'Molecules_Negative-ion mode'!I30:Y30</xm:f>
              <xm:sqref>AN30</xm:sqref>
            </x14:sparkline>
            <x14:sparkline>
              <xm:f>'Molecules_Negative-ion mode'!I31:Y31</xm:f>
              <xm:sqref>AN31</xm:sqref>
            </x14:sparkline>
            <x14:sparkline>
              <xm:f>'Molecules_Negative-ion mode'!I32:Y32</xm:f>
              <xm:sqref>AN32</xm:sqref>
            </x14:sparkline>
            <x14:sparkline>
              <xm:f>'Molecules_Negative-ion mode'!I33:Y33</xm:f>
              <xm:sqref>AN33</xm:sqref>
            </x14:sparkline>
            <x14:sparkline>
              <xm:f>'Molecules_Negative-ion mode'!I34:Y34</xm:f>
              <xm:sqref>AN34</xm:sqref>
            </x14:sparkline>
            <x14:sparkline>
              <xm:f>'Molecules_Negative-ion mode'!I35:Y35</xm:f>
              <xm:sqref>AN35</xm:sqref>
            </x14:sparkline>
            <x14:sparkline>
              <xm:f>'Molecules_Negative-ion mode'!I36:Y36</xm:f>
              <xm:sqref>AN36</xm:sqref>
            </x14:sparkline>
            <x14:sparkline>
              <xm:f>'Molecules_Negative-ion mode'!I37:Y37</xm:f>
              <xm:sqref>AN37</xm:sqref>
            </x14:sparkline>
            <x14:sparkline>
              <xm:f>'Molecules_Negative-ion mode'!I38:Y38</xm:f>
              <xm:sqref>AN38</xm:sqref>
            </x14:sparkline>
            <x14:sparkline>
              <xm:f>'Molecules_Negative-ion mode'!I39:Y39</xm:f>
              <xm:sqref>AN39</xm:sqref>
            </x14:sparkline>
            <x14:sparkline>
              <xm:f>'Molecules_Negative-ion mode'!I40:Y40</xm:f>
              <xm:sqref>AN40</xm:sqref>
            </x14:sparkline>
            <x14:sparkline>
              <xm:f>'Molecules_Negative-ion mode'!I41:Y41</xm:f>
              <xm:sqref>AN41</xm:sqref>
            </x14:sparkline>
            <x14:sparkline>
              <xm:f>'Molecules_Negative-ion mode'!I42:Y42</xm:f>
              <xm:sqref>AN42</xm:sqref>
            </x14:sparkline>
            <x14:sparkline>
              <xm:f>'Molecules_Negative-ion mode'!I43:Y43</xm:f>
              <xm:sqref>AN43</xm:sqref>
            </x14:sparkline>
            <x14:sparkline>
              <xm:f>'Molecules_Negative-ion mode'!I44:Y44</xm:f>
              <xm:sqref>AN44</xm:sqref>
            </x14:sparkline>
            <x14:sparkline>
              <xm:f>'Molecules_Negative-ion mode'!I45:Y45</xm:f>
              <xm:sqref>AN45</xm:sqref>
            </x14:sparkline>
            <x14:sparkline>
              <xm:f>'Molecules_Negative-ion mode'!I46:Y46</xm:f>
              <xm:sqref>AN46</xm:sqref>
            </x14:sparkline>
            <x14:sparkline>
              <xm:f>'Molecules_Negative-ion mode'!I47:Y47</xm:f>
              <xm:sqref>AN47</xm:sqref>
            </x14:sparkline>
            <x14:sparkline>
              <xm:f>'Molecules_Negative-ion mode'!I48:Y48</xm:f>
              <xm:sqref>AN48</xm:sqref>
            </x14:sparkline>
            <x14:sparkline>
              <xm:f>'Molecules_Negative-ion mode'!I49:Y49</xm:f>
              <xm:sqref>AN49</xm:sqref>
            </x14:sparkline>
            <x14:sparkline>
              <xm:f>'Molecules_Negative-ion mode'!I50:Y50</xm:f>
              <xm:sqref>AN50</xm:sqref>
            </x14:sparkline>
            <x14:sparkline>
              <xm:f>'Molecules_Negative-ion mode'!I51:Y51</xm:f>
              <xm:sqref>AN51</xm:sqref>
            </x14:sparkline>
            <x14:sparkline>
              <xm:f>'Molecules_Negative-ion mode'!I52:Y52</xm:f>
              <xm:sqref>AN52</xm:sqref>
            </x14:sparkline>
            <x14:sparkline>
              <xm:f>'Molecules_Negative-ion mode'!I53:Y53</xm:f>
              <xm:sqref>AN53</xm:sqref>
            </x14:sparkline>
            <x14:sparkline>
              <xm:f>'Molecules_Negative-ion mode'!I54:Y54</xm:f>
              <xm:sqref>AN54</xm:sqref>
            </x14:sparkline>
            <x14:sparkline>
              <xm:f>'Molecules_Negative-ion mode'!I55:Y55</xm:f>
              <xm:sqref>AN55</xm:sqref>
            </x14:sparkline>
            <x14:sparkline>
              <xm:f>'Molecules_Negative-ion mode'!I56:Y56</xm:f>
              <xm:sqref>AN56</xm:sqref>
            </x14:sparkline>
            <x14:sparkline>
              <xm:f>'Molecules_Negative-ion mode'!I57:Y57</xm:f>
              <xm:sqref>AN57</xm:sqref>
            </x14:sparkline>
            <x14:sparkline>
              <xm:f>'Molecules_Negative-ion mode'!I58:Y58</xm:f>
              <xm:sqref>AN58</xm:sqref>
            </x14:sparkline>
            <x14:sparkline>
              <xm:f>'Molecules_Negative-ion mode'!I59:Y59</xm:f>
              <xm:sqref>AN59</xm:sqref>
            </x14:sparkline>
            <x14:sparkline>
              <xm:f>'Molecules_Negative-ion mode'!I60:Y60</xm:f>
              <xm:sqref>AN60</xm:sqref>
            </x14:sparkline>
            <x14:sparkline>
              <xm:f>'Molecules_Negative-ion mode'!I61:Y61</xm:f>
              <xm:sqref>AN61</xm:sqref>
            </x14:sparkline>
            <x14:sparkline>
              <xm:f>'Molecules_Negative-ion mode'!I62:Y62</xm:f>
              <xm:sqref>AN62</xm:sqref>
            </x14:sparkline>
            <x14:sparkline>
              <xm:f>'Molecules_Negative-ion mode'!I63:Y63</xm:f>
              <xm:sqref>AN63</xm:sqref>
            </x14:sparkline>
            <x14:sparkline>
              <xm:f>'Molecules_Negative-ion mode'!I64:Y64</xm:f>
              <xm:sqref>AN64</xm:sqref>
            </x14:sparkline>
            <x14:sparkline>
              <xm:f>'Molecules_Negative-ion mode'!I65:Y65</xm:f>
              <xm:sqref>AN65</xm:sqref>
            </x14:sparkline>
            <x14:sparkline>
              <xm:f>'Molecules_Negative-ion mode'!I66:Y66</xm:f>
              <xm:sqref>AN66</xm:sqref>
            </x14:sparkline>
            <x14:sparkline>
              <xm:f>'Molecules_Negative-ion mode'!I67:Y67</xm:f>
              <xm:sqref>AN67</xm:sqref>
            </x14:sparkline>
            <x14:sparkline>
              <xm:f>'Molecules_Negative-ion mode'!I68:Y68</xm:f>
              <xm:sqref>AN68</xm:sqref>
            </x14:sparkline>
            <x14:sparkline>
              <xm:f>'Molecules_Negative-ion mode'!I69:Y69</xm:f>
              <xm:sqref>AN69</xm:sqref>
            </x14:sparkline>
            <x14:sparkline>
              <xm:f>'Molecules_Negative-ion mode'!I70:Y70</xm:f>
              <xm:sqref>AN70</xm:sqref>
            </x14:sparkline>
            <x14:sparkline>
              <xm:f>'Molecules_Negative-ion mode'!I71:Y71</xm:f>
              <xm:sqref>AN71</xm:sqref>
            </x14:sparkline>
            <x14:sparkline>
              <xm:f>'Molecules_Negative-ion mode'!I72:Y72</xm:f>
              <xm:sqref>AN72</xm:sqref>
            </x14:sparkline>
            <x14:sparkline>
              <xm:f>'Molecules_Negative-ion mode'!I73:Y73</xm:f>
              <xm:sqref>AN73</xm:sqref>
            </x14:sparkline>
            <x14:sparkline>
              <xm:f>'Molecules_Negative-ion mode'!I74:Y74</xm:f>
              <xm:sqref>AN74</xm:sqref>
            </x14:sparkline>
            <x14:sparkline>
              <xm:f>'Molecules_Negative-ion mode'!I75:Y75</xm:f>
              <xm:sqref>AN75</xm:sqref>
            </x14:sparkline>
            <x14:sparkline>
              <xm:f>'Molecules_Negative-ion mode'!I76:Y76</xm:f>
              <xm:sqref>AN76</xm:sqref>
            </x14:sparkline>
            <x14:sparkline>
              <xm:f>'Molecules_Negative-ion mode'!I77:Y77</xm:f>
              <xm:sqref>AN77</xm:sqref>
            </x14:sparkline>
            <x14:sparkline>
              <xm:f>'Molecules_Negative-ion mode'!I78:Y78</xm:f>
              <xm:sqref>AN78</xm:sqref>
            </x14:sparkline>
            <x14:sparkline>
              <xm:f>'Molecules_Negative-ion mode'!I79:Y79</xm:f>
              <xm:sqref>AN79</xm:sqref>
            </x14:sparkline>
            <x14:sparkline>
              <xm:f>'Molecules_Negative-ion mode'!I80:Y80</xm:f>
              <xm:sqref>AN80</xm:sqref>
            </x14:sparkline>
            <x14:sparkline>
              <xm:f>'Molecules_Negative-ion mode'!I81:Y81</xm:f>
              <xm:sqref>AN81</xm:sqref>
            </x14:sparkline>
            <x14:sparkline>
              <xm:f>'Molecules_Negative-ion mode'!I82:Y82</xm:f>
              <xm:sqref>AN82</xm:sqref>
            </x14:sparkline>
            <x14:sparkline>
              <xm:f>'Molecules_Negative-ion mode'!I83:Y83</xm:f>
              <xm:sqref>AN83</xm:sqref>
            </x14:sparkline>
            <x14:sparkline>
              <xm:f>'Molecules_Negative-ion mode'!I84:Y84</xm:f>
              <xm:sqref>AN84</xm:sqref>
            </x14:sparkline>
            <x14:sparkline>
              <xm:f>'Molecules_Negative-ion mode'!I85:Y85</xm:f>
              <xm:sqref>AN85</xm:sqref>
            </x14:sparkline>
            <x14:sparkline>
              <xm:f>'Molecules_Negative-ion mode'!I86:Y86</xm:f>
              <xm:sqref>AN86</xm:sqref>
            </x14:sparkline>
            <x14:sparkline>
              <xm:f>'Molecules_Negative-ion mode'!I87:Y87</xm:f>
              <xm:sqref>AN87</xm:sqref>
            </x14:sparkline>
            <x14:sparkline>
              <xm:f>'Molecules_Negative-ion mode'!I88:Y88</xm:f>
              <xm:sqref>AN88</xm:sqref>
            </x14:sparkline>
            <x14:sparkline>
              <xm:f>'Molecules_Negative-ion mode'!I89:Y89</xm:f>
              <xm:sqref>AN89</xm:sqref>
            </x14:sparkline>
            <x14:sparkline>
              <xm:f>'Molecules_Negative-ion mode'!I90:Y90</xm:f>
              <xm:sqref>AN90</xm:sqref>
            </x14:sparkline>
            <x14:sparkline>
              <xm:f>'Molecules_Negative-ion mode'!I91:Y91</xm:f>
              <xm:sqref>AN91</xm:sqref>
            </x14:sparkline>
            <x14:sparkline>
              <xm:f>'Molecules_Negative-ion mode'!I92:Y92</xm:f>
              <xm:sqref>AN92</xm:sqref>
            </x14:sparkline>
            <x14:sparkline>
              <xm:f>'Molecules_Negative-ion mode'!I93:Y93</xm:f>
              <xm:sqref>AN93</xm:sqref>
            </x14:sparkline>
            <x14:sparkline>
              <xm:f>'Molecules_Negative-ion mode'!I94:Y94</xm:f>
              <xm:sqref>AN94</xm:sqref>
            </x14:sparkline>
            <x14:sparkline>
              <xm:f>'Molecules_Negative-ion mode'!I95:Y95</xm:f>
              <xm:sqref>AN95</xm:sqref>
            </x14:sparkline>
            <x14:sparkline>
              <xm:f>'Molecules_Negative-ion mode'!I96:Y96</xm:f>
              <xm:sqref>AN96</xm:sqref>
            </x14:sparkline>
            <x14:sparkline>
              <xm:f>'Molecules_Negative-ion mode'!I97:Y97</xm:f>
              <xm:sqref>AN97</xm:sqref>
            </x14:sparkline>
            <x14:sparkline>
              <xm:f>'Molecules_Negative-ion mode'!I98:Y98</xm:f>
              <xm:sqref>AN98</xm:sqref>
            </x14:sparkline>
            <x14:sparkline>
              <xm:f>'Molecules_Negative-ion mode'!I99:Y99</xm:f>
              <xm:sqref>AN99</xm:sqref>
            </x14:sparkline>
            <x14:sparkline>
              <xm:f>'Molecules_Negative-ion mode'!I100:Y100</xm:f>
              <xm:sqref>AN100</xm:sqref>
            </x14:sparkline>
            <x14:sparkline>
              <xm:f>'Molecules_Negative-ion mode'!I101:Y101</xm:f>
              <xm:sqref>AN101</xm:sqref>
            </x14:sparkline>
            <x14:sparkline>
              <xm:f>'Molecules_Negative-ion mode'!I102:Y102</xm:f>
              <xm:sqref>AN102</xm:sqref>
            </x14:sparkline>
            <x14:sparkline>
              <xm:f>'Molecules_Negative-ion mode'!I103:Y103</xm:f>
              <xm:sqref>AN103</xm:sqref>
            </x14:sparkline>
            <x14:sparkline>
              <xm:f>'Molecules_Negative-ion mode'!I104:Y104</xm:f>
              <xm:sqref>AN104</xm:sqref>
            </x14:sparkline>
            <x14:sparkline>
              <xm:f>'Molecules_Negative-ion mode'!I105:Y105</xm:f>
              <xm:sqref>AN105</xm:sqref>
            </x14:sparkline>
            <x14:sparkline>
              <xm:f>'Molecules_Negative-ion mode'!I106:Y106</xm:f>
              <xm:sqref>AN106</xm:sqref>
            </x14:sparkline>
            <x14:sparkline>
              <xm:f>'Molecules_Negative-ion mode'!I107:Y107</xm:f>
              <xm:sqref>AN107</xm:sqref>
            </x14:sparkline>
            <x14:sparkline>
              <xm:f>'Molecules_Negative-ion mode'!I108:Y108</xm:f>
              <xm:sqref>AN108</xm:sqref>
            </x14:sparkline>
            <x14:sparkline>
              <xm:f>'Molecules_Negative-ion mode'!I109:Y109</xm:f>
              <xm:sqref>AN109</xm:sqref>
            </x14:sparkline>
            <x14:sparkline>
              <xm:f>'Molecules_Negative-ion mode'!I110:Y110</xm:f>
              <xm:sqref>AN110</xm:sqref>
            </x14:sparkline>
            <x14:sparkline>
              <xm:f>'Molecules_Negative-ion mode'!I111:Y111</xm:f>
              <xm:sqref>AN111</xm:sqref>
            </x14:sparkline>
            <x14:sparkline>
              <xm:f>'Molecules_Negative-ion mode'!I112:Y112</xm:f>
              <xm:sqref>AN112</xm:sqref>
            </x14:sparkline>
            <x14:sparkline>
              <xm:f>'Molecules_Negative-ion mode'!I113:Y113</xm:f>
              <xm:sqref>AN113</xm:sqref>
            </x14:sparkline>
            <x14:sparkline>
              <xm:f>'Molecules_Negative-ion mode'!I114:Y114</xm:f>
              <xm:sqref>AN114</xm:sqref>
            </x14:sparkline>
            <x14:sparkline>
              <xm:f>'Molecules_Negative-ion mode'!I115:Y115</xm:f>
              <xm:sqref>AN115</xm:sqref>
            </x14:sparkline>
            <x14:sparkline>
              <xm:f>'Molecules_Negative-ion mode'!I116:Y116</xm:f>
              <xm:sqref>AN116</xm:sqref>
            </x14:sparkline>
            <x14:sparkline>
              <xm:f>'Molecules_Negative-ion mode'!I117:Y117</xm:f>
              <xm:sqref>AN117</xm:sqref>
            </x14:sparkline>
            <x14:sparkline>
              <xm:f>'Molecules_Negative-ion mode'!I118:Y118</xm:f>
              <xm:sqref>AN118</xm:sqref>
            </x14:sparkline>
            <x14:sparkline>
              <xm:f>'Molecules_Negative-ion mode'!I119:Y119</xm:f>
              <xm:sqref>AN119</xm:sqref>
            </x14:sparkline>
            <x14:sparkline>
              <xm:f>'Molecules_Negative-ion mode'!I120:Y120</xm:f>
              <xm:sqref>AN120</xm:sqref>
            </x14:sparkline>
            <x14:sparkline>
              <xm:f>'Molecules_Negative-ion mode'!I121:Y121</xm:f>
              <xm:sqref>AN121</xm:sqref>
            </x14:sparkline>
            <x14:sparkline>
              <xm:f>'Molecules_Negative-ion mode'!I122:Y122</xm:f>
              <xm:sqref>AN122</xm:sqref>
            </x14:sparkline>
            <x14:sparkline>
              <xm:f>'Molecules_Negative-ion mode'!I123:Y123</xm:f>
              <xm:sqref>AN123</xm:sqref>
            </x14:sparkline>
            <x14:sparkline>
              <xm:f>'Molecules_Negative-ion mode'!I124:Y124</xm:f>
              <xm:sqref>AN124</xm:sqref>
            </x14:sparkline>
            <x14:sparkline>
              <xm:f>'Molecules_Negative-ion mode'!I125:Y125</xm:f>
              <xm:sqref>AN125</xm:sqref>
            </x14:sparkline>
            <x14:sparkline>
              <xm:f>'Molecules_Negative-ion mode'!I126:Y126</xm:f>
              <xm:sqref>AN126</xm:sqref>
            </x14:sparkline>
            <x14:sparkline>
              <xm:f>'Molecules_Negative-ion mode'!I127:Y127</xm:f>
              <xm:sqref>AN127</xm:sqref>
            </x14:sparkline>
            <x14:sparkline>
              <xm:f>'Molecules_Negative-ion mode'!I128:Y128</xm:f>
              <xm:sqref>AN128</xm:sqref>
            </x14:sparkline>
            <x14:sparkline>
              <xm:f>'Molecules_Negative-ion mode'!I129:Y129</xm:f>
              <xm:sqref>AN129</xm:sqref>
            </x14:sparkline>
            <x14:sparkline>
              <xm:f>'Molecules_Negative-ion mode'!I130:Y130</xm:f>
              <xm:sqref>AN130</xm:sqref>
            </x14:sparkline>
            <x14:sparkline>
              <xm:f>'Molecules_Negative-ion mode'!I131:Y131</xm:f>
              <xm:sqref>AN131</xm:sqref>
            </x14:sparkline>
            <x14:sparkline>
              <xm:f>'Molecules_Negative-ion mode'!I132:Y132</xm:f>
              <xm:sqref>AN132</xm:sqref>
            </x14:sparkline>
            <x14:sparkline>
              <xm:f>'Molecules_Negative-ion mode'!I133:Y133</xm:f>
              <xm:sqref>AN133</xm:sqref>
            </x14:sparkline>
            <x14:sparkline>
              <xm:f>'Molecules_Negative-ion mode'!I134:Y134</xm:f>
              <xm:sqref>AN134</xm:sqref>
            </x14:sparkline>
            <x14:sparkline>
              <xm:f>'Molecules_Negative-ion mode'!I135:Y135</xm:f>
              <xm:sqref>AN135</xm:sqref>
            </x14:sparkline>
            <x14:sparkline>
              <xm:f>'Molecules_Negative-ion mode'!I136:Y136</xm:f>
              <xm:sqref>AN136</xm:sqref>
            </x14:sparkline>
            <x14:sparkline>
              <xm:f>'Molecules_Negative-ion mode'!I137:Y137</xm:f>
              <xm:sqref>AN137</xm:sqref>
            </x14:sparkline>
            <x14:sparkline>
              <xm:f>'Molecules_Negative-ion mode'!I138:Y138</xm:f>
              <xm:sqref>AN138</xm:sqref>
            </x14:sparkline>
            <x14:sparkline>
              <xm:f>'Molecules_Negative-ion mode'!I139:Y139</xm:f>
              <xm:sqref>AN139</xm:sqref>
            </x14:sparkline>
            <x14:sparkline>
              <xm:f>'Molecules_Negative-ion mode'!I140:Y140</xm:f>
              <xm:sqref>AN140</xm:sqref>
            </x14:sparkline>
            <x14:sparkline>
              <xm:f>'Molecules_Negative-ion mode'!I141:Y141</xm:f>
              <xm:sqref>AN141</xm:sqref>
            </x14:sparkline>
            <x14:sparkline>
              <xm:f>'Molecules_Negative-ion mode'!I142:Y142</xm:f>
              <xm:sqref>AN142</xm:sqref>
            </x14:sparkline>
            <x14:sparkline>
              <xm:f>'Molecules_Negative-ion mode'!I143:Y143</xm:f>
              <xm:sqref>AN143</xm:sqref>
            </x14:sparkline>
            <x14:sparkline>
              <xm:f>'Molecules_Negative-ion mode'!I144:Y144</xm:f>
              <xm:sqref>AN144</xm:sqref>
            </x14:sparkline>
            <x14:sparkline>
              <xm:f>'Molecules_Negative-ion mode'!I145:Y145</xm:f>
              <xm:sqref>AN145</xm:sqref>
            </x14:sparkline>
            <x14:sparkline>
              <xm:f>'Molecules_Negative-ion mode'!I146:Y146</xm:f>
              <xm:sqref>AN146</xm:sqref>
            </x14:sparkline>
            <x14:sparkline>
              <xm:f>'Molecules_Negative-ion mode'!I147:Y147</xm:f>
              <xm:sqref>AN147</xm:sqref>
            </x14:sparkline>
            <x14:sparkline>
              <xm:f>'Molecules_Negative-ion mode'!I148:Y148</xm:f>
              <xm:sqref>AN148</xm:sqref>
            </x14:sparkline>
            <x14:sparkline>
              <xm:f>'Molecules_Negative-ion mode'!I149:Y149</xm:f>
              <xm:sqref>AN149</xm:sqref>
            </x14:sparkline>
            <x14:sparkline>
              <xm:f>'Molecules_Negative-ion mode'!I150:Y150</xm:f>
              <xm:sqref>AN150</xm:sqref>
            </x14:sparkline>
            <x14:sparkline>
              <xm:f>'Molecules_Negative-ion mode'!I151:Y151</xm:f>
              <xm:sqref>AN151</xm:sqref>
            </x14:sparkline>
            <x14:sparkline>
              <xm:f>'Molecules_Negative-ion mode'!I152:Y152</xm:f>
              <xm:sqref>AN152</xm:sqref>
            </x14:sparkline>
            <x14:sparkline>
              <xm:f>'Molecules_Negative-ion mode'!I153:Y153</xm:f>
              <xm:sqref>AN153</xm:sqref>
            </x14:sparkline>
            <x14:sparkline>
              <xm:f>'Molecules_Negative-ion mode'!I154:Y154</xm:f>
              <xm:sqref>AN154</xm:sqref>
            </x14:sparkline>
            <x14:sparkline>
              <xm:f>'Molecules_Negative-ion mode'!I155:Y155</xm:f>
              <xm:sqref>AN155</xm:sqref>
            </x14:sparkline>
            <x14:sparkline>
              <xm:f>'Molecules_Negative-ion mode'!I156:Y156</xm:f>
              <xm:sqref>AN156</xm:sqref>
            </x14:sparkline>
            <x14:sparkline>
              <xm:f>'Molecules_Negative-ion mode'!I157:Y157</xm:f>
              <xm:sqref>AN157</xm:sqref>
            </x14:sparkline>
            <x14:sparkline>
              <xm:f>'Molecules_Negative-ion mode'!I158:Y158</xm:f>
              <xm:sqref>AN158</xm:sqref>
            </x14:sparkline>
            <x14:sparkline>
              <xm:f>'Molecules_Negative-ion mode'!I159:Y159</xm:f>
              <xm:sqref>AN159</xm:sqref>
            </x14:sparkline>
            <x14:sparkline>
              <xm:f>'Molecules_Negative-ion mode'!I160:Y160</xm:f>
              <xm:sqref>AN160</xm:sqref>
            </x14:sparkline>
            <x14:sparkline>
              <xm:f>'Molecules_Negative-ion mode'!I161:Y161</xm:f>
              <xm:sqref>AN161</xm:sqref>
            </x14:sparkline>
            <x14:sparkline>
              <xm:f>'Molecules_Negative-ion mode'!I162:Y162</xm:f>
              <xm:sqref>AN162</xm:sqref>
            </x14:sparkline>
            <x14:sparkline>
              <xm:f>'Molecules_Negative-ion mode'!I163:Y163</xm:f>
              <xm:sqref>AN163</xm:sqref>
            </x14:sparkline>
            <x14:sparkline>
              <xm:f>'Molecules_Negative-ion mode'!I164:Y164</xm:f>
              <xm:sqref>AN164</xm:sqref>
            </x14:sparkline>
            <x14:sparkline>
              <xm:f>'Molecules_Negative-ion mode'!I165:Y165</xm:f>
              <xm:sqref>AN165</xm:sqref>
            </x14:sparkline>
            <x14:sparkline>
              <xm:f>'Molecules_Negative-ion mode'!I166:Y166</xm:f>
              <xm:sqref>AN166</xm:sqref>
            </x14:sparkline>
            <x14:sparkline>
              <xm:f>'Molecules_Negative-ion mode'!I167:Y167</xm:f>
              <xm:sqref>AN167</xm:sqref>
            </x14:sparkline>
            <x14:sparkline>
              <xm:f>'Molecules_Negative-ion mode'!I168:Y168</xm:f>
              <xm:sqref>AN168</xm:sqref>
            </x14:sparkline>
            <x14:sparkline>
              <xm:f>'Molecules_Negative-ion mode'!I169:Y169</xm:f>
              <xm:sqref>AN169</xm:sqref>
            </x14:sparkline>
            <x14:sparkline>
              <xm:f>'Molecules_Negative-ion mode'!I170:Y170</xm:f>
              <xm:sqref>AN170</xm:sqref>
            </x14:sparkline>
            <x14:sparkline>
              <xm:f>'Molecules_Negative-ion mode'!I171:Y171</xm:f>
              <xm:sqref>AN171</xm:sqref>
            </x14:sparkline>
            <x14:sparkline>
              <xm:f>'Molecules_Negative-ion mode'!I172:Y172</xm:f>
              <xm:sqref>AN172</xm:sqref>
            </x14:sparkline>
            <x14:sparkline>
              <xm:f>'Molecules_Negative-ion mode'!I173:Y173</xm:f>
              <xm:sqref>AN173</xm:sqref>
            </x14:sparkline>
            <x14:sparkline>
              <xm:f>'Molecules_Negative-ion mode'!I174:Y174</xm:f>
              <xm:sqref>AN174</xm:sqref>
            </x14:sparkline>
            <x14:sparkline>
              <xm:f>'Molecules_Negative-ion mode'!I175:Y175</xm:f>
              <xm:sqref>AN175</xm:sqref>
            </x14:sparkline>
            <x14:sparkline>
              <xm:f>'Molecules_Negative-ion mode'!I176:Y176</xm:f>
              <xm:sqref>AN176</xm:sqref>
            </x14:sparkline>
            <x14:sparkline>
              <xm:f>'Molecules_Negative-ion mode'!I177:Y177</xm:f>
              <xm:sqref>AN177</xm:sqref>
            </x14:sparkline>
            <x14:sparkline>
              <xm:f>'Molecules_Negative-ion mode'!I178:Y178</xm:f>
              <xm:sqref>AN178</xm:sqref>
            </x14:sparkline>
            <x14:sparkline>
              <xm:f>'Molecules_Negative-ion mode'!I179:Y179</xm:f>
              <xm:sqref>AN179</xm:sqref>
            </x14:sparkline>
            <x14:sparkline>
              <xm:f>'Molecules_Negative-ion mode'!I180:Y180</xm:f>
              <xm:sqref>AN180</xm:sqref>
            </x14:sparkline>
            <x14:sparkline>
              <xm:f>'Molecules_Negative-ion mode'!I181:Y181</xm:f>
              <xm:sqref>AN181</xm:sqref>
            </x14:sparkline>
            <x14:sparkline>
              <xm:f>'Molecules_Negative-ion mode'!I182:Y182</xm:f>
              <xm:sqref>AN182</xm:sqref>
            </x14:sparkline>
            <x14:sparkline>
              <xm:f>'Molecules_Negative-ion mode'!I183:Y183</xm:f>
              <xm:sqref>AN183</xm:sqref>
            </x14:sparkline>
            <x14:sparkline>
              <xm:f>'Molecules_Negative-ion mode'!I184:Y184</xm:f>
              <xm:sqref>AN184</xm:sqref>
            </x14:sparkline>
            <x14:sparkline>
              <xm:f>'Molecules_Negative-ion mode'!I185:Y185</xm:f>
              <xm:sqref>AN185</xm:sqref>
            </x14:sparkline>
            <x14:sparkline>
              <xm:f>'Molecules_Negative-ion mode'!I186:Y186</xm:f>
              <xm:sqref>AN186</xm:sqref>
            </x14:sparkline>
            <x14:sparkline>
              <xm:f>'Molecules_Negative-ion mode'!I187:Y187</xm:f>
              <xm:sqref>AN187</xm:sqref>
            </x14:sparkline>
            <x14:sparkline>
              <xm:f>'Molecules_Negative-ion mode'!I188:Y188</xm:f>
              <xm:sqref>AN188</xm:sqref>
            </x14:sparkline>
            <x14:sparkline>
              <xm:f>'Molecules_Negative-ion mode'!I189:Y189</xm:f>
              <xm:sqref>AN189</xm:sqref>
            </x14:sparkline>
            <x14:sparkline>
              <xm:f>'Molecules_Negative-ion mode'!I190:Y190</xm:f>
              <xm:sqref>AN190</xm:sqref>
            </x14:sparkline>
            <x14:sparkline>
              <xm:f>'Molecules_Negative-ion mode'!I191:Y191</xm:f>
              <xm:sqref>AN191</xm:sqref>
            </x14:sparkline>
            <x14:sparkline>
              <xm:f>'Molecules_Negative-ion mode'!I192:Y192</xm:f>
              <xm:sqref>AN192</xm:sqref>
            </x14:sparkline>
            <x14:sparkline>
              <xm:f>'Molecules_Negative-ion mode'!I193:Y193</xm:f>
              <xm:sqref>AN193</xm:sqref>
            </x14:sparkline>
            <x14:sparkline>
              <xm:f>'Molecules_Negative-ion mode'!I194:Y194</xm:f>
              <xm:sqref>AN194</xm:sqref>
            </x14:sparkline>
            <x14:sparkline>
              <xm:f>'Molecules_Negative-ion mode'!I195:Y195</xm:f>
              <xm:sqref>AN195</xm:sqref>
            </x14:sparkline>
            <x14:sparkline>
              <xm:f>'Molecules_Negative-ion mode'!I196:Y196</xm:f>
              <xm:sqref>AN196</xm:sqref>
            </x14:sparkline>
            <x14:sparkline>
              <xm:f>'Molecules_Negative-ion mode'!I197:Y197</xm:f>
              <xm:sqref>AN197</xm:sqref>
            </x14:sparkline>
            <x14:sparkline>
              <xm:f>'Molecules_Negative-ion mode'!I198:Y198</xm:f>
              <xm:sqref>AN198</xm:sqref>
            </x14:sparkline>
            <x14:sparkline>
              <xm:f>'Molecules_Negative-ion mode'!I199:Y199</xm:f>
              <xm:sqref>AN199</xm:sqref>
            </x14:sparkline>
            <x14:sparkline>
              <xm:f>'Molecules_Negative-ion mode'!I200:Y200</xm:f>
              <xm:sqref>AN200</xm:sqref>
            </x14:sparkline>
            <x14:sparkline>
              <xm:f>'Molecules_Negative-ion mode'!I201:Y201</xm:f>
              <xm:sqref>AN201</xm:sqref>
            </x14:sparkline>
            <x14:sparkline>
              <xm:f>'Molecules_Negative-ion mode'!I202:Y202</xm:f>
              <xm:sqref>AN202</xm:sqref>
            </x14:sparkline>
            <x14:sparkline>
              <xm:f>'Molecules_Negative-ion mode'!I203:Y203</xm:f>
              <xm:sqref>AN203</xm:sqref>
            </x14:sparkline>
            <x14:sparkline>
              <xm:f>'Molecules_Negative-ion mode'!I204:Y204</xm:f>
              <xm:sqref>AN204</xm:sqref>
            </x14:sparkline>
            <x14:sparkline>
              <xm:f>'Molecules_Negative-ion mode'!I205:Y205</xm:f>
              <xm:sqref>AN205</xm:sqref>
            </x14:sparkline>
            <x14:sparkline>
              <xm:f>'Molecules_Negative-ion mode'!I206:Y206</xm:f>
              <xm:sqref>AN206</xm:sqref>
            </x14:sparkline>
            <x14:sparkline>
              <xm:f>'Molecules_Negative-ion mode'!I207:Y207</xm:f>
              <xm:sqref>AN207</xm:sqref>
            </x14:sparkline>
            <x14:sparkline>
              <xm:f>'Molecules_Negative-ion mode'!I208:Y208</xm:f>
              <xm:sqref>AN208</xm:sqref>
            </x14:sparkline>
            <x14:sparkline>
              <xm:f>'Molecules_Negative-ion mode'!I209:Y209</xm:f>
              <xm:sqref>AN209</xm:sqref>
            </x14:sparkline>
            <x14:sparkline>
              <xm:f>'Molecules_Negative-ion mode'!I210:Y210</xm:f>
              <xm:sqref>AN210</xm:sqref>
            </x14:sparkline>
            <x14:sparkline>
              <xm:f>'Molecules_Negative-ion mode'!I211:Y211</xm:f>
              <xm:sqref>AN211</xm:sqref>
            </x14:sparkline>
            <x14:sparkline>
              <xm:f>'Molecules_Negative-ion mode'!I212:Y212</xm:f>
              <xm:sqref>AN212</xm:sqref>
            </x14:sparkline>
            <x14:sparkline>
              <xm:f>'Molecules_Negative-ion mode'!I213:Y213</xm:f>
              <xm:sqref>AN213</xm:sqref>
            </x14:sparkline>
            <x14:sparkline>
              <xm:f>'Molecules_Negative-ion mode'!I214:Y214</xm:f>
              <xm:sqref>AN214</xm:sqref>
            </x14:sparkline>
            <x14:sparkline>
              <xm:f>'Molecules_Negative-ion mode'!I215:Y215</xm:f>
              <xm:sqref>AN215</xm:sqref>
            </x14:sparkline>
            <x14:sparkline>
              <xm:f>'Molecules_Negative-ion mode'!I216:Y216</xm:f>
              <xm:sqref>AN216</xm:sqref>
            </x14:sparkline>
            <x14:sparkline>
              <xm:f>'Molecules_Negative-ion mode'!I217:Y217</xm:f>
              <xm:sqref>AN217</xm:sqref>
            </x14:sparkline>
            <x14:sparkline>
              <xm:f>'Molecules_Negative-ion mode'!I218:Y218</xm:f>
              <xm:sqref>AN218</xm:sqref>
            </x14:sparkline>
            <x14:sparkline>
              <xm:f>'Molecules_Negative-ion mode'!I219:Y219</xm:f>
              <xm:sqref>AN219</xm:sqref>
            </x14:sparkline>
            <x14:sparkline>
              <xm:f>'Molecules_Negative-ion mode'!I220:Y220</xm:f>
              <xm:sqref>AN220</xm:sqref>
            </x14:sparkline>
            <x14:sparkline>
              <xm:f>'Molecules_Negative-ion mode'!I221:Y221</xm:f>
              <xm:sqref>AN221</xm:sqref>
            </x14:sparkline>
            <x14:sparkline>
              <xm:f>'Molecules_Negative-ion mode'!I222:Y222</xm:f>
              <xm:sqref>AN222</xm:sqref>
            </x14:sparkline>
            <x14:sparkline>
              <xm:f>'Molecules_Negative-ion mode'!I223:Y223</xm:f>
              <xm:sqref>AN223</xm:sqref>
            </x14:sparkline>
            <x14:sparkline>
              <xm:f>'Molecules_Negative-ion mode'!I224:Y224</xm:f>
              <xm:sqref>AN224</xm:sqref>
            </x14:sparkline>
            <x14:sparkline>
              <xm:f>'Molecules_Negative-ion mode'!I225:Y225</xm:f>
              <xm:sqref>AN225</xm:sqref>
            </x14:sparkline>
            <x14:sparkline>
              <xm:f>'Molecules_Negative-ion mode'!I226:Y226</xm:f>
              <xm:sqref>AN226</xm:sqref>
            </x14:sparkline>
            <x14:sparkline>
              <xm:f>'Molecules_Negative-ion mode'!I227:Y227</xm:f>
              <xm:sqref>AN227</xm:sqref>
            </x14:sparkline>
            <x14:sparkline>
              <xm:f>'Molecules_Negative-ion mode'!I228:Y228</xm:f>
              <xm:sqref>AN228</xm:sqref>
            </x14:sparkline>
            <x14:sparkline>
              <xm:f>'Molecules_Negative-ion mode'!I229:Y229</xm:f>
              <xm:sqref>AN229</xm:sqref>
            </x14:sparkline>
            <x14:sparkline>
              <xm:f>'Molecules_Negative-ion mode'!I230:Y230</xm:f>
              <xm:sqref>AN230</xm:sqref>
            </x14:sparkline>
            <x14:sparkline>
              <xm:f>'Molecules_Negative-ion mode'!I231:Y231</xm:f>
              <xm:sqref>AN231</xm:sqref>
            </x14:sparkline>
            <x14:sparkline>
              <xm:f>'Molecules_Negative-ion mode'!I232:Y232</xm:f>
              <xm:sqref>AN232</xm:sqref>
            </x14:sparkline>
            <x14:sparkline>
              <xm:f>'Molecules_Negative-ion mode'!I233:Y233</xm:f>
              <xm:sqref>AN233</xm:sqref>
            </x14:sparkline>
            <x14:sparkline>
              <xm:f>'Molecules_Negative-ion mode'!I234:Y234</xm:f>
              <xm:sqref>AN234</xm:sqref>
            </x14:sparkline>
            <x14:sparkline>
              <xm:f>'Molecules_Negative-ion mode'!I235:Y235</xm:f>
              <xm:sqref>AN235</xm:sqref>
            </x14:sparkline>
            <x14:sparkline>
              <xm:f>'Molecules_Negative-ion mode'!I236:Y236</xm:f>
              <xm:sqref>AN236</xm:sqref>
            </x14:sparkline>
            <x14:sparkline>
              <xm:f>'Molecules_Negative-ion mode'!I237:Y237</xm:f>
              <xm:sqref>AN237</xm:sqref>
            </x14:sparkline>
            <x14:sparkline>
              <xm:f>'Molecules_Negative-ion mode'!I238:Y238</xm:f>
              <xm:sqref>AN238</xm:sqref>
            </x14:sparkline>
            <x14:sparkline>
              <xm:f>'Molecules_Negative-ion mode'!I239:Y239</xm:f>
              <xm:sqref>AN239</xm:sqref>
            </x14:sparkline>
            <x14:sparkline>
              <xm:f>'Molecules_Negative-ion mode'!I240:Y240</xm:f>
              <xm:sqref>AN240</xm:sqref>
            </x14:sparkline>
            <x14:sparkline>
              <xm:f>'Molecules_Negative-ion mode'!I241:Y241</xm:f>
              <xm:sqref>AN241</xm:sqref>
            </x14:sparkline>
            <x14:sparkline>
              <xm:f>'Molecules_Negative-ion mode'!I242:Y242</xm:f>
              <xm:sqref>AN242</xm:sqref>
            </x14:sparkline>
            <x14:sparkline>
              <xm:f>'Molecules_Negative-ion mode'!I243:Y243</xm:f>
              <xm:sqref>AN243</xm:sqref>
            </x14:sparkline>
            <x14:sparkline>
              <xm:f>'Molecules_Negative-ion mode'!I244:Y244</xm:f>
              <xm:sqref>AN244</xm:sqref>
            </x14:sparkline>
            <x14:sparkline>
              <xm:f>'Molecules_Negative-ion mode'!I245:Y245</xm:f>
              <xm:sqref>AN245</xm:sqref>
            </x14:sparkline>
            <x14:sparkline>
              <xm:f>'Molecules_Negative-ion mode'!I246:Y246</xm:f>
              <xm:sqref>AN246</xm:sqref>
            </x14:sparkline>
            <x14:sparkline>
              <xm:f>'Molecules_Negative-ion mode'!I247:Y247</xm:f>
              <xm:sqref>AN247</xm:sqref>
            </x14:sparkline>
            <x14:sparkline>
              <xm:f>'Molecules_Negative-ion mode'!I248:Y248</xm:f>
              <xm:sqref>AN248</xm:sqref>
            </x14:sparkline>
            <x14:sparkline>
              <xm:f>'Molecules_Negative-ion mode'!I249:Y249</xm:f>
              <xm:sqref>AN249</xm:sqref>
            </x14:sparkline>
            <x14:sparkline>
              <xm:f>'Molecules_Negative-ion mode'!I250:Y250</xm:f>
              <xm:sqref>AN250</xm:sqref>
            </x14:sparkline>
            <x14:sparkline>
              <xm:f>'Molecules_Negative-ion mode'!I251:Y251</xm:f>
              <xm:sqref>AN251</xm:sqref>
            </x14:sparkline>
            <x14:sparkline>
              <xm:f>'Molecules_Negative-ion mode'!I252:Y252</xm:f>
              <xm:sqref>AN252</xm:sqref>
            </x14:sparkline>
            <x14:sparkline>
              <xm:f>'Molecules_Negative-ion mode'!I253:Y253</xm:f>
              <xm:sqref>AN253</xm:sqref>
            </x14:sparkline>
            <x14:sparkline>
              <xm:f>'Molecules_Negative-ion mode'!I254:Y254</xm:f>
              <xm:sqref>AN254</xm:sqref>
            </x14:sparkline>
            <x14:sparkline>
              <xm:f>'Molecules_Negative-ion mode'!I255:Y255</xm:f>
              <xm:sqref>AN255</xm:sqref>
            </x14:sparkline>
            <x14:sparkline>
              <xm:f>'Molecules_Negative-ion mode'!I256:Y256</xm:f>
              <xm:sqref>AN256</xm:sqref>
            </x14:sparkline>
            <x14:sparkline>
              <xm:f>'Molecules_Negative-ion mode'!I257:Y257</xm:f>
              <xm:sqref>AN257</xm:sqref>
            </x14:sparkline>
            <x14:sparkline>
              <xm:f>'Molecules_Negative-ion mode'!I258:Y258</xm:f>
              <xm:sqref>AN258</xm:sqref>
            </x14:sparkline>
            <x14:sparkline>
              <xm:f>'Molecules_Negative-ion mode'!I259:Y259</xm:f>
              <xm:sqref>AN259</xm:sqref>
            </x14:sparkline>
            <x14:sparkline>
              <xm:f>'Molecules_Negative-ion mode'!I260:Y260</xm:f>
              <xm:sqref>AN260</xm:sqref>
            </x14:sparkline>
            <x14:sparkline>
              <xm:f>'Molecules_Negative-ion mode'!I261:Y261</xm:f>
              <xm:sqref>AN261</xm:sqref>
            </x14:sparkline>
            <x14:sparkline>
              <xm:f>'Molecules_Negative-ion mode'!I262:Y262</xm:f>
              <xm:sqref>AN262</xm:sqref>
            </x14:sparkline>
            <x14:sparkline>
              <xm:f>'Molecules_Negative-ion mode'!I263:Y263</xm:f>
              <xm:sqref>AN263</xm:sqref>
            </x14:sparkline>
            <x14:sparkline>
              <xm:f>'Molecules_Negative-ion mode'!I264:Y264</xm:f>
              <xm:sqref>AN264</xm:sqref>
            </x14:sparkline>
            <x14:sparkline>
              <xm:f>'Molecules_Negative-ion mode'!I265:Y265</xm:f>
              <xm:sqref>AN265</xm:sqref>
            </x14:sparkline>
            <x14:sparkline>
              <xm:f>'Molecules_Negative-ion mode'!I266:Y266</xm:f>
              <xm:sqref>AN266</xm:sqref>
            </x14:sparkline>
            <x14:sparkline>
              <xm:f>'Molecules_Negative-ion mode'!I267:Y267</xm:f>
              <xm:sqref>AN267</xm:sqref>
            </x14:sparkline>
            <x14:sparkline>
              <xm:f>'Molecules_Negative-ion mode'!I268:Y268</xm:f>
              <xm:sqref>AN268</xm:sqref>
            </x14:sparkline>
            <x14:sparkline>
              <xm:f>'Molecules_Negative-ion mode'!I269:Y269</xm:f>
              <xm:sqref>AN269</xm:sqref>
            </x14:sparkline>
            <x14:sparkline>
              <xm:f>'Molecules_Negative-ion mode'!I270:Y270</xm:f>
              <xm:sqref>AN270</xm:sqref>
            </x14:sparkline>
            <x14:sparkline>
              <xm:f>'Molecules_Negative-ion mode'!I271:Y271</xm:f>
              <xm:sqref>AN271</xm:sqref>
            </x14:sparkline>
            <x14:sparkline>
              <xm:f>'Molecules_Negative-ion mode'!I272:Y272</xm:f>
              <xm:sqref>AN272</xm:sqref>
            </x14:sparkline>
            <x14:sparkline>
              <xm:f>'Molecules_Negative-ion mode'!I273:Y273</xm:f>
              <xm:sqref>AN273</xm:sqref>
            </x14:sparkline>
            <x14:sparkline>
              <xm:f>'Molecules_Negative-ion mode'!I274:Y274</xm:f>
              <xm:sqref>AN274</xm:sqref>
            </x14:sparkline>
            <x14:sparkline>
              <xm:f>'Molecules_Negative-ion mode'!I275:Y275</xm:f>
              <xm:sqref>AN275</xm:sqref>
            </x14:sparkline>
            <x14:sparkline>
              <xm:f>'Molecules_Negative-ion mode'!I276:Y276</xm:f>
              <xm:sqref>AN276</xm:sqref>
            </x14:sparkline>
            <x14:sparkline>
              <xm:f>'Molecules_Negative-ion mode'!I277:Y277</xm:f>
              <xm:sqref>AN277</xm:sqref>
            </x14:sparkline>
            <x14:sparkline>
              <xm:f>'Molecules_Negative-ion mode'!I278:Y278</xm:f>
              <xm:sqref>AN278</xm:sqref>
            </x14:sparkline>
            <x14:sparkline>
              <xm:f>'Molecules_Negative-ion mode'!I279:Y279</xm:f>
              <xm:sqref>AN279</xm:sqref>
            </x14:sparkline>
            <x14:sparkline>
              <xm:f>'Molecules_Negative-ion mode'!I280:Y280</xm:f>
              <xm:sqref>AN280</xm:sqref>
            </x14:sparkline>
            <x14:sparkline>
              <xm:f>'Molecules_Negative-ion mode'!I281:Y281</xm:f>
              <xm:sqref>AN281</xm:sqref>
            </x14:sparkline>
            <x14:sparkline>
              <xm:f>'Molecules_Negative-ion mode'!I282:Y282</xm:f>
              <xm:sqref>AN282</xm:sqref>
            </x14:sparkline>
            <x14:sparkline>
              <xm:f>'Molecules_Negative-ion mode'!I283:Y283</xm:f>
              <xm:sqref>AN283</xm:sqref>
            </x14:sparkline>
            <x14:sparkline>
              <xm:f>'Molecules_Negative-ion mode'!I284:Y284</xm:f>
              <xm:sqref>AN284</xm:sqref>
            </x14:sparkline>
            <x14:sparkline>
              <xm:f>'Molecules_Negative-ion mode'!I285:Y285</xm:f>
              <xm:sqref>AN285</xm:sqref>
            </x14:sparkline>
            <x14:sparkline>
              <xm:f>'Molecules_Negative-ion mode'!I286:Y286</xm:f>
              <xm:sqref>AN286</xm:sqref>
            </x14:sparkline>
            <x14:sparkline>
              <xm:f>'Molecules_Negative-ion mode'!I287:Y287</xm:f>
              <xm:sqref>AN287</xm:sqref>
            </x14:sparkline>
            <x14:sparkline>
              <xm:f>'Molecules_Negative-ion mode'!I288:Y288</xm:f>
              <xm:sqref>AN288</xm:sqref>
            </x14:sparkline>
            <x14:sparkline>
              <xm:f>'Molecules_Negative-ion mode'!I289:Y289</xm:f>
              <xm:sqref>AN289</xm:sqref>
            </x14:sparkline>
            <x14:sparkline>
              <xm:f>'Molecules_Negative-ion mode'!I290:Y290</xm:f>
              <xm:sqref>AN290</xm:sqref>
            </x14:sparkline>
            <x14:sparkline>
              <xm:f>'Molecules_Negative-ion mode'!I291:Y291</xm:f>
              <xm:sqref>AN291</xm:sqref>
            </x14:sparkline>
            <x14:sparkline>
              <xm:f>'Molecules_Negative-ion mode'!I292:Y292</xm:f>
              <xm:sqref>AN292</xm:sqref>
            </x14:sparkline>
            <x14:sparkline>
              <xm:f>'Molecules_Negative-ion mode'!I293:Y293</xm:f>
              <xm:sqref>AN293</xm:sqref>
            </x14:sparkline>
            <x14:sparkline>
              <xm:f>'Molecules_Negative-ion mode'!I294:Y294</xm:f>
              <xm:sqref>AN294</xm:sqref>
            </x14:sparkline>
            <x14:sparkline>
              <xm:f>'Molecules_Negative-ion mode'!I295:Y295</xm:f>
              <xm:sqref>AN295</xm:sqref>
            </x14:sparkline>
            <x14:sparkline>
              <xm:f>'Molecules_Negative-ion mode'!I296:Y296</xm:f>
              <xm:sqref>AN296</xm:sqref>
            </x14:sparkline>
            <x14:sparkline>
              <xm:f>'Molecules_Negative-ion mode'!I297:Y297</xm:f>
              <xm:sqref>AN297</xm:sqref>
            </x14:sparkline>
            <x14:sparkline>
              <xm:f>'Molecules_Negative-ion mode'!I298:Y298</xm:f>
              <xm:sqref>AN298</xm:sqref>
            </x14:sparkline>
            <x14:sparkline>
              <xm:f>'Molecules_Negative-ion mode'!I299:Y299</xm:f>
              <xm:sqref>AN299</xm:sqref>
            </x14:sparkline>
            <x14:sparkline>
              <xm:f>'Molecules_Negative-ion mode'!I300:Y300</xm:f>
              <xm:sqref>AN300</xm:sqref>
            </x14:sparkline>
            <x14:sparkline>
              <xm:f>'Molecules_Negative-ion mode'!I301:Y301</xm:f>
              <xm:sqref>AN301</xm:sqref>
            </x14:sparkline>
            <x14:sparkline>
              <xm:f>'Molecules_Negative-ion mode'!I302:Y302</xm:f>
              <xm:sqref>AN302</xm:sqref>
            </x14:sparkline>
            <x14:sparkline>
              <xm:f>'Molecules_Negative-ion mode'!I303:Y303</xm:f>
              <xm:sqref>AN303</xm:sqref>
            </x14:sparkline>
            <x14:sparkline>
              <xm:f>'Molecules_Negative-ion mode'!I304:Y304</xm:f>
              <xm:sqref>AN304</xm:sqref>
            </x14:sparkline>
            <x14:sparkline>
              <xm:f>'Molecules_Negative-ion mode'!I305:Y305</xm:f>
              <xm:sqref>AN305</xm:sqref>
            </x14:sparkline>
            <x14:sparkline>
              <xm:f>'Molecules_Negative-ion mode'!I306:Y306</xm:f>
              <xm:sqref>AN306</xm:sqref>
            </x14:sparkline>
            <x14:sparkline>
              <xm:f>'Molecules_Negative-ion mode'!I307:Y307</xm:f>
              <xm:sqref>AN307</xm:sqref>
            </x14:sparkline>
            <x14:sparkline>
              <xm:f>'Molecules_Negative-ion mode'!I308:Y308</xm:f>
              <xm:sqref>AN308</xm:sqref>
            </x14:sparkline>
            <x14:sparkline>
              <xm:f>'Molecules_Negative-ion mode'!I309:Y309</xm:f>
              <xm:sqref>AN309</xm:sqref>
            </x14:sparkline>
            <x14:sparkline>
              <xm:f>'Molecules_Negative-ion mode'!I310:Y310</xm:f>
              <xm:sqref>AN310</xm:sqref>
            </x14:sparkline>
            <x14:sparkline>
              <xm:f>'Molecules_Negative-ion mode'!I311:Y311</xm:f>
              <xm:sqref>AN311</xm:sqref>
            </x14:sparkline>
            <x14:sparkline>
              <xm:f>'Molecules_Negative-ion mode'!I312:Y312</xm:f>
              <xm:sqref>AN312</xm:sqref>
            </x14:sparkline>
            <x14:sparkline>
              <xm:f>'Molecules_Negative-ion mode'!I313:Y313</xm:f>
              <xm:sqref>AN313</xm:sqref>
            </x14:sparkline>
            <x14:sparkline>
              <xm:f>'Molecules_Negative-ion mode'!I314:Y314</xm:f>
              <xm:sqref>AN314</xm:sqref>
            </x14:sparkline>
            <x14:sparkline>
              <xm:f>'Molecules_Negative-ion mode'!I315:Y315</xm:f>
              <xm:sqref>AN315</xm:sqref>
            </x14:sparkline>
            <x14:sparkline>
              <xm:f>'Molecules_Negative-ion mode'!I316:Y316</xm:f>
              <xm:sqref>AN316</xm:sqref>
            </x14:sparkline>
            <x14:sparkline>
              <xm:f>'Molecules_Negative-ion mode'!I317:Y317</xm:f>
              <xm:sqref>AN317</xm:sqref>
            </x14:sparkline>
            <x14:sparkline>
              <xm:f>'Molecules_Negative-ion mode'!I318:Y318</xm:f>
              <xm:sqref>AN318</xm:sqref>
            </x14:sparkline>
            <x14:sparkline>
              <xm:f>'Molecules_Negative-ion mode'!I319:Y319</xm:f>
              <xm:sqref>AN319</xm:sqref>
            </x14:sparkline>
            <x14:sparkline>
              <xm:f>'Molecules_Negative-ion mode'!I320:Y320</xm:f>
              <xm:sqref>AN320</xm:sqref>
            </x14:sparkline>
            <x14:sparkline>
              <xm:f>'Molecules_Negative-ion mode'!I321:Y321</xm:f>
              <xm:sqref>AN321</xm:sqref>
            </x14:sparkline>
            <x14:sparkline>
              <xm:f>'Molecules_Negative-ion mode'!I322:Y322</xm:f>
              <xm:sqref>AN322</xm:sqref>
            </x14:sparkline>
            <x14:sparkline>
              <xm:f>'Molecules_Negative-ion mode'!I323:Y323</xm:f>
              <xm:sqref>AN323</xm:sqref>
            </x14:sparkline>
            <x14:sparkline>
              <xm:f>'Molecules_Negative-ion mode'!I324:Y324</xm:f>
              <xm:sqref>AN324</xm:sqref>
            </x14:sparkline>
            <x14:sparkline>
              <xm:f>'Molecules_Negative-ion mode'!I325:Y325</xm:f>
              <xm:sqref>AN325</xm:sqref>
            </x14:sparkline>
            <x14:sparkline>
              <xm:f>'Molecules_Negative-ion mode'!I326:Y326</xm:f>
              <xm:sqref>AN326</xm:sqref>
            </x14:sparkline>
            <x14:sparkline>
              <xm:f>'Molecules_Negative-ion mode'!I327:Y327</xm:f>
              <xm:sqref>AN327</xm:sqref>
            </x14:sparkline>
            <x14:sparkline>
              <xm:f>'Molecules_Negative-ion mode'!I328:Y328</xm:f>
              <xm:sqref>AN328</xm:sqref>
            </x14:sparkline>
            <x14:sparkline>
              <xm:f>'Molecules_Negative-ion mode'!I329:Y329</xm:f>
              <xm:sqref>AN329</xm:sqref>
            </x14:sparkline>
            <x14:sparkline>
              <xm:f>'Molecules_Negative-ion mode'!I330:Y330</xm:f>
              <xm:sqref>AN330</xm:sqref>
            </x14:sparkline>
            <x14:sparkline>
              <xm:f>'Molecules_Negative-ion mode'!I331:Y331</xm:f>
              <xm:sqref>AN331</xm:sqref>
            </x14:sparkline>
            <x14:sparkline>
              <xm:f>'Molecules_Negative-ion mode'!I332:Y332</xm:f>
              <xm:sqref>AN332</xm:sqref>
            </x14:sparkline>
            <x14:sparkline>
              <xm:f>'Molecules_Negative-ion mode'!I333:Y333</xm:f>
              <xm:sqref>AN333</xm:sqref>
            </x14:sparkline>
            <x14:sparkline>
              <xm:f>'Molecules_Negative-ion mode'!I334:Y334</xm:f>
              <xm:sqref>AN334</xm:sqref>
            </x14:sparkline>
            <x14:sparkline>
              <xm:f>'Molecules_Negative-ion mode'!I335:Y335</xm:f>
              <xm:sqref>AN335</xm:sqref>
            </x14:sparkline>
            <x14:sparkline>
              <xm:f>'Molecules_Negative-ion mode'!I336:Y336</xm:f>
              <xm:sqref>AN336</xm:sqref>
            </x14:sparkline>
            <x14:sparkline>
              <xm:f>'Molecules_Negative-ion mode'!I337:Y337</xm:f>
              <xm:sqref>AN337</xm:sqref>
            </x14:sparkline>
            <x14:sparkline>
              <xm:f>'Molecules_Negative-ion mode'!I338:Y338</xm:f>
              <xm:sqref>AN338</xm:sqref>
            </x14:sparkline>
            <x14:sparkline>
              <xm:f>'Molecules_Negative-ion mode'!I339:Y339</xm:f>
              <xm:sqref>AN339</xm:sqref>
            </x14:sparkline>
            <x14:sparkline>
              <xm:f>'Molecules_Negative-ion mode'!I340:Y340</xm:f>
              <xm:sqref>AN340</xm:sqref>
            </x14:sparkline>
            <x14:sparkline>
              <xm:f>'Molecules_Negative-ion mode'!I341:Y341</xm:f>
              <xm:sqref>AN341</xm:sqref>
            </x14:sparkline>
            <x14:sparkline>
              <xm:f>'Molecules_Negative-ion mode'!I342:Y342</xm:f>
              <xm:sqref>AN342</xm:sqref>
            </x14:sparkline>
            <x14:sparkline>
              <xm:f>'Molecules_Negative-ion mode'!I343:Y343</xm:f>
              <xm:sqref>AN343</xm:sqref>
            </x14:sparkline>
            <x14:sparkline>
              <xm:f>'Molecules_Negative-ion mode'!I344:Y344</xm:f>
              <xm:sqref>AN344</xm:sqref>
            </x14:sparkline>
            <x14:sparkline>
              <xm:f>'Molecules_Negative-ion mode'!I345:Y345</xm:f>
              <xm:sqref>AN345</xm:sqref>
            </x14:sparkline>
            <x14:sparkline>
              <xm:f>'Molecules_Negative-ion mode'!I346:Y346</xm:f>
              <xm:sqref>AN346</xm:sqref>
            </x14:sparkline>
            <x14:sparkline>
              <xm:f>'Molecules_Negative-ion mode'!I347:Y347</xm:f>
              <xm:sqref>AN347</xm:sqref>
            </x14:sparkline>
            <x14:sparkline>
              <xm:f>'Molecules_Negative-ion mode'!I348:Y348</xm:f>
              <xm:sqref>AN348</xm:sqref>
            </x14:sparkline>
            <x14:sparkline>
              <xm:f>'Molecules_Negative-ion mode'!I349:Y349</xm:f>
              <xm:sqref>AN349</xm:sqref>
            </x14:sparkline>
            <x14:sparkline>
              <xm:f>'Molecules_Negative-ion mode'!I350:Y350</xm:f>
              <xm:sqref>AN350</xm:sqref>
            </x14:sparkline>
            <x14:sparkline>
              <xm:f>'Molecules_Negative-ion mode'!I351:Y351</xm:f>
              <xm:sqref>AN351</xm:sqref>
            </x14:sparkline>
            <x14:sparkline>
              <xm:f>'Molecules_Negative-ion mode'!I352:Y352</xm:f>
              <xm:sqref>AN352</xm:sqref>
            </x14:sparkline>
            <x14:sparkline>
              <xm:f>'Molecules_Negative-ion mode'!I353:Y353</xm:f>
              <xm:sqref>AN353</xm:sqref>
            </x14:sparkline>
            <x14:sparkline>
              <xm:f>'Molecules_Negative-ion mode'!I354:Y354</xm:f>
              <xm:sqref>AN354</xm:sqref>
            </x14:sparkline>
            <x14:sparkline>
              <xm:f>'Molecules_Negative-ion mode'!I355:Y355</xm:f>
              <xm:sqref>AN355</xm:sqref>
            </x14:sparkline>
            <x14:sparkline>
              <xm:f>'Molecules_Negative-ion mode'!I356:Y356</xm:f>
              <xm:sqref>AN356</xm:sqref>
            </x14:sparkline>
            <x14:sparkline>
              <xm:f>'Molecules_Negative-ion mode'!I357:Y357</xm:f>
              <xm:sqref>AN357</xm:sqref>
            </x14:sparkline>
            <x14:sparkline>
              <xm:f>'Molecules_Negative-ion mode'!I358:Y358</xm:f>
              <xm:sqref>AN358</xm:sqref>
            </x14:sparkline>
            <x14:sparkline>
              <xm:f>'Molecules_Negative-ion mode'!I359:Y359</xm:f>
              <xm:sqref>AN359</xm:sqref>
            </x14:sparkline>
            <x14:sparkline>
              <xm:f>'Molecules_Negative-ion mode'!I360:Y360</xm:f>
              <xm:sqref>AN360</xm:sqref>
            </x14:sparkline>
            <x14:sparkline>
              <xm:f>'Molecules_Negative-ion mode'!I361:Y361</xm:f>
              <xm:sqref>AN361</xm:sqref>
            </x14:sparkline>
            <x14:sparkline>
              <xm:f>'Molecules_Negative-ion mode'!I362:Y362</xm:f>
              <xm:sqref>AN362</xm:sqref>
            </x14:sparkline>
            <x14:sparkline>
              <xm:f>'Molecules_Negative-ion mode'!I363:Y363</xm:f>
              <xm:sqref>AN363</xm:sqref>
            </x14:sparkline>
            <x14:sparkline>
              <xm:f>'Molecules_Negative-ion mode'!I364:Y364</xm:f>
              <xm:sqref>AN364</xm:sqref>
            </x14:sparkline>
            <x14:sparkline>
              <xm:f>'Molecules_Negative-ion mode'!I365:Y365</xm:f>
              <xm:sqref>AN365</xm:sqref>
            </x14:sparkline>
            <x14:sparkline>
              <xm:f>'Molecules_Negative-ion mode'!I366:Y366</xm:f>
              <xm:sqref>AN366</xm:sqref>
            </x14:sparkline>
            <x14:sparkline>
              <xm:f>'Molecules_Negative-ion mode'!I367:Y367</xm:f>
              <xm:sqref>AN367</xm:sqref>
            </x14:sparkline>
            <x14:sparkline>
              <xm:f>'Molecules_Negative-ion mode'!I368:Y368</xm:f>
              <xm:sqref>AN368</xm:sqref>
            </x14:sparkline>
            <x14:sparkline>
              <xm:f>'Molecules_Negative-ion mode'!I369:Y369</xm:f>
              <xm:sqref>AN369</xm:sqref>
            </x14:sparkline>
            <x14:sparkline>
              <xm:f>'Molecules_Negative-ion mode'!I370:Y370</xm:f>
              <xm:sqref>AN370</xm:sqref>
            </x14:sparkline>
            <x14:sparkline>
              <xm:f>'Molecules_Negative-ion mode'!I371:Y371</xm:f>
              <xm:sqref>AN371</xm:sqref>
            </x14:sparkline>
            <x14:sparkline>
              <xm:f>'Molecules_Negative-ion mode'!I372:Y372</xm:f>
              <xm:sqref>AN372</xm:sqref>
            </x14:sparkline>
            <x14:sparkline>
              <xm:f>'Molecules_Negative-ion mode'!I373:Y373</xm:f>
              <xm:sqref>AN373</xm:sqref>
            </x14:sparkline>
            <x14:sparkline>
              <xm:f>'Molecules_Negative-ion mode'!I374:Y374</xm:f>
              <xm:sqref>AN374</xm:sqref>
            </x14:sparkline>
            <x14:sparkline>
              <xm:f>'Molecules_Negative-ion mode'!I375:Y375</xm:f>
              <xm:sqref>AN375</xm:sqref>
            </x14:sparkline>
            <x14:sparkline>
              <xm:f>'Molecules_Negative-ion mode'!I376:Y376</xm:f>
              <xm:sqref>AN376</xm:sqref>
            </x14:sparkline>
            <x14:sparkline>
              <xm:f>'Molecules_Negative-ion mode'!I377:Y377</xm:f>
              <xm:sqref>AN377</xm:sqref>
            </x14:sparkline>
            <x14:sparkline>
              <xm:f>'Molecules_Negative-ion mode'!I378:Y378</xm:f>
              <xm:sqref>AN378</xm:sqref>
            </x14:sparkline>
            <x14:sparkline>
              <xm:f>'Molecules_Negative-ion mode'!I379:Y379</xm:f>
              <xm:sqref>AN379</xm:sqref>
            </x14:sparkline>
            <x14:sparkline>
              <xm:f>'Molecules_Negative-ion mode'!I380:Y380</xm:f>
              <xm:sqref>AN380</xm:sqref>
            </x14:sparkline>
            <x14:sparkline>
              <xm:f>'Molecules_Negative-ion mode'!I381:Y381</xm:f>
              <xm:sqref>AN381</xm:sqref>
            </x14:sparkline>
            <x14:sparkline>
              <xm:f>'Molecules_Negative-ion mode'!I382:Y382</xm:f>
              <xm:sqref>AN382</xm:sqref>
            </x14:sparkline>
            <x14:sparkline>
              <xm:f>'Molecules_Negative-ion mode'!I383:Y383</xm:f>
              <xm:sqref>AN383</xm:sqref>
            </x14:sparkline>
            <x14:sparkline>
              <xm:f>'Molecules_Negative-ion mode'!I384:Y384</xm:f>
              <xm:sqref>AN384</xm:sqref>
            </x14:sparkline>
            <x14:sparkline>
              <xm:f>'Molecules_Negative-ion mode'!I385:Y385</xm:f>
              <xm:sqref>AN385</xm:sqref>
            </x14:sparkline>
            <x14:sparkline>
              <xm:f>'Molecules_Negative-ion mode'!I386:Y386</xm:f>
              <xm:sqref>AN386</xm:sqref>
            </x14:sparkline>
            <x14:sparkline>
              <xm:f>'Molecules_Negative-ion mode'!I387:Y387</xm:f>
              <xm:sqref>AN387</xm:sqref>
            </x14:sparkline>
            <x14:sparkline>
              <xm:f>'Molecules_Negative-ion mode'!I388:Y388</xm:f>
              <xm:sqref>AN388</xm:sqref>
            </x14:sparkline>
            <x14:sparkline>
              <xm:f>'Molecules_Negative-ion mode'!I389:Y389</xm:f>
              <xm:sqref>AN389</xm:sqref>
            </x14:sparkline>
            <x14:sparkline>
              <xm:f>'Molecules_Negative-ion mode'!I390:Y390</xm:f>
              <xm:sqref>AN390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7623-4956-4882-90B7-B23C2DB31B88}">
  <dimension ref="A1:BD218"/>
  <sheetViews>
    <sheetView zoomScale="75" zoomScaleNormal="75" workbookViewId="0">
      <pane xSplit="7" ySplit="3" topLeftCell="P4" activePane="bottomRight" state="frozen"/>
      <selection pane="topRight" activeCell="H1" sqref="H1"/>
      <selection pane="bottomLeft" activeCell="A4" sqref="A4"/>
      <selection pane="bottomRight"/>
    </sheetView>
  </sheetViews>
  <sheetFormatPr defaultColWidth="8.88671875" defaultRowHeight="14.4" outlineLevelCol="1" x14ac:dyDescent="0.2"/>
  <cols>
    <col min="1" max="1" width="9.88671875" style="16" customWidth="1"/>
    <col min="2" max="2" width="7.6640625" style="16" hidden="1" customWidth="1"/>
    <col min="3" max="4" width="9" hidden="1" customWidth="1" outlineLevel="1"/>
    <col min="5" max="5" width="4.33203125" hidden="1" customWidth="1" outlineLevel="1"/>
    <col min="6" max="6" width="29.21875" style="18" customWidth="1" collapsed="1"/>
    <col min="7" max="7" width="15.33203125" style="18" customWidth="1"/>
    <col min="8" max="8" width="23.109375" style="3" hidden="1" customWidth="1"/>
    <col min="9" max="15" width="8.88671875" style="16"/>
    <col min="16" max="16" width="1.6640625" style="16" customWidth="1"/>
    <col min="17" max="23" width="8.88671875" style="16"/>
    <col min="24" max="24" width="1.6640625" style="16" customWidth="1"/>
    <col min="25" max="31" width="8.88671875" style="16"/>
    <col min="32" max="32" width="13.5546875" style="16" customWidth="1"/>
    <col min="33" max="33" width="10" style="33" customWidth="1"/>
    <col min="34" max="34" width="13.44140625" style="16" customWidth="1"/>
    <col min="35" max="37" width="9.6640625" style="16" hidden="1" customWidth="1" outlineLevel="1"/>
    <col min="38" max="38" width="10.109375" style="33" customWidth="1" collapsed="1"/>
    <col min="39" max="39" width="13.44140625" style="16" customWidth="1"/>
    <col min="40" max="56" width="1.6640625" style="16" customWidth="1"/>
    <col min="57" max="16384" width="8.88671875" style="16"/>
  </cols>
  <sheetData>
    <row r="1" spans="1:56" x14ac:dyDescent="0.2">
      <c r="A1" s="8"/>
      <c r="B1" s="8"/>
      <c r="F1" s="19" t="s">
        <v>706</v>
      </c>
      <c r="G1" s="8">
        <v>0.8</v>
      </c>
      <c r="H1" s="5"/>
      <c r="I1" s="11"/>
      <c r="J1" s="11"/>
      <c r="K1" s="11"/>
      <c r="L1" s="11"/>
      <c r="M1" s="11"/>
      <c r="N1" s="11"/>
      <c r="O1" s="11"/>
      <c r="P1" s="11"/>
      <c r="Q1" s="11"/>
      <c r="R1" s="13"/>
      <c r="S1" s="13"/>
      <c r="T1" s="13"/>
      <c r="U1" s="13">
        <f>(AD1-1)/(AD1+1)</f>
        <v>-1</v>
      </c>
      <c r="V1" s="13" t="e">
        <f>(#REF!-1)/(#REF!+1)</f>
        <v>#REF!</v>
      </c>
      <c r="W1" s="13">
        <f>(AH1-1)/(AH1+1)</f>
        <v>-1</v>
      </c>
      <c r="X1" s="11"/>
      <c r="Y1" s="11"/>
      <c r="Z1" s="11"/>
      <c r="AA1" s="11"/>
      <c r="AB1" s="11"/>
      <c r="AC1" s="11"/>
      <c r="AD1" s="8"/>
      <c r="AE1" s="8"/>
      <c r="AF1" s="8"/>
      <c r="AG1" s="34"/>
      <c r="AH1" s="8"/>
      <c r="AI1" s="11"/>
      <c r="AJ1" s="11"/>
      <c r="AK1" s="11"/>
      <c r="AL1" s="29"/>
      <c r="AM1" s="11"/>
      <c r="AN1" s="35" t="s">
        <v>511</v>
      </c>
      <c r="AO1" s="35"/>
      <c r="AP1" s="35"/>
      <c r="AQ1" s="35"/>
      <c r="AR1" s="35"/>
      <c r="AS1" s="35"/>
      <c r="AT1" s="35"/>
      <c r="AU1" s="14"/>
      <c r="AV1" s="35" t="s">
        <v>665</v>
      </c>
      <c r="AW1" s="35"/>
      <c r="AX1" s="35"/>
      <c r="AY1" s="35"/>
      <c r="AZ1" s="35"/>
      <c r="BA1" s="35"/>
      <c r="BB1" s="35"/>
      <c r="BC1" s="14"/>
      <c r="BD1" s="14" t="s">
        <v>703</v>
      </c>
    </row>
    <row r="2" spans="1:56" x14ac:dyDescent="0.2">
      <c r="A2" s="20"/>
      <c r="B2" s="8"/>
      <c r="F2" s="21"/>
      <c r="G2" s="21"/>
      <c r="H2" s="5"/>
      <c r="I2" s="14" t="s">
        <v>0</v>
      </c>
      <c r="J2" s="14" t="s">
        <v>0</v>
      </c>
      <c r="K2" s="14" t="s">
        <v>0</v>
      </c>
      <c r="L2" s="14" t="s">
        <v>0</v>
      </c>
      <c r="M2" s="14" t="s">
        <v>0</v>
      </c>
      <c r="N2" s="14" t="s">
        <v>0</v>
      </c>
      <c r="O2" s="14" t="s">
        <v>0</v>
      </c>
      <c r="P2" s="14"/>
      <c r="Q2" s="14" t="s">
        <v>1</v>
      </c>
      <c r="R2" s="14" t="s">
        <v>1</v>
      </c>
      <c r="S2" s="14" t="s">
        <v>1</v>
      </c>
      <c r="T2" s="14" t="s">
        <v>1</v>
      </c>
      <c r="U2" s="14" t="s">
        <v>1</v>
      </c>
      <c r="V2" s="14" t="s">
        <v>1</v>
      </c>
      <c r="W2" s="14" t="s">
        <v>1</v>
      </c>
      <c r="X2" s="14"/>
      <c r="Y2" s="14" t="s">
        <v>701</v>
      </c>
      <c r="Z2" s="14" t="s">
        <v>679</v>
      </c>
      <c r="AA2" s="14" t="s">
        <v>679</v>
      </c>
      <c r="AB2" s="14" t="s">
        <v>679</v>
      </c>
      <c r="AC2" s="14" t="s">
        <v>679</v>
      </c>
      <c r="AD2" s="35" t="s">
        <v>702</v>
      </c>
      <c r="AE2" s="35"/>
      <c r="AF2" s="27"/>
      <c r="AG2" s="35" t="s">
        <v>506</v>
      </c>
      <c r="AH2" s="35"/>
      <c r="AI2" s="14"/>
      <c r="AJ2" s="14"/>
      <c r="AK2" s="25" t="s">
        <v>719</v>
      </c>
      <c r="AL2" s="36" t="s">
        <v>721</v>
      </c>
      <c r="AM2" s="37"/>
      <c r="AN2" s="14">
        <v>1</v>
      </c>
      <c r="AO2" s="14">
        <v>2</v>
      </c>
      <c r="AP2" s="14">
        <v>3</v>
      </c>
      <c r="AQ2" s="14">
        <v>4</v>
      </c>
      <c r="AR2" s="14">
        <v>5</v>
      </c>
      <c r="AS2" s="14">
        <v>6</v>
      </c>
      <c r="AT2" s="14">
        <v>7</v>
      </c>
      <c r="AU2" s="14"/>
      <c r="AV2" s="14">
        <v>8</v>
      </c>
      <c r="AW2" s="14">
        <v>9</v>
      </c>
      <c r="AX2" s="14">
        <v>1</v>
      </c>
      <c r="AY2" s="14">
        <v>1</v>
      </c>
      <c r="AZ2" s="14">
        <v>1</v>
      </c>
      <c r="BA2" s="14">
        <v>1</v>
      </c>
      <c r="BB2" s="14">
        <v>1</v>
      </c>
      <c r="BC2" s="14"/>
      <c r="BD2" s="14" t="s">
        <v>509</v>
      </c>
    </row>
    <row r="3" spans="1:56" x14ac:dyDescent="0.2">
      <c r="A3" s="29" t="s">
        <v>698</v>
      </c>
      <c r="B3" s="29" t="s">
        <v>3</v>
      </c>
      <c r="C3" s="1" t="s">
        <v>4</v>
      </c>
      <c r="D3" s="1" t="s">
        <v>5</v>
      </c>
      <c r="E3" s="1" t="s">
        <v>6</v>
      </c>
      <c r="F3" s="31" t="s">
        <v>699</v>
      </c>
      <c r="G3" s="31" t="s">
        <v>700</v>
      </c>
      <c r="H3" s="32" t="s">
        <v>7</v>
      </c>
      <c r="I3" s="29">
        <v>1</v>
      </c>
      <c r="J3" s="29">
        <v>2</v>
      </c>
      <c r="K3" s="29">
        <v>3</v>
      </c>
      <c r="L3" s="29">
        <v>4</v>
      </c>
      <c r="M3" s="29">
        <v>5</v>
      </c>
      <c r="N3" s="29">
        <v>6</v>
      </c>
      <c r="O3" s="29">
        <v>7</v>
      </c>
      <c r="P3" s="29"/>
      <c r="Q3" s="29">
        <v>8</v>
      </c>
      <c r="R3" s="29">
        <v>9</v>
      </c>
      <c r="S3" s="29">
        <v>10</v>
      </c>
      <c r="T3" s="29">
        <v>11</v>
      </c>
      <c r="U3" s="29">
        <v>12</v>
      </c>
      <c r="V3" s="29">
        <v>13</v>
      </c>
      <c r="W3" s="29">
        <v>14</v>
      </c>
      <c r="X3" s="29"/>
      <c r="Y3" s="29" t="s">
        <v>701</v>
      </c>
      <c r="Z3" s="29">
        <v>4</v>
      </c>
      <c r="AA3" s="29">
        <v>5</v>
      </c>
      <c r="AB3" s="29">
        <v>6</v>
      </c>
      <c r="AC3" s="29" t="s">
        <v>690</v>
      </c>
      <c r="AD3" s="29" t="s">
        <v>0</v>
      </c>
      <c r="AE3" s="29" t="s">
        <v>1</v>
      </c>
      <c r="AF3" s="29" t="s">
        <v>720</v>
      </c>
      <c r="AG3" s="29" t="s">
        <v>714</v>
      </c>
      <c r="AH3" s="29" t="s">
        <v>715</v>
      </c>
      <c r="AI3" s="29" t="s">
        <v>717</v>
      </c>
      <c r="AJ3" s="29">
        <f>COUNT(AJ4:AJ212)</f>
        <v>209</v>
      </c>
      <c r="AK3" s="29" t="s">
        <v>718</v>
      </c>
      <c r="AL3" s="29" t="s">
        <v>735</v>
      </c>
      <c r="AM3" s="30" t="s">
        <v>722</v>
      </c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>
        <v>0</v>
      </c>
      <c r="AY3" s="14">
        <v>1</v>
      </c>
      <c r="AZ3" s="14">
        <v>2</v>
      </c>
      <c r="BA3" s="14">
        <v>3</v>
      </c>
      <c r="BB3" s="14">
        <v>4</v>
      </c>
      <c r="BC3" s="14"/>
      <c r="BD3" s="14" t="s">
        <v>510</v>
      </c>
    </row>
    <row r="4" spans="1:56" ht="27" customHeight="1" x14ac:dyDescent="0.2">
      <c r="A4" s="10" t="s">
        <v>357</v>
      </c>
      <c r="B4" s="11">
        <v>30</v>
      </c>
      <c r="C4" s="2">
        <v>400.341444365928</v>
      </c>
      <c r="D4" s="2">
        <v>4.8671245098038796</v>
      </c>
      <c r="E4" s="2">
        <v>1</v>
      </c>
      <c r="F4" s="12" t="s">
        <v>370</v>
      </c>
      <c r="G4" s="12" t="s">
        <v>369</v>
      </c>
      <c r="H4" s="5"/>
      <c r="I4" s="11">
        <v>134176</v>
      </c>
      <c r="J4" s="11">
        <v>127922</v>
      </c>
      <c r="K4" s="11">
        <v>245857</v>
      </c>
      <c r="L4" s="11">
        <v>192937</v>
      </c>
      <c r="M4" s="11">
        <v>137040</v>
      </c>
      <c r="N4" s="11">
        <v>178891</v>
      </c>
      <c r="O4" s="11">
        <v>86187</v>
      </c>
      <c r="P4" s="11"/>
      <c r="Q4" s="11">
        <v>10122</v>
      </c>
      <c r="R4" s="11">
        <v>30766</v>
      </c>
      <c r="S4" s="11">
        <v>13512</v>
      </c>
      <c r="T4" s="11">
        <v>14913</v>
      </c>
      <c r="U4" s="11">
        <v>27363</v>
      </c>
      <c r="V4" s="11">
        <v>26402</v>
      </c>
      <c r="W4" s="11">
        <v>24386</v>
      </c>
      <c r="X4" s="11"/>
      <c r="Y4" s="11">
        <v>204</v>
      </c>
      <c r="Z4" s="11">
        <v>99865</v>
      </c>
      <c r="AA4" s="11">
        <v>84875</v>
      </c>
      <c r="AB4" s="11">
        <v>85295</v>
      </c>
      <c r="AC4" s="17">
        <f t="shared" ref="AC4:AC30" si="0">IFERROR(STDEV(Z4:AB4)/AVERAGE(Z4:AB4),0)</f>
        <v>9.4830158324491903E-2</v>
      </c>
      <c r="AD4" s="11">
        <f t="shared" ref="AD4:AD30" si="1">AVERAGE(I4:O4)</f>
        <v>157572.85714285713</v>
      </c>
      <c r="AE4" s="11">
        <f t="shared" ref="AE4:AE30" si="2">AVERAGE(Q4:W4)</f>
        <v>21066.285714285714</v>
      </c>
      <c r="AF4" s="28">
        <f>AE4/AD4</f>
        <v>0.13369235093063528</v>
      </c>
      <c r="AG4" s="42">
        <f t="shared" ref="AG4:AG67" si="3">TTEST(I4:O4,Q4:W4,2,3)</f>
        <v>4.0047111675663887E-4</v>
      </c>
      <c r="AH4" s="14" t="str">
        <f t="shared" ref="AH4:AH30" si="4">IF(AG4&lt;0.001,"***",IF(AG4&lt;0.01,"**",IF(AG4&lt;0.05,"*","-")))</f>
        <v>***</v>
      </c>
      <c r="AI4" s="11">
        <f>_xlfn.RANK.EQ(AG4,$AG$4:$AG$212,1)</f>
        <v>66</v>
      </c>
      <c r="AJ4" s="11">
        <f>COUNTIF($AI$4:$AI$212,AI4)+AI4-1</f>
        <v>66</v>
      </c>
      <c r="AK4" s="11">
        <f t="shared" ref="AK4:AK67" si="5">MIN(AG4*$AJ$3/AJ4,1)</f>
        <v>1.268158536396023E-3</v>
      </c>
      <c r="AL4" s="42">
        <f>MIN(AK4,IFERROR(VLOOKUP(AJ4+1,$AJ$4:$AL$212,3,FALSE),1))</f>
        <v>1.2517623730257028E-3</v>
      </c>
      <c r="AM4" s="14" t="str">
        <f>IF(AL4&lt;0.05,"**",IF(AL4&lt;0.1,"*",""))</f>
        <v>**</v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</row>
    <row r="5" spans="1:56" ht="27" customHeight="1" x14ac:dyDescent="0.2">
      <c r="A5" s="10" t="s">
        <v>357</v>
      </c>
      <c r="B5" s="11">
        <v>33</v>
      </c>
      <c r="C5" s="2">
        <v>426.35692360574598</v>
      </c>
      <c r="D5" s="2">
        <v>5.0254647058823503</v>
      </c>
      <c r="E5" s="2">
        <v>1</v>
      </c>
      <c r="F5" s="12" t="s">
        <v>371</v>
      </c>
      <c r="G5" s="12" t="s">
        <v>369</v>
      </c>
      <c r="H5" s="5"/>
      <c r="I5" s="11">
        <v>152973</v>
      </c>
      <c r="J5" s="11">
        <v>111467</v>
      </c>
      <c r="K5" s="11">
        <v>226070</v>
      </c>
      <c r="L5" s="11">
        <v>129943</v>
      </c>
      <c r="M5" s="11">
        <v>94314</v>
      </c>
      <c r="N5" s="11">
        <v>171489</v>
      </c>
      <c r="O5" s="11">
        <v>69710</v>
      </c>
      <c r="P5" s="11"/>
      <c r="Q5" s="11">
        <v>4779</v>
      </c>
      <c r="R5" s="11">
        <v>18968</v>
      </c>
      <c r="S5" s="11">
        <v>7820</v>
      </c>
      <c r="T5" s="11">
        <v>10453</v>
      </c>
      <c r="U5" s="11">
        <v>24161</v>
      </c>
      <c r="V5" s="11">
        <v>24386</v>
      </c>
      <c r="W5" s="11">
        <v>14061</v>
      </c>
      <c r="X5" s="11"/>
      <c r="Y5" s="11">
        <v>22</v>
      </c>
      <c r="Z5" s="11">
        <v>75872</v>
      </c>
      <c r="AA5" s="11">
        <v>67132</v>
      </c>
      <c r="AB5" s="11">
        <v>61739</v>
      </c>
      <c r="AC5" s="17">
        <f t="shared" si="0"/>
        <v>0.10450536968951192</v>
      </c>
      <c r="AD5" s="11">
        <f t="shared" si="1"/>
        <v>136566.57142857142</v>
      </c>
      <c r="AE5" s="11">
        <f t="shared" si="2"/>
        <v>14946.857142857143</v>
      </c>
      <c r="AF5" s="28">
        <f t="shared" ref="AF5:AF68" si="6">AE5/AD5</f>
        <v>0.10944740712535803</v>
      </c>
      <c r="AG5" s="42">
        <f t="shared" si="3"/>
        <v>7.6311408070571464E-4</v>
      </c>
      <c r="AH5" s="14" t="str">
        <f t="shared" si="4"/>
        <v>***</v>
      </c>
      <c r="AI5" s="11">
        <f t="shared" ref="AI5:AI68" si="7">_xlfn.RANK.EQ(AG5,$AG$4:$AG$212,1)</f>
        <v>77</v>
      </c>
      <c r="AJ5" s="11">
        <f t="shared" ref="AJ5:AJ68" si="8">COUNTIF($AI$4:$AI$212,AI5)+AI5-1</f>
        <v>77</v>
      </c>
      <c r="AK5" s="11">
        <f t="shared" si="5"/>
        <v>2.0713096476297969E-3</v>
      </c>
      <c r="AL5" s="42">
        <f t="shared" ref="AL5:AL68" si="9">MIN(AK5,IFERROR(VLOOKUP(AJ5+1,$AJ$4:$AL$212,3,FALSE),1))</f>
        <v>2.0713096476297969E-3</v>
      </c>
      <c r="AM5" s="14" t="str">
        <f t="shared" ref="AM5:AM68" si="10">IF(AL5&lt;0.05,"**",IF(AL5&lt;0.1,"*",""))</f>
        <v>**</v>
      </c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</row>
    <row r="6" spans="1:56" ht="27" customHeight="1" x14ac:dyDescent="0.2">
      <c r="A6" s="10" t="s">
        <v>357</v>
      </c>
      <c r="B6" s="11">
        <v>40</v>
      </c>
      <c r="C6" s="2">
        <v>424.34146038157502</v>
      </c>
      <c r="D6" s="2">
        <v>4.5945066666668604</v>
      </c>
      <c r="E6" s="2">
        <v>1</v>
      </c>
      <c r="F6" s="12" t="s">
        <v>368</v>
      </c>
      <c r="G6" s="12" t="s">
        <v>369</v>
      </c>
      <c r="H6" s="5"/>
      <c r="I6" s="11">
        <v>181841</v>
      </c>
      <c r="J6" s="11">
        <v>107376</v>
      </c>
      <c r="K6" s="11">
        <v>175622</v>
      </c>
      <c r="L6" s="11">
        <v>146020</v>
      </c>
      <c r="M6" s="11">
        <v>140857</v>
      </c>
      <c r="N6" s="11">
        <v>150531</v>
      </c>
      <c r="O6" s="11">
        <v>81718</v>
      </c>
      <c r="P6" s="11"/>
      <c r="Q6" s="11">
        <v>4553</v>
      </c>
      <c r="R6" s="11">
        <v>21520</v>
      </c>
      <c r="S6" s="11">
        <v>6252</v>
      </c>
      <c r="T6" s="11">
        <v>10307</v>
      </c>
      <c r="U6" s="11">
        <v>30868</v>
      </c>
      <c r="V6" s="11">
        <v>23698</v>
      </c>
      <c r="W6" s="11">
        <v>20051</v>
      </c>
      <c r="X6" s="11"/>
      <c r="Y6" s="11">
        <v>145</v>
      </c>
      <c r="Z6" s="11">
        <v>67025</v>
      </c>
      <c r="AA6" s="11">
        <v>54473</v>
      </c>
      <c r="AB6" s="11">
        <v>58321</v>
      </c>
      <c r="AC6" s="17">
        <f t="shared" si="0"/>
        <v>0.1072853527576418</v>
      </c>
      <c r="AD6" s="11">
        <f t="shared" si="1"/>
        <v>140566.42857142858</v>
      </c>
      <c r="AE6" s="11">
        <f t="shared" si="2"/>
        <v>16749.857142857141</v>
      </c>
      <c r="AF6" s="28">
        <f t="shared" si="6"/>
        <v>0.11915972620977371</v>
      </c>
      <c r="AG6" s="42">
        <f t="shared" si="3"/>
        <v>5.1125864696040813E-5</v>
      </c>
      <c r="AH6" s="14" t="str">
        <f t="shared" si="4"/>
        <v>***</v>
      </c>
      <c r="AI6" s="11">
        <f t="shared" si="7"/>
        <v>26</v>
      </c>
      <c r="AJ6" s="11">
        <f t="shared" si="8"/>
        <v>26</v>
      </c>
      <c r="AK6" s="11">
        <f t="shared" si="5"/>
        <v>4.1097329697971271E-4</v>
      </c>
      <c r="AL6" s="42">
        <f t="shared" si="9"/>
        <v>4.0394159932934229E-4</v>
      </c>
      <c r="AM6" s="14" t="str">
        <f t="shared" si="10"/>
        <v>**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</row>
    <row r="7" spans="1:56" ht="27" customHeight="1" x14ac:dyDescent="0.2">
      <c r="A7" s="10" t="s">
        <v>357</v>
      </c>
      <c r="B7" s="11">
        <v>63</v>
      </c>
      <c r="C7" s="2">
        <v>372.31002799480899</v>
      </c>
      <c r="D7" s="2">
        <v>4.1418107843136402</v>
      </c>
      <c r="E7" s="2">
        <v>1</v>
      </c>
      <c r="F7" s="12" t="s">
        <v>377</v>
      </c>
      <c r="G7" s="12" t="s">
        <v>369</v>
      </c>
      <c r="H7" s="5"/>
      <c r="I7" s="11">
        <v>69833</v>
      </c>
      <c r="J7" s="11">
        <v>59649</v>
      </c>
      <c r="K7" s="11">
        <v>99611</v>
      </c>
      <c r="L7" s="11">
        <v>82093</v>
      </c>
      <c r="M7" s="11">
        <v>81212</v>
      </c>
      <c r="N7" s="11">
        <v>95517</v>
      </c>
      <c r="O7" s="11">
        <v>33749</v>
      </c>
      <c r="P7" s="11"/>
      <c r="Q7" s="11">
        <v>4176</v>
      </c>
      <c r="R7" s="11">
        <v>13398</v>
      </c>
      <c r="S7" s="11">
        <v>7752</v>
      </c>
      <c r="T7" s="11">
        <v>6685</v>
      </c>
      <c r="U7" s="11">
        <v>8731</v>
      </c>
      <c r="V7" s="11">
        <v>14383</v>
      </c>
      <c r="W7" s="11">
        <v>8847</v>
      </c>
      <c r="X7" s="11"/>
      <c r="Y7" s="11">
        <v>514</v>
      </c>
      <c r="Z7" s="11">
        <v>41031</v>
      </c>
      <c r="AA7" s="11">
        <v>41382</v>
      </c>
      <c r="AB7" s="11">
        <v>35139</v>
      </c>
      <c r="AC7" s="17">
        <f t="shared" si="0"/>
        <v>8.951271384881726E-2</v>
      </c>
      <c r="AD7" s="11">
        <f t="shared" si="1"/>
        <v>74523.428571428565</v>
      </c>
      <c r="AE7" s="11">
        <f t="shared" si="2"/>
        <v>9138.8571428571431</v>
      </c>
      <c r="AF7" s="28">
        <f t="shared" si="6"/>
        <v>0.12263065881486936</v>
      </c>
      <c r="AG7" s="42">
        <f t="shared" si="3"/>
        <v>2.2198379517179099E-4</v>
      </c>
      <c r="AH7" s="14" t="str">
        <f t="shared" si="4"/>
        <v>***</v>
      </c>
      <c r="AI7" s="11">
        <f t="shared" si="7"/>
        <v>55</v>
      </c>
      <c r="AJ7" s="11">
        <f t="shared" si="8"/>
        <v>55</v>
      </c>
      <c r="AK7" s="11">
        <f t="shared" si="5"/>
        <v>8.4353842165280568E-4</v>
      </c>
      <c r="AL7" s="42">
        <f t="shared" si="9"/>
        <v>8.4353842165280568E-4</v>
      </c>
      <c r="AM7" s="14" t="str">
        <f t="shared" si="10"/>
        <v>**</v>
      </c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</row>
    <row r="8" spans="1:56" ht="27" customHeight="1" x14ac:dyDescent="0.2">
      <c r="A8" s="10" t="s">
        <v>357</v>
      </c>
      <c r="B8" s="11">
        <v>90</v>
      </c>
      <c r="C8" s="2">
        <v>396.31021172855498</v>
      </c>
      <c r="D8" s="2">
        <v>3.92891250000006</v>
      </c>
      <c r="E8" s="2">
        <v>1</v>
      </c>
      <c r="F8" s="12" t="s">
        <v>379</v>
      </c>
      <c r="G8" s="12" t="s">
        <v>369</v>
      </c>
      <c r="H8" s="5"/>
      <c r="I8" s="11">
        <v>54211</v>
      </c>
      <c r="J8" s="11">
        <v>35890</v>
      </c>
      <c r="K8" s="11">
        <v>61056</v>
      </c>
      <c r="L8" s="11">
        <v>60283</v>
      </c>
      <c r="M8" s="11">
        <v>62243</v>
      </c>
      <c r="N8" s="11">
        <v>63139</v>
      </c>
      <c r="O8" s="11">
        <v>32495</v>
      </c>
      <c r="P8" s="11"/>
      <c r="Q8" s="11">
        <v>1759</v>
      </c>
      <c r="R8" s="11">
        <v>9860</v>
      </c>
      <c r="S8" s="11">
        <v>3698</v>
      </c>
      <c r="T8" s="11">
        <v>4311</v>
      </c>
      <c r="U8" s="11">
        <v>9002</v>
      </c>
      <c r="V8" s="11">
        <v>14526</v>
      </c>
      <c r="W8" s="11">
        <v>6958</v>
      </c>
      <c r="X8" s="11"/>
      <c r="Y8" s="11">
        <v>4</v>
      </c>
      <c r="Z8" s="11">
        <v>23432</v>
      </c>
      <c r="AA8" s="11">
        <v>24821</v>
      </c>
      <c r="AB8" s="11">
        <v>20224</v>
      </c>
      <c r="AC8" s="17">
        <f t="shared" si="0"/>
        <v>0.10329238770787844</v>
      </c>
      <c r="AD8" s="11">
        <f t="shared" si="1"/>
        <v>52759.571428571428</v>
      </c>
      <c r="AE8" s="11">
        <f t="shared" si="2"/>
        <v>7159.1428571428569</v>
      </c>
      <c r="AF8" s="28">
        <f t="shared" si="6"/>
        <v>0.13569372652761719</v>
      </c>
      <c r="AG8" s="42">
        <f t="shared" si="3"/>
        <v>3.8336435231270884E-5</v>
      </c>
      <c r="AH8" s="14" t="str">
        <f t="shared" si="4"/>
        <v>***</v>
      </c>
      <c r="AI8" s="11">
        <f t="shared" si="7"/>
        <v>20</v>
      </c>
      <c r="AJ8" s="11">
        <f t="shared" si="8"/>
        <v>20</v>
      </c>
      <c r="AK8" s="11">
        <f t="shared" si="5"/>
        <v>4.0061574816678081E-4</v>
      </c>
      <c r="AL8" s="42">
        <f t="shared" si="9"/>
        <v>3.8828708123971544E-4</v>
      </c>
      <c r="AM8" s="14" t="str">
        <f t="shared" si="10"/>
        <v>**</v>
      </c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</row>
    <row r="9" spans="1:56" ht="27" customHeight="1" x14ac:dyDescent="0.2">
      <c r="A9" s="10" t="s">
        <v>357</v>
      </c>
      <c r="B9" s="11">
        <v>96</v>
      </c>
      <c r="C9" s="2">
        <v>398.32541371233799</v>
      </c>
      <c r="D9" s="2">
        <v>4.3869372549019401</v>
      </c>
      <c r="E9" s="2">
        <v>1</v>
      </c>
      <c r="F9" s="12" t="s">
        <v>381</v>
      </c>
      <c r="G9" s="12" t="s">
        <v>369</v>
      </c>
      <c r="H9" s="5"/>
      <c r="I9" s="11">
        <v>42143</v>
      </c>
      <c r="J9" s="11">
        <v>31520</v>
      </c>
      <c r="K9" s="11">
        <v>59273</v>
      </c>
      <c r="L9" s="11">
        <v>49579</v>
      </c>
      <c r="M9" s="11">
        <v>48290</v>
      </c>
      <c r="N9" s="11">
        <v>53604</v>
      </c>
      <c r="O9" s="11">
        <v>24597</v>
      </c>
      <c r="P9" s="11"/>
      <c r="Q9" s="11">
        <v>2151</v>
      </c>
      <c r="R9" s="11">
        <v>7933</v>
      </c>
      <c r="S9" s="11">
        <v>1822</v>
      </c>
      <c r="T9" s="11">
        <v>3336</v>
      </c>
      <c r="U9" s="11">
        <v>4941</v>
      </c>
      <c r="V9" s="11">
        <v>8969</v>
      </c>
      <c r="W9" s="11">
        <v>5510</v>
      </c>
      <c r="X9" s="11"/>
      <c r="Y9" s="11">
        <v>133</v>
      </c>
      <c r="Z9" s="11">
        <v>20333</v>
      </c>
      <c r="AA9" s="11">
        <v>20491</v>
      </c>
      <c r="AB9" s="11">
        <v>17405</v>
      </c>
      <c r="AC9" s="17">
        <f t="shared" si="0"/>
        <v>8.9537279919004439E-2</v>
      </c>
      <c r="AD9" s="11">
        <f t="shared" si="1"/>
        <v>44143.714285714283</v>
      </c>
      <c r="AE9" s="11">
        <f t="shared" si="2"/>
        <v>4951.7142857142853</v>
      </c>
      <c r="AF9" s="28">
        <f t="shared" si="6"/>
        <v>0.11217257917321993</v>
      </c>
      <c r="AG9" s="42">
        <f t="shared" si="3"/>
        <v>1.0619744120862749E-4</v>
      </c>
      <c r="AH9" s="14" t="str">
        <f t="shared" si="4"/>
        <v>***</v>
      </c>
      <c r="AI9" s="11">
        <f t="shared" si="7"/>
        <v>43</v>
      </c>
      <c r="AJ9" s="11">
        <f t="shared" si="8"/>
        <v>43</v>
      </c>
      <c r="AK9" s="11">
        <f t="shared" si="5"/>
        <v>5.1616895843263134E-4</v>
      </c>
      <c r="AL9" s="42">
        <f t="shared" si="9"/>
        <v>5.1616895843263134E-4</v>
      </c>
      <c r="AM9" s="14" t="str">
        <f t="shared" si="10"/>
        <v>**</v>
      </c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</row>
    <row r="10" spans="1:56" ht="27" customHeight="1" x14ac:dyDescent="0.2">
      <c r="A10" s="10" t="s">
        <v>357</v>
      </c>
      <c r="B10" s="11">
        <v>103</v>
      </c>
      <c r="C10" s="2">
        <v>428.37202596426999</v>
      </c>
      <c r="D10" s="2">
        <v>5.5133127450979904</v>
      </c>
      <c r="E10" s="2">
        <v>1</v>
      </c>
      <c r="F10" s="12" t="s">
        <v>389</v>
      </c>
      <c r="G10" s="12" t="s">
        <v>369</v>
      </c>
      <c r="H10" s="5"/>
      <c r="I10" s="11">
        <v>48004</v>
      </c>
      <c r="J10" s="11">
        <v>33143</v>
      </c>
      <c r="K10" s="11">
        <v>51804</v>
      </c>
      <c r="L10" s="11">
        <v>28598</v>
      </c>
      <c r="M10" s="11">
        <v>35217</v>
      </c>
      <c r="N10" s="11">
        <v>46645</v>
      </c>
      <c r="O10" s="11">
        <v>28330</v>
      </c>
      <c r="P10" s="11"/>
      <c r="Q10" s="11">
        <v>2345</v>
      </c>
      <c r="R10" s="11">
        <v>5836</v>
      </c>
      <c r="S10" s="11">
        <v>4076</v>
      </c>
      <c r="T10" s="11">
        <v>3346</v>
      </c>
      <c r="U10" s="11">
        <v>5200</v>
      </c>
      <c r="V10" s="11">
        <v>9577</v>
      </c>
      <c r="W10" s="11">
        <v>4568</v>
      </c>
      <c r="X10" s="11"/>
      <c r="Y10" s="11">
        <v>697</v>
      </c>
      <c r="Z10" s="11">
        <v>22201</v>
      </c>
      <c r="AA10" s="11">
        <v>24475</v>
      </c>
      <c r="AB10" s="11">
        <v>17370</v>
      </c>
      <c r="AC10" s="17">
        <f t="shared" si="0"/>
        <v>0.16995795438759706</v>
      </c>
      <c r="AD10" s="11">
        <f t="shared" si="1"/>
        <v>38820.142857142855</v>
      </c>
      <c r="AE10" s="11">
        <f t="shared" si="2"/>
        <v>4992.5714285714284</v>
      </c>
      <c r="AF10" s="28">
        <f t="shared" si="6"/>
        <v>0.12860775517864437</v>
      </c>
      <c r="AG10" s="42">
        <f t="shared" si="3"/>
        <v>6.057944013203034E-5</v>
      </c>
      <c r="AH10" s="14" t="str">
        <f t="shared" si="4"/>
        <v>***</v>
      </c>
      <c r="AI10" s="11">
        <f t="shared" si="7"/>
        <v>31</v>
      </c>
      <c r="AJ10" s="11">
        <f t="shared" si="8"/>
        <v>31</v>
      </c>
      <c r="AK10" s="11">
        <f t="shared" si="5"/>
        <v>4.0842267701917231E-4</v>
      </c>
      <c r="AL10" s="42">
        <f t="shared" si="9"/>
        <v>4.0842267701917231E-4</v>
      </c>
      <c r="AM10" s="14" t="str">
        <f t="shared" si="10"/>
        <v>**</v>
      </c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</row>
    <row r="11" spans="1:56" ht="27" customHeight="1" x14ac:dyDescent="0.2">
      <c r="A11" s="10" t="s">
        <v>357</v>
      </c>
      <c r="B11" s="11">
        <v>119</v>
      </c>
      <c r="C11" s="2">
        <v>452.371680777601</v>
      </c>
      <c r="D11" s="2">
        <v>5.2085851851851102</v>
      </c>
      <c r="E11" s="2">
        <v>1</v>
      </c>
      <c r="F11" s="12" t="s">
        <v>393</v>
      </c>
      <c r="G11" s="12" t="s">
        <v>369</v>
      </c>
      <c r="H11" s="5"/>
      <c r="I11" s="11">
        <v>38230</v>
      </c>
      <c r="J11" s="11">
        <v>22021</v>
      </c>
      <c r="K11" s="11">
        <v>42870</v>
      </c>
      <c r="L11" s="11">
        <v>20924</v>
      </c>
      <c r="M11" s="11">
        <v>19044</v>
      </c>
      <c r="N11" s="11">
        <v>24213</v>
      </c>
      <c r="O11" s="11">
        <v>17309</v>
      </c>
      <c r="P11" s="11"/>
      <c r="Q11" s="11">
        <v>1676</v>
      </c>
      <c r="R11" s="11">
        <v>3359</v>
      </c>
      <c r="S11" s="11">
        <v>1937</v>
      </c>
      <c r="T11" s="11">
        <v>3631</v>
      </c>
      <c r="U11" s="11">
        <v>7784</v>
      </c>
      <c r="V11" s="11">
        <v>6954</v>
      </c>
      <c r="W11" s="11">
        <v>2468</v>
      </c>
      <c r="X11" s="11"/>
      <c r="Y11" s="11">
        <v>782</v>
      </c>
      <c r="Z11" s="11">
        <v>14623</v>
      </c>
      <c r="AA11" s="11">
        <v>13153</v>
      </c>
      <c r="AB11" s="11">
        <v>13384</v>
      </c>
      <c r="AC11" s="17">
        <f t="shared" si="0"/>
        <v>5.7616929259342996E-2</v>
      </c>
      <c r="AD11" s="11">
        <f t="shared" si="1"/>
        <v>26373</v>
      </c>
      <c r="AE11" s="11">
        <f t="shared" si="2"/>
        <v>3972.7142857142858</v>
      </c>
      <c r="AF11" s="28">
        <f t="shared" si="6"/>
        <v>0.15063566093028044</v>
      </c>
      <c r="AG11" s="42">
        <f t="shared" si="3"/>
        <v>8.1428710102973982E-4</v>
      </c>
      <c r="AH11" s="14" t="str">
        <f t="shared" si="4"/>
        <v>***</v>
      </c>
      <c r="AI11" s="11">
        <f t="shared" si="7"/>
        <v>79</v>
      </c>
      <c r="AJ11" s="11">
        <f t="shared" si="8"/>
        <v>79</v>
      </c>
      <c r="AK11" s="11">
        <f t="shared" si="5"/>
        <v>2.1542532166482988E-3</v>
      </c>
      <c r="AL11" s="42">
        <f t="shared" si="9"/>
        <v>2.1436440208389925E-3</v>
      </c>
      <c r="AM11" s="14" t="str">
        <f t="shared" si="10"/>
        <v>**</v>
      </c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</row>
    <row r="12" spans="1:56" ht="27" customHeight="1" x14ac:dyDescent="0.2">
      <c r="A12" s="10" t="s">
        <v>357</v>
      </c>
      <c r="B12" s="11">
        <v>126</v>
      </c>
      <c r="C12" s="2">
        <v>454.38773585694099</v>
      </c>
      <c r="D12" s="2">
        <v>5.60463823529411</v>
      </c>
      <c r="E12" s="2">
        <v>1</v>
      </c>
      <c r="F12" s="12" t="s">
        <v>398</v>
      </c>
      <c r="G12" s="12" t="s">
        <v>369</v>
      </c>
      <c r="H12" s="5"/>
      <c r="I12" s="11">
        <v>30800</v>
      </c>
      <c r="J12" s="11">
        <v>19516</v>
      </c>
      <c r="K12" s="11">
        <v>39975</v>
      </c>
      <c r="L12" s="11">
        <v>15335</v>
      </c>
      <c r="M12" s="11">
        <v>13671</v>
      </c>
      <c r="N12" s="11">
        <v>21722</v>
      </c>
      <c r="O12" s="11">
        <v>15958</v>
      </c>
      <c r="P12" s="11"/>
      <c r="Q12" s="11">
        <v>665</v>
      </c>
      <c r="R12" s="11">
        <v>2578</v>
      </c>
      <c r="S12" s="11">
        <v>898</v>
      </c>
      <c r="T12" s="11">
        <v>1565</v>
      </c>
      <c r="U12" s="11">
        <v>3227</v>
      </c>
      <c r="V12" s="11">
        <v>4281</v>
      </c>
      <c r="W12" s="11">
        <v>1725</v>
      </c>
      <c r="X12" s="11"/>
      <c r="Y12" s="11">
        <v>27</v>
      </c>
      <c r="Z12" s="11">
        <v>11808</v>
      </c>
      <c r="AA12" s="11">
        <v>10952</v>
      </c>
      <c r="AB12" s="11">
        <v>8846</v>
      </c>
      <c r="AC12" s="17">
        <f t="shared" si="0"/>
        <v>0.1446870083457239</v>
      </c>
      <c r="AD12" s="11">
        <f t="shared" si="1"/>
        <v>22425.285714285714</v>
      </c>
      <c r="AE12" s="11">
        <f t="shared" si="2"/>
        <v>2134.1428571428573</v>
      </c>
      <c r="AF12" s="28">
        <f t="shared" si="6"/>
        <v>9.5166807876313098E-2</v>
      </c>
      <c r="AG12" s="42">
        <f t="shared" si="3"/>
        <v>1.3110192181768293E-3</v>
      </c>
      <c r="AH12" s="14" t="str">
        <f t="shared" si="4"/>
        <v>**</v>
      </c>
      <c r="AI12" s="11">
        <f t="shared" si="7"/>
        <v>88</v>
      </c>
      <c r="AJ12" s="11">
        <f t="shared" si="8"/>
        <v>88</v>
      </c>
      <c r="AK12" s="11">
        <f t="shared" si="5"/>
        <v>3.1136706431699693E-3</v>
      </c>
      <c r="AL12" s="42">
        <f t="shared" si="9"/>
        <v>3.1136706431699693E-3</v>
      </c>
      <c r="AM12" s="14" t="str">
        <f t="shared" si="10"/>
        <v>**</v>
      </c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</row>
    <row r="13" spans="1:56" ht="27" customHeight="1" x14ac:dyDescent="0.2">
      <c r="A13" s="10" t="s">
        <v>357</v>
      </c>
      <c r="B13" s="11">
        <v>130</v>
      </c>
      <c r="C13" s="2">
        <v>344.27832186407102</v>
      </c>
      <c r="D13" s="2">
        <v>3.2845656862745201</v>
      </c>
      <c r="E13" s="2">
        <v>1</v>
      </c>
      <c r="F13" s="12" t="s">
        <v>385</v>
      </c>
      <c r="G13" s="12" t="s">
        <v>369</v>
      </c>
      <c r="H13" s="5"/>
      <c r="I13" s="11">
        <v>19515</v>
      </c>
      <c r="J13" s="11">
        <v>16965</v>
      </c>
      <c r="K13" s="11">
        <v>30901</v>
      </c>
      <c r="L13" s="11">
        <v>38521</v>
      </c>
      <c r="M13" s="11">
        <v>33113</v>
      </c>
      <c r="N13" s="11">
        <v>27218</v>
      </c>
      <c r="O13" s="11">
        <v>15297</v>
      </c>
      <c r="P13" s="11"/>
      <c r="Q13" s="11">
        <v>2469</v>
      </c>
      <c r="R13" s="11">
        <v>7184</v>
      </c>
      <c r="S13" s="11">
        <v>2695</v>
      </c>
      <c r="T13" s="11">
        <v>3004</v>
      </c>
      <c r="U13" s="11">
        <v>2331</v>
      </c>
      <c r="V13" s="11">
        <v>5777</v>
      </c>
      <c r="W13" s="11">
        <v>4610</v>
      </c>
      <c r="X13" s="11"/>
      <c r="Y13" s="11">
        <v>110</v>
      </c>
      <c r="Z13" s="11">
        <v>14519</v>
      </c>
      <c r="AA13" s="11">
        <v>13470</v>
      </c>
      <c r="AB13" s="11">
        <v>11141</v>
      </c>
      <c r="AC13" s="17">
        <f t="shared" si="0"/>
        <v>0.13255400087278496</v>
      </c>
      <c r="AD13" s="11">
        <f t="shared" si="1"/>
        <v>25932.857142857141</v>
      </c>
      <c r="AE13" s="11">
        <f t="shared" si="2"/>
        <v>4010</v>
      </c>
      <c r="AF13" s="28">
        <f t="shared" si="6"/>
        <v>0.15463008869057457</v>
      </c>
      <c r="AG13" s="42">
        <f t="shared" si="3"/>
        <v>4.828074557961129E-4</v>
      </c>
      <c r="AH13" s="14" t="str">
        <f t="shared" si="4"/>
        <v>***</v>
      </c>
      <c r="AI13" s="11">
        <f t="shared" si="7"/>
        <v>70</v>
      </c>
      <c r="AJ13" s="11">
        <f t="shared" si="8"/>
        <v>70</v>
      </c>
      <c r="AK13" s="11">
        <f t="shared" si="5"/>
        <v>1.4415251180198228E-3</v>
      </c>
      <c r="AL13" s="42">
        <f t="shared" si="9"/>
        <v>1.4415251180198228E-3</v>
      </c>
      <c r="AM13" s="14" t="str">
        <f t="shared" si="10"/>
        <v>**</v>
      </c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</row>
    <row r="14" spans="1:56" ht="27" customHeight="1" x14ac:dyDescent="0.2">
      <c r="A14" s="10" t="s">
        <v>357</v>
      </c>
      <c r="B14" s="11">
        <v>174</v>
      </c>
      <c r="C14" s="2">
        <v>370.29395927021102</v>
      </c>
      <c r="D14" s="2">
        <v>3.5954320512820699</v>
      </c>
      <c r="E14" s="2">
        <v>1</v>
      </c>
      <c r="F14" s="12" t="s">
        <v>395</v>
      </c>
      <c r="G14" s="12" t="s">
        <v>369</v>
      </c>
      <c r="H14" s="5"/>
      <c r="I14" s="11">
        <v>12001</v>
      </c>
      <c r="J14" s="11">
        <v>12880</v>
      </c>
      <c r="K14" s="11">
        <v>25573</v>
      </c>
      <c r="L14" s="11">
        <v>27632</v>
      </c>
      <c r="M14" s="11">
        <v>17219</v>
      </c>
      <c r="N14" s="11">
        <v>18598</v>
      </c>
      <c r="O14" s="11">
        <v>11369</v>
      </c>
      <c r="P14" s="11"/>
      <c r="Q14" s="11">
        <v>1206</v>
      </c>
      <c r="R14" s="11">
        <v>4857</v>
      </c>
      <c r="S14" s="11">
        <v>1587</v>
      </c>
      <c r="T14" s="11">
        <v>2053</v>
      </c>
      <c r="U14" s="11">
        <v>2259</v>
      </c>
      <c r="V14" s="11">
        <v>4798</v>
      </c>
      <c r="W14" s="11">
        <v>3675</v>
      </c>
      <c r="X14" s="11"/>
      <c r="Y14" s="11">
        <v>85</v>
      </c>
      <c r="Z14" s="11">
        <v>10607</v>
      </c>
      <c r="AA14" s="11">
        <v>10931</v>
      </c>
      <c r="AB14" s="11">
        <v>9652</v>
      </c>
      <c r="AC14" s="17">
        <f t="shared" si="0"/>
        <v>6.3956685264974916E-2</v>
      </c>
      <c r="AD14" s="11">
        <f t="shared" si="1"/>
        <v>17896</v>
      </c>
      <c r="AE14" s="11">
        <f t="shared" si="2"/>
        <v>2919.2857142857142</v>
      </c>
      <c r="AF14" s="28">
        <f t="shared" si="6"/>
        <v>0.16312503991314897</v>
      </c>
      <c r="AG14" s="42">
        <f t="shared" si="3"/>
        <v>7.3139058630551765E-4</v>
      </c>
      <c r="AH14" s="14" t="str">
        <f t="shared" si="4"/>
        <v>***</v>
      </c>
      <c r="AI14" s="11">
        <f t="shared" si="7"/>
        <v>75</v>
      </c>
      <c r="AJ14" s="11">
        <f t="shared" si="8"/>
        <v>75</v>
      </c>
      <c r="AK14" s="11">
        <f t="shared" si="5"/>
        <v>2.0381417671713757E-3</v>
      </c>
      <c r="AL14" s="42">
        <f t="shared" si="9"/>
        <v>2.0267022124680297E-3</v>
      </c>
      <c r="AM14" s="14" t="str">
        <f t="shared" si="10"/>
        <v>**</v>
      </c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</row>
    <row r="15" spans="1:56" ht="27" customHeight="1" x14ac:dyDescent="0.2">
      <c r="A15" s="10" t="s">
        <v>357</v>
      </c>
      <c r="B15" s="11">
        <v>267</v>
      </c>
      <c r="C15" s="2">
        <v>316.24680603872503</v>
      </c>
      <c r="D15" s="2">
        <v>2.2618015151514501</v>
      </c>
      <c r="E15" s="2">
        <v>1</v>
      </c>
      <c r="F15" s="12" t="s">
        <v>414</v>
      </c>
      <c r="G15" s="12" t="s">
        <v>369</v>
      </c>
      <c r="H15" s="5"/>
      <c r="I15" s="11">
        <v>4988</v>
      </c>
      <c r="J15" s="11">
        <v>7244</v>
      </c>
      <c r="K15" s="11">
        <v>10638</v>
      </c>
      <c r="L15" s="11">
        <v>15285</v>
      </c>
      <c r="M15" s="11">
        <v>8345</v>
      </c>
      <c r="N15" s="11">
        <v>7325</v>
      </c>
      <c r="O15" s="11">
        <v>5085</v>
      </c>
      <c r="P15" s="11"/>
      <c r="Q15" s="11">
        <v>1005</v>
      </c>
      <c r="R15" s="11">
        <v>2725</v>
      </c>
      <c r="S15" s="11">
        <v>1301</v>
      </c>
      <c r="T15" s="11">
        <v>1351</v>
      </c>
      <c r="U15" s="11">
        <v>1022</v>
      </c>
      <c r="V15" s="11">
        <v>2158</v>
      </c>
      <c r="W15" s="11">
        <v>2449</v>
      </c>
      <c r="X15" s="11"/>
      <c r="Y15" s="11">
        <v>459</v>
      </c>
      <c r="Z15" s="11">
        <v>5106</v>
      </c>
      <c r="AA15" s="11">
        <v>5607</v>
      </c>
      <c r="AB15" s="11">
        <v>5489</v>
      </c>
      <c r="AC15" s="17">
        <f t="shared" si="0"/>
        <v>4.8497803615047137E-2</v>
      </c>
      <c r="AD15" s="11">
        <f t="shared" si="1"/>
        <v>8415.7142857142862</v>
      </c>
      <c r="AE15" s="11">
        <f t="shared" si="2"/>
        <v>1715.8571428571429</v>
      </c>
      <c r="AF15" s="28">
        <f t="shared" si="6"/>
        <v>0.20388728569003564</v>
      </c>
      <c r="AG15" s="42">
        <f t="shared" si="3"/>
        <v>2.3464247777487332E-3</v>
      </c>
      <c r="AH15" s="14" t="str">
        <f t="shared" si="4"/>
        <v>**</v>
      </c>
      <c r="AI15" s="11">
        <f t="shared" si="7"/>
        <v>95</v>
      </c>
      <c r="AJ15" s="11">
        <f t="shared" si="8"/>
        <v>95</v>
      </c>
      <c r="AK15" s="11">
        <f t="shared" si="5"/>
        <v>5.1621345110472129E-3</v>
      </c>
      <c r="AL15" s="42">
        <f t="shared" si="9"/>
        <v>5.1621345110472129E-3</v>
      </c>
      <c r="AM15" s="14" t="str">
        <f t="shared" si="10"/>
        <v>**</v>
      </c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</row>
    <row r="16" spans="1:56" ht="27" customHeight="1" x14ac:dyDescent="0.2">
      <c r="A16" s="10" t="s">
        <v>357</v>
      </c>
      <c r="B16" s="11">
        <v>280</v>
      </c>
      <c r="C16" s="2">
        <v>368.27767661207298</v>
      </c>
      <c r="D16" s="2">
        <v>3.1965102564103001</v>
      </c>
      <c r="E16" s="2">
        <v>1</v>
      </c>
      <c r="F16" s="12" t="s">
        <v>408</v>
      </c>
      <c r="G16" s="12" t="s">
        <v>369</v>
      </c>
      <c r="H16" s="5"/>
      <c r="I16" s="11">
        <v>8084</v>
      </c>
      <c r="J16" s="11">
        <v>7859</v>
      </c>
      <c r="K16" s="11">
        <v>10715</v>
      </c>
      <c r="L16" s="11">
        <v>10268</v>
      </c>
      <c r="M16" s="11">
        <v>11651</v>
      </c>
      <c r="N16" s="11">
        <v>14183</v>
      </c>
      <c r="O16" s="11">
        <v>5850</v>
      </c>
      <c r="P16" s="11"/>
      <c r="Q16" s="11">
        <v>733</v>
      </c>
      <c r="R16" s="11">
        <v>2142</v>
      </c>
      <c r="S16" s="11">
        <v>1945</v>
      </c>
      <c r="T16" s="11">
        <v>2109</v>
      </c>
      <c r="U16" s="11">
        <v>1938</v>
      </c>
      <c r="V16" s="11">
        <v>3852</v>
      </c>
      <c r="W16" s="11">
        <v>1760</v>
      </c>
      <c r="X16" s="11"/>
      <c r="Y16" s="11">
        <v>434</v>
      </c>
      <c r="Z16" s="11">
        <v>7503</v>
      </c>
      <c r="AA16" s="11">
        <v>6720</v>
      </c>
      <c r="AB16" s="11">
        <v>5894</v>
      </c>
      <c r="AC16" s="17">
        <f t="shared" si="0"/>
        <v>0.11998743714995613</v>
      </c>
      <c r="AD16" s="11">
        <f t="shared" si="1"/>
        <v>9801.4285714285706</v>
      </c>
      <c r="AE16" s="11">
        <f t="shared" si="2"/>
        <v>2068.4285714285716</v>
      </c>
      <c r="AF16" s="28">
        <f t="shared" si="6"/>
        <v>0.21103337705873781</v>
      </c>
      <c r="AG16" s="42">
        <f t="shared" si="3"/>
        <v>1.7087568196366988E-4</v>
      </c>
      <c r="AH16" s="14" t="str">
        <f t="shared" si="4"/>
        <v>***</v>
      </c>
      <c r="AI16" s="11">
        <f t="shared" si="7"/>
        <v>53</v>
      </c>
      <c r="AJ16" s="11">
        <f t="shared" si="8"/>
        <v>53</v>
      </c>
      <c r="AK16" s="11">
        <f t="shared" si="5"/>
        <v>6.7383051944164155E-4</v>
      </c>
      <c r="AL16" s="42">
        <f t="shared" si="9"/>
        <v>6.6802764328401229E-4</v>
      </c>
      <c r="AM16" s="14" t="str">
        <f t="shared" si="10"/>
        <v>**</v>
      </c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</row>
    <row r="17" spans="1:56" ht="27" customHeight="1" x14ac:dyDescent="0.2">
      <c r="A17" s="10" t="s">
        <v>357</v>
      </c>
      <c r="B17" s="11">
        <v>327</v>
      </c>
      <c r="C17" s="2">
        <v>370.29333262768398</v>
      </c>
      <c r="D17" s="2">
        <v>3.6989863636363598</v>
      </c>
      <c r="E17" s="2">
        <v>1</v>
      </c>
      <c r="F17" s="12" t="s">
        <v>395</v>
      </c>
      <c r="G17" s="12" t="s">
        <v>369</v>
      </c>
      <c r="H17" s="5"/>
      <c r="I17" s="11">
        <v>11086</v>
      </c>
      <c r="J17" s="11">
        <v>10931</v>
      </c>
      <c r="K17" s="11">
        <v>14252</v>
      </c>
      <c r="L17" s="11">
        <v>16970</v>
      </c>
      <c r="M17" s="11">
        <v>17219</v>
      </c>
      <c r="N17" s="11">
        <v>19096</v>
      </c>
      <c r="O17" s="11">
        <v>7501</v>
      </c>
      <c r="P17" s="11"/>
      <c r="Q17" s="11">
        <v>1037</v>
      </c>
      <c r="R17" s="11">
        <v>3467</v>
      </c>
      <c r="S17" s="11">
        <v>1929</v>
      </c>
      <c r="T17" s="11">
        <v>1892</v>
      </c>
      <c r="U17" s="11">
        <v>1465</v>
      </c>
      <c r="V17" s="11">
        <v>4299</v>
      </c>
      <c r="W17" s="11">
        <v>2729</v>
      </c>
      <c r="X17" s="11"/>
      <c r="Y17" s="11">
        <v>60</v>
      </c>
      <c r="Z17" s="11">
        <v>6968</v>
      </c>
      <c r="AA17" s="11">
        <v>8219</v>
      </c>
      <c r="AB17" s="11">
        <v>4935</v>
      </c>
      <c r="AC17" s="17">
        <f t="shared" si="0"/>
        <v>0.24710940099428613</v>
      </c>
      <c r="AD17" s="11">
        <f t="shared" si="1"/>
        <v>13865</v>
      </c>
      <c r="AE17" s="11">
        <f t="shared" si="2"/>
        <v>2402.5714285714284</v>
      </c>
      <c r="AF17" s="28">
        <f t="shared" si="6"/>
        <v>0.17328318994384626</v>
      </c>
      <c r="AG17" s="42">
        <f t="shared" si="3"/>
        <v>2.2812525845250232E-4</v>
      </c>
      <c r="AH17" s="14" t="str">
        <f t="shared" si="4"/>
        <v>***</v>
      </c>
      <c r="AI17" s="11">
        <f t="shared" si="7"/>
        <v>56</v>
      </c>
      <c r="AJ17" s="11">
        <f t="shared" si="8"/>
        <v>56</v>
      </c>
      <c r="AK17" s="11">
        <f t="shared" si="5"/>
        <v>8.5139605386737479E-4</v>
      </c>
      <c r="AL17" s="42">
        <f t="shared" si="9"/>
        <v>8.5139605386737479E-4</v>
      </c>
      <c r="AM17" s="14" t="str">
        <f t="shared" si="10"/>
        <v>**</v>
      </c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</row>
    <row r="18" spans="1:56" ht="27" customHeight="1" x14ac:dyDescent="0.2">
      <c r="A18" s="10" t="s">
        <v>357</v>
      </c>
      <c r="B18" s="11">
        <v>354</v>
      </c>
      <c r="C18" s="2">
        <v>474.35530872790599</v>
      </c>
      <c r="D18" s="2">
        <v>4.7569440476190001</v>
      </c>
      <c r="E18" s="2">
        <v>1</v>
      </c>
      <c r="F18" s="12" t="s">
        <v>447</v>
      </c>
      <c r="G18" s="12" t="s">
        <v>369</v>
      </c>
      <c r="H18" s="5"/>
      <c r="I18" s="11">
        <v>10082</v>
      </c>
      <c r="J18" s="11">
        <v>2660</v>
      </c>
      <c r="K18" s="11">
        <v>2959</v>
      </c>
      <c r="L18" s="11">
        <v>1600</v>
      </c>
      <c r="M18" s="11">
        <v>6379</v>
      </c>
      <c r="N18" s="11">
        <v>8167</v>
      </c>
      <c r="O18" s="11">
        <v>4469</v>
      </c>
      <c r="P18" s="11"/>
      <c r="Q18" s="11">
        <v>246</v>
      </c>
      <c r="R18" s="11">
        <v>1310</v>
      </c>
      <c r="S18" s="11">
        <v>367</v>
      </c>
      <c r="T18" s="11">
        <v>387</v>
      </c>
      <c r="U18" s="11">
        <v>203</v>
      </c>
      <c r="V18" s="11">
        <v>707</v>
      </c>
      <c r="W18" s="11">
        <v>738</v>
      </c>
      <c r="X18" s="11"/>
      <c r="Y18" s="11">
        <v>6</v>
      </c>
      <c r="Z18" s="11">
        <v>3115</v>
      </c>
      <c r="AA18" s="11">
        <v>2294</v>
      </c>
      <c r="AB18" s="11">
        <v>2371</v>
      </c>
      <c r="AC18" s="17">
        <f t="shared" si="0"/>
        <v>0.17483833648264532</v>
      </c>
      <c r="AD18" s="11">
        <f t="shared" si="1"/>
        <v>5188</v>
      </c>
      <c r="AE18" s="11">
        <f t="shared" si="2"/>
        <v>565.42857142857144</v>
      </c>
      <c r="AF18" s="28">
        <f t="shared" si="6"/>
        <v>0.10898777398391894</v>
      </c>
      <c r="AG18" s="42">
        <f t="shared" si="3"/>
        <v>7.7876192464836711E-3</v>
      </c>
      <c r="AH18" s="14" t="str">
        <f t="shared" si="4"/>
        <v>**</v>
      </c>
      <c r="AI18" s="11">
        <f t="shared" si="7"/>
        <v>117</v>
      </c>
      <c r="AJ18" s="11">
        <f t="shared" si="8"/>
        <v>117</v>
      </c>
      <c r="AK18" s="11">
        <f t="shared" si="5"/>
        <v>1.3911217286453737E-2</v>
      </c>
      <c r="AL18" s="42">
        <f t="shared" si="9"/>
        <v>1.3911217286453737E-2</v>
      </c>
      <c r="AM18" s="14" t="str">
        <f t="shared" si="10"/>
        <v>**</v>
      </c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</row>
    <row r="19" spans="1:56" ht="27" customHeight="1" x14ac:dyDescent="0.2">
      <c r="A19" s="10" t="s">
        <v>357</v>
      </c>
      <c r="B19" s="11">
        <v>359</v>
      </c>
      <c r="C19" s="2">
        <v>260.18464219218299</v>
      </c>
      <c r="D19" s="2">
        <v>0.53222444444439998</v>
      </c>
      <c r="E19" s="2">
        <v>1</v>
      </c>
      <c r="F19" s="12" t="s">
        <v>426</v>
      </c>
      <c r="G19" s="12" t="s">
        <v>369</v>
      </c>
      <c r="H19" s="5"/>
      <c r="I19" s="11">
        <v>9972</v>
      </c>
      <c r="J19" s="11">
        <v>7461</v>
      </c>
      <c r="K19" s="11">
        <v>8003</v>
      </c>
      <c r="L19" s="11">
        <v>4432</v>
      </c>
      <c r="M19" s="11">
        <v>7914</v>
      </c>
      <c r="N19" s="11">
        <v>6258</v>
      </c>
      <c r="O19" s="11">
        <v>8937</v>
      </c>
      <c r="P19" s="11"/>
      <c r="Q19" s="11">
        <v>2556</v>
      </c>
      <c r="R19" s="11">
        <v>4006</v>
      </c>
      <c r="S19" s="11">
        <v>3015</v>
      </c>
      <c r="T19" s="11">
        <v>3462</v>
      </c>
      <c r="U19" s="11">
        <v>1744</v>
      </c>
      <c r="V19" s="11">
        <v>5512</v>
      </c>
      <c r="W19" s="11">
        <v>3722</v>
      </c>
      <c r="X19" s="11"/>
      <c r="Y19" s="11">
        <v>92</v>
      </c>
      <c r="Z19" s="11">
        <v>5125</v>
      </c>
      <c r="AA19" s="11">
        <v>4202</v>
      </c>
      <c r="AB19" s="11">
        <v>3940</v>
      </c>
      <c r="AC19" s="17">
        <f t="shared" si="0"/>
        <v>0.14075554479414623</v>
      </c>
      <c r="AD19" s="11">
        <f t="shared" si="1"/>
        <v>7568.1428571428569</v>
      </c>
      <c r="AE19" s="11">
        <f t="shared" si="2"/>
        <v>3431</v>
      </c>
      <c r="AF19" s="28">
        <f t="shared" si="6"/>
        <v>0.45334767918153163</v>
      </c>
      <c r="AG19" s="42">
        <f t="shared" si="3"/>
        <v>4.3413270140086588E-4</v>
      </c>
      <c r="AH19" s="14" t="str">
        <f t="shared" si="4"/>
        <v>***</v>
      </c>
      <c r="AI19" s="11">
        <f t="shared" si="7"/>
        <v>68</v>
      </c>
      <c r="AJ19" s="11">
        <f t="shared" si="8"/>
        <v>68</v>
      </c>
      <c r="AK19" s="11">
        <f t="shared" si="5"/>
        <v>1.3343196263644261E-3</v>
      </c>
      <c r="AL19" s="42">
        <f t="shared" si="9"/>
        <v>1.3343196263644261E-3</v>
      </c>
      <c r="AM19" s="14" t="str">
        <f t="shared" si="10"/>
        <v>**</v>
      </c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</row>
    <row r="20" spans="1:56" ht="27" customHeight="1" x14ac:dyDescent="0.2">
      <c r="A20" s="10" t="s">
        <v>357</v>
      </c>
      <c r="B20" s="11">
        <v>374</v>
      </c>
      <c r="C20" s="2">
        <v>446.32403320714599</v>
      </c>
      <c r="D20" s="2">
        <v>4.2128041666666798</v>
      </c>
      <c r="E20" s="2">
        <v>1</v>
      </c>
      <c r="F20" s="12" t="s">
        <v>442</v>
      </c>
      <c r="G20" s="12" t="s">
        <v>369</v>
      </c>
      <c r="H20" s="5"/>
      <c r="I20" s="11">
        <v>7125</v>
      </c>
      <c r="J20" s="11">
        <v>3251</v>
      </c>
      <c r="K20" s="11">
        <v>3654</v>
      </c>
      <c r="L20" s="11">
        <v>2045</v>
      </c>
      <c r="M20" s="11">
        <v>5637</v>
      </c>
      <c r="N20" s="11">
        <v>9331</v>
      </c>
      <c r="O20" s="11">
        <v>3638</v>
      </c>
      <c r="P20" s="11"/>
      <c r="Q20" s="11">
        <v>377</v>
      </c>
      <c r="R20" s="11">
        <v>990</v>
      </c>
      <c r="S20" s="11">
        <v>958</v>
      </c>
      <c r="T20" s="11">
        <v>1048</v>
      </c>
      <c r="U20" s="11">
        <v>1463</v>
      </c>
      <c r="V20" s="11">
        <v>1170</v>
      </c>
      <c r="W20" s="11">
        <v>1812</v>
      </c>
      <c r="X20" s="11"/>
      <c r="Y20" s="11">
        <v>38</v>
      </c>
      <c r="Z20" s="11">
        <v>3128</v>
      </c>
      <c r="AA20" s="11">
        <v>2829</v>
      </c>
      <c r="AB20" s="11">
        <v>2730</v>
      </c>
      <c r="AC20" s="17">
        <f t="shared" si="0"/>
        <v>7.1557275230917983E-2</v>
      </c>
      <c r="AD20" s="11">
        <f t="shared" si="1"/>
        <v>4954.4285714285716</v>
      </c>
      <c r="AE20" s="11">
        <f t="shared" si="2"/>
        <v>1116.8571428571429</v>
      </c>
      <c r="AF20" s="28">
        <f t="shared" si="6"/>
        <v>0.22542602577780341</v>
      </c>
      <c r="AG20" s="42">
        <f t="shared" si="3"/>
        <v>6.9631288958060793E-3</v>
      </c>
      <c r="AH20" s="14" t="str">
        <f t="shared" si="4"/>
        <v>**</v>
      </c>
      <c r="AI20" s="11">
        <f t="shared" si="7"/>
        <v>115</v>
      </c>
      <c r="AJ20" s="11">
        <f t="shared" si="8"/>
        <v>115</v>
      </c>
      <c r="AK20" s="11">
        <f t="shared" si="5"/>
        <v>1.2654729906291047E-2</v>
      </c>
      <c r="AL20" s="42">
        <f t="shared" si="9"/>
        <v>1.2654729906291047E-2</v>
      </c>
      <c r="AM20" s="14" t="str">
        <f t="shared" si="10"/>
        <v>**</v>
      </c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</row>
    <row r="21" spans="1:56" ht="27" customHeight="1" x14ac:dyDescent="0.2">
      <c r="A21" s="10" t="s">
        <v>357</v>
      </c>
      <c r="B21" s="11">
        <v>384</v>
      </c>
      <c r="C21" s="2">
        <v>342.26257519488098</v>
      </c>
      <c r="D21" s="2">
        <v>2.70776875000012</v>
      </c>
      <c r="E21" s="2">
        <v>1</v>
      </c>
      <c r="F21" s="12" t="s">
        <v>433</v>
      </c>
      <c r="G21" s="12" t="s">
        <v>369</v>
      </c>
      <c r="H21" s="5"/>
      <c r="I21" s="11">
        <v>3525</v>
      </c>
      <c r="J21" s="11">
        <v>4345</v>
      </c>
      <c r="K21" s="11">
        <v>7095</v>
      </c>
      <c r="L21" s="11">
        <v>8991</v>
      </c>
      <c r="M21" s="11">
        <v>5782</v>
      </c>
      <c r="N21" s="11">
        <v>4374</v>
      </c>
      <c r="O21" s="11">
        <v>4615</v>
      </c>
      <c r="P21" s="11"/>
      <c r="Q21" s="11">
        <v>610</v>
      </c>
      <c r="R21" s="11">
        <v>2536</v>
      </c>
      <c r="S21" s="11">
        <v>1008</v>
      </c>
      <c r="T21" s="11">
        <v>1576</v>
      </c>
      <c r="U21" s="11">
        <v>799</v>
      </c>
      <c r="V21" s="11">
        <v>2023</v>
      </c>
      <c r="W21" s="11">
        <v>1446</v>
      </c>
      <c r="X21" s="11"/>
      <c r="Y21" s="11">
        <v>130</v>
      </c>
      <c r="Z21" s="11">
        <v>3617</v>
      </c>
      <c r="AA21" s="11">
        <v>3413</v>
      </c>
      <c r="AB21" s="11">
        <v>2725</v>
      </c>
      <c r="AC21" s="17">
        <f t="shared" si="0"/>
        <v>0.14373330571842119</v>
      </c>
      <c r="AD21" s="11">
        <f t="shared" si="1"/>
        <v>5532.4285714285716</v>
      </c>
      <c r="AE21" s="11">
        <f t="shared" si="2"/>
        <v>1428.2857142857142</v>
      </c>
      <c r="AF21" s="28">
        <f t="shared" si="6"/>
        <v>0.25816613732021587</v>
      </c>
      <c r="AG21" s="42">
        <f t="shared" si="3"/>
        <v>8.6435285140935077E-4</v>
      </c>
      <c r="AH21" s="14" t="str">
        <f t="shared" si="4"/>
        <v>***</v>
      </c>
      <c r="AI21" s="11">
        <f t="shared" si="7"/>
        <v>82</v>
      </c>
      <c r="AJ21" s="11">
        <f t="shared" si="8"/>
        <v>82</v>
      </c>
      <c r="AK21" s="11">
        <f t="shared" si="5"/>
        <v>2.2030456822506625E-3</v>
      </c>
      <c r="AL21" s="42">
        <f t="shared" si="9"/>
        <v>2.2030456822506625E-3</v>
      </c>
      <c r="AM21" s="14" t="str">
        <f t="shared" si="10"/>
        <v>**</v>
      </c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</row>
    <row r="22" spans="1:56" ht="27" customHeight="1" x14ac:dyDescent="0.2">
      <c r="A22" s="10" t="s">
        <v>357</v>
      </c>
      <c r="B22" s="11">
        <v>396</v>
      </c>
      <c r="C22" s="2">
        <v>288.216095205464</v>
      </c>
      <c r="D22" s="2">
        <v>1.18827051282053</v>
      </c>
      <c r="E22" s="2">
        <v>1</v>
      </c>
      <c r="F22" s="12" t="s">
        <v>420</v>
      </c>
      <c r="G22" s="12" t="s">
        <v>369</v>
      </c>
      <c r="H22" s="5"/>
      <c r="I22" s="11">
        <v>4318</v>
      </c>
      <c r="J22" s="11">
        <v>6076</v>
      </c>
      <c r="K22" s="11">
        <v>5411</v>
      </c>
      <c r="L22" s="11">
        <v>8392</v>
      </c>
      <c r="M22" s="11">
        <v>5426</v>
      </c>
      <c r="N22" s="11">
        <v>6825</v>
      </c>
      <c r="O22" s="11">
        <v>5831</v>
      </c>
      <c r="P22" s="11"/>
      <c r="Q22" s="11">
        <v>1039</v>
      </c>
      <c r="R22" s="11">
        <v>2151</v>
      </c>
      <c r="S22" s="11">
        <v>1084</v>
      </c>
      <c r="T22" s="11">
        <v>1600</v>
      </c>
      <c r="U22" s="11">
        <v>928</v>
      </c>
      <c r="V22" s="11">
        <v>2166</v>
      </c>
      <c r="W22" s="11">
        <v>1811</v>
      </c>
      <c r="X22" s="11"/>
      <c r="Y22" s="11">
        <v>676</v>
      </c>
      <c r="Z22" s="11">
        <v>3413</v>
      </c>
      <c r="AA22" s="11">
        <v>4044</v>
      </c>
      <c r="AB22" s="11">
        <v>3675</v>
      </c>
      <c r="AC22" s="17">
        <f t="shared" si="0"/>
        <v>8.5431659742922952E-2</v>
      </c>
      <c r="AD22" s="11">
        <f t="shared" si="1"/>
        <v>6039.8571428571431</v>
      </c>
      <c r="AE22" s="11">
        <f t="shared" si="2"/>
        <v>1539.8571428571429</v>
      </c>
      <c r="AF22" s="28">
        <f t="shared" si="6"/>
        <v>0.25494926559284753</v>
      </c>
      <c r="AG22" s="42">
        <f t="shared" si="3"/>
        <v>2.7387612071332088E-5</v>
      </c>
      <c r="AH22" s="14" t="str">
        <f t="shared" si="4"/>
        <v>***</v>
      </c>
      <c r="AI22" s="11">
        <f t="shared" si="7"/>
        <v>18</v>
      </c>
      <c r="AJ22" s="11">
        <f t="shared" si="8"/>
        <v>18</v>
      </c>
      <c r="AK22" s="11">
        <f t="shared" si="5"/>
        <v>3.180006068282448E-4</v>
      </c>
      <c r="AL22" s="42">
        <f t="shared" si="9"/>
        <v>3.180006068282448E-4</v>
      </c>
      <c r="AM22" s="14" t="str">
        <f t="shared" si="10"/>
        <v>**</v>
      </c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</row>
    <row r="23" spans="1:56" ht="27" customHeight="1" x14ac:dyDescent="0.2">
      <c r="A23" s="10" t="s">
        <v>357</v>
      </c>
      <c r="B23" s="11">
        <v>428</v>
      </c>
      <c r="C23" s="2">
        <v>422.32486421074799</v>
      </c>
      <c r="D23" s="2">
        <v>4.20532179487184</v>
      </c>
      <c r="E23" s="2">
        <v>1</v>
      </c>
      <c r="F23" s="12" t="s">
        <v>421</v>
      </c>
      <c r="G23" s="12" t="s">
        <v>369</v>
      </c>
      <c r="H23" s="5"/>
      <c r="I23" s="11">
        <v>7684</v>
      </c>
      <c r="J23" s="11">
        <v>4682</v>
      </c>
      <c r="K23" s="11">
        <v>6707</v>
      </c>
      <c r="L23" s="11">
        <v>5868</v>
      </c>
      <c r="M23" s="11">
        <v>7432</v>
      </c>
      <c r="N23" s="11">
        <v>6507</v>
      </c>
      <c r="O23" s="11">
        <v>3840</v>
      </c>
      <c r="P23" s="11"/>
      <c r="Q23" s="11">
        <v>285</v>
      </c>
      <c r="R23" s="11">
        <v>1208</v>
      </c>
      <c r="S23" s="11">
        <v>297</v>
      </c>
      <c r="T23" s="11">
        <v>679</v>
      </c>
      <c r="U23" s="11">
        <v>1744</v>
      </c>
      <c r="V23" s="11">
        <v>1060</v>
      </c>
      <c r="W23" s="11">
        <v>1363</v>
      </c>
      <c r="X23" s="11"/>
      <c r="Y23" s="11">
        <v>61</v>
      </c>
      <c r="Z23" s="11">
        <v>3491</v>
      </c>
      <c r="AA23" s="11">
        <v>3033</v>
      </c>
      <c r="AB23" s="11">
        <v>2418</v>
      </c>
      <c r="AC23" s="17">
        <f t="shared" si="0"/>
        <v>0.18063439952566368</v>
      </c>
      <c r="AD23" s="11">
        <f t="shared" si="1"/>
        <v>6102.8571428571431</v>
      </c>
      <c r="AE23" s="11">
        <f t="shared" si="2"/>
        <v>948</v>
      </c>
      <c r="AF23" s="28">
        <f t="shared" si="6"/>
        <v>0.15533707865168539</v>
      </c>
      <c r="AG23" s="42">
        <f t="shared" si="3"/>
        <v>2.2292671264740624E-5</v>
      </c>
      <c r="AH23" s="14" t="str">
        <f t="shared" si="4"/>
        <v>***</v>
      </c>
      <c r="AI23" s="11">
        <f t="shared" si="7"/>
        <v>14</v>
      </c>
      <c r="AJ23" s="11">
        <f t="shared" si="8"/>
        <v>14</v>
      </c>
      <c r="AK23" s="11">
        <f t="shared" si="5"/>
        <v>3.3279773530934219E-4</v>
      </c>
      <c r="AL23" s="42">
        <f t="shared" si="9"/>
        <v>3.180006068282448E-4</v>
      </c>
      <c r="AM23" s="14" t="str">
        <f t="shared" si="10"/>
        <v>**</v>
      </c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</row>
    <row r="24" spans="1:56" ht="27" customHeight="1" x14ac:dyDescent="0.2">
      <c r="A24" s="10" t="s">
        <v>357</v>
      </c>
      <c r="B24" s="11">
        <v>503</v>
      </c>
      <c r="C24" s="2">
        <v>368.277673493897</v>
      </c>
      <c r="D24" s="2">
        <v>2.8367648148147699</v>
      </c>
      <c r="E24" s="2">
        <v>1</v>
      </c>
      <c r="F24" s="12" t="s">
        <v>408</v>
      </c>
      <c r="G24" s="12" t="s">
        <v>369</v>
      </c>
      <c r="H24" s="5"/>
      <c r="I24" s="11">
        <v>4975</v>
      </c>
      <c r="J24" s="11">
        <v>2111</v>
      </c>
      <c r="K24" s="11">
        <v>5777</v>
      </c>
      <c r="L24" s="11">
        <v>1493</v>
      </c>
      <c r="M24" s="11">
        <v>3140</v>
      </c>
      <c r="N24" s="11">
        <v>1298</v>
      </c>
      <c r="O24" s="11">
        <v>2091</v>
      </c>
      <c r="P24" s="11"/>
      <c r="Q24" s="11">
        <v>484</v>
      </c>
      <c r="R24" s="11">
        <v>791</v>
      </c>
      <c r="S24" s="11">
        <v>367</v>
      </c>
      <c r="T24" s="11">
        <v>457</v>
      </c>
      <c r="U24" s="11">
        <v>387</v>
      </c>
      <c r="V24" s="11">
        <v>465</v>
      </c>
      <c r="W24" s="11">
        <v>712</v>
      </c>
      <c r="X24" s="11"/>
      <c r="Y24" s="11">
        <v>353</v>
      </c>
      <c r="Z24" s="11">
        <v>1840</v>
      </c>
      <c r="AA24" s="11">
        <v>1540</v>
      </c>
      <c r="AB24" s="11">
        <v>1571</v>
      </c>
      <c r="AC24" s="17">
        <f t="shared" si="0"/>
        <v>9.9971232870010848E-2</v>
      </c>
      <c r="AD24" s="11">
        <f t="shared" si="1"/>
        <v>2983.5714285714284</v>
      </c>
      <c r="AE24" s="11">
        <f t="shared" si="2"/>
        <v>523.28571428571433</v>
      </c>
      <c r="AF24" s="28">
        <f t="shared" si="6"/>
        <v>0.17538903519272209</v>
      </c>
      <c r="AG24" s="42">
        <f t="shared" si="3"/>
        <v>9.7863260233457469E-3</v>
      </c>
      <c r="AH24" s="14" t="str">
        <f t="shared" si="4"/>
        <v>**</v>
      </c>
      <c r="AI24" s="11">
        <f t="shared" si="7"/>
        <v>122</v>
      </c>
      <c r="AJ24" s="11">
        <f t="shared" si="8"/>
        <v>122</v>
      </c>
      <c r="AK24" s="11">
        <f t="shared" si="5"/>
        <v>1.6765099499010339E-2</v>
      </c>
      <c r="AL24" s="42">
        <f t="shared" si="9"/>
        <v>1.6678956870969593E-2</v>
      </c>
      <c r="AM24" s="14" t="str">
        <f t="shared" si="10"/>
        <v>**</v>
      </c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</row>
    <row r="25" spans="1:56" ht="27" customHeight="1" x14ac:dyDescent="0.2">
      <c r="A25" s="10" t="s">
        <v>357</v>
      </c>
      <c r="B25" s="11">
        <v>553</v>
      </c>
      <c r="C25" s="2">
        <v>398.32449850893403</v>
      </c>
      <c r="D25" s="2">
        <v>4.7094476190475696</v>
      </c>
      <c r="E25" s="2">
        <v>1</v>
      </c>
      <c r="F25" s="12" t="s">
        <v>381</v>
      </c>
      <c r="G25" s="12" t="s">
        <v>369</v>
      </c>
      <c r="H25" s="5"/>
      <c r="I25" s="11">
        <v>4056</v>
      </c>
      <c r="J25" s="11">
        <v>2820</v>
      </c>
      <c r="K25" s="11">
        <v>4994</v>
      </c>
      <c r="L25" s="11">
        <v>4038</v>
      </c>
      <c r="M25" s="11">
        <v>3721</v>
      </c>
      <c r="N25" s="11">
        <v>4187</v>
      </c>
      <c r="O25" s="11">
        <v>2499</v>
      </c>
      <c r="P25" s="11"/>
      <c r="Q25" s="11">
        <v>217</v>
      </c>
      <c r="R25" s="11">
        <v>1252</v>
      </c>
      <c r="S25" s="11">
        <v>375</v>
      </c>
      <c r="T25" s="11">
        <v>297</v>
      </c>
      <c r="U25" s="11">
        <v>687</v>
      </c>
      <c r="V25" s="11">
        <v>730</v>
      </c>
      <c r="W25" s="11">
        <v>793</v>
      </c>
      <c r="X25" s="11"/>
      <c r="Y25" s="11">
        <v>16</v>
      </c>
      <c r="Z25" s="11">
        <v>2119</v>
      </c>
      <c r="AA25" s="11">
        <v>1696</v>
      </c>
      <c r="AB25" s="11">
        <v>1740</v>
      </c>
      <c r="AC25" s="17">
        <f t="shared" si="0"/>
        <v>0.12559516818537544</v>
      </c>
      <c r="AD25" s="11">
        <f t="shared" si="1"/>
        <v>3759.2857142857142</v>
      </c>
      <c r="AE25" s="11">
        <f t="shared" si="2"/>
        <v>621.57142857142856</v>
      </c>
      <c r="AF25" s="28">
        <f t="shared" si="6"/>
        <v>0.16534296028880865</v>
      </c>
      <c r="AG25" s="42">
        <f t="shared" si="3"/>
        <v>1.7707860231561062E-5</v>
      </c>
      <c r="AH25" s="14" t="str">
        <f t="shared" si="4"/>
        <v>***</v>
      </c>
      <c r="AI25" s="11">
        <f t="shared" si="7"/>
        <v>11</v>
      </c>
      <c r="AJ25" s="11">
        <f t="shared" si="8"/>
        <v>11</v>
      </c>
      <c r="AK25" s="11">
        <f t="shared" si="5"/>
        <v>3.3644934439966016E-4</v>
      </c>
      <c r="AL25" s="42">
        <f t="shared" si="9"/>
        <v>3.1447102172978749E-4</v>
      </c>
      <c r="AM25" s="14" t="str">
        <f t="shared" si="10"/>
        <v>**</v>
      </c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</row>
    <row r="26" spans="1:56" ht="27" customHeight="1" x14ac:dyDescent="0.2">
      <c r="A26" s="10" t="s">
        <v>357</v>
      </c>
      <c r="B26" s="11">
        <v>578</v>
      </c>
      <c r="C26" s="2">
        <v>394.29308596551198</v>
      </c>
      <c r="D26" s="2">
        <v>3.4791320512819999</v>
      </c>
      <c r="E26" s="2">
        <v>1</v>
      </c>
      <c r="F26" s="12" t="s">
        <v>445</v>
      </c>
      <c r="G26" s="12" t="s">
        <v>369</v>
      </c>
      <c r="H26" s="5"/>
      <c r="I26" s="11">
        <v>2891</v>
      </c>
      <c r="J26" s="11">
        <v>3564</v>
      </c>
      <c r="K26" s="11">
        <v>3602</v>
      </c>
      <c r="L26" s="11">
        <v>2945</v>
      </c>
      <c r="M26" s="11">
        <v>2894</v>
      </c>
      <c r="N26" s="11">
        <v>4711</v>
      </c>
      <c r="O26" s="11">
        <v>2221</v>
      </c>
      <c r="P26" s="11"/>
      <c r="Q26" s="11">
        <v>150</v>
      </c>
      <c r="R26" s="11">
        <v>610</v>
      </c>
      <c r="S26" s="11">
        <v>362</v>
      </c>
      <c r="T26" s="11">
        <v>267</v>
      </c>
      <c r="U26" s="11">
        <v>728</v>
      </c>
      <c r="V26" s="11">
        <v>669</v>
      </c>
      <c r="W26" s="11">
        <v>376</v>
      </c>
      <c r="X26" s="11"/>
      <c r="Y26" s="11">
        <v>71</v>
      </c>
      <c r="Z26" s="11">
        <v>2280</v>
      </c>
      <c r="AA26" s="11">
        <v>1821</v>
      </c>
      <c r="AB26" s="11">
        <v>1947</v>
      </c>
      <c r="AC26" s="17">
        <f t="shared" si="0"/>
        <v>0.11763484627364092</v>
      </c>
      <c r="AD26" s="11">
        <f t="shared" si="1"/>
        <v>3261.1428571428573</v>
      </c>
      <c r="AE26" s="11">
        <f t="shared" si="2"/>
        <v>451.71428571428572</v>
      </c>
      <c r="AF26" s="28">
        <f t="shared" si="6"/>
        <v>0.13851410548449272</v>
      </c>
      <c r="AG26" s="42">
        <f t="shared" si="3"/>
        <v>4.4587990190206554E-5</v>
      </c>
      <c r="AH26" s="14" t="str">
        <f t="shared" si="4"/>
        <v>***</v>
      </c>
      <c r="AI26" s="11">
        <f t="shared" si="7"/>
        <v>24</v>
      </c>
      <c r="AJ26" s="11">
        <f t="shared" si="8"/>
        <v>24</v>
      </c>
      <c r="AK26" s="11">
        <f t="shared" si="5"/>
        <v>3.8828708123971544E-4</v>
      </c>
      <c r="AL26" s="42">
        <f t="shared" si="9"/>
        <v>3.8828708123971544E-4</v>
      </c>
      <c r="AM26" s="14" t="str">
        <f t="shared" si="10"/>
        <v>**</v>
      </c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</row>
    <row r="27" spans="1:56" ht="27" customHeight="1" x14ac:dyDescent="0.2">
      <c r="A27" s="10" t="s">
        <v>357</v>
      </c>
      <c r="B27" s="11">
        <v>584</v>
      </c>
      <c r="C27" s="2">
        <v>448.34051297779001</v>
      </c>
      <c r="D27" s="2">
        <v>4.4816566666666002</v>
      </c>
      <c r="E27" s="2">
        <v>1</v>
      </c>
      <c r="F27" s="12" t="s">
        <v>453</v>
      </c>
      <c r="G27" s="12" t="s">
        <v>369</v>
      </c>
      <c r="H27" s="5"/>
      <c r="I27" s="11">
        <v>4626</v>
      </c>
      <c r="J27" s="11">
        <v>1929</v>
      </c>
      <c r="K27" s="11">
        <v>1974</v>
      </c>
      <c r="L27" s="11">
        <v>1552</v>
      </c>
      <c r="M27" s="11">
        <v>3704</v>
      </c>
      <c r="N27" s="11">
        <v>3904</v>
      </c>
      <c r="O27" s="11">
        <v>3114</v>
      </c>
      <c r="P27" s="11"/>
      <c r="Q27" s="11">
        <v>361</v>
      </c>
      <c r="R27" s="11">
        <v>1059</v>
      </c>
      <c r="S27" s="11">
        <v>327</v>
      </c>
      <c r="T27" s="11">
        <v>379</v>
      </c>
      <c r="U27" s="11">
        <v>279</v>
      </c>
      <c r="V27" s="11">
        <v>664</v>
      </c>
      <c r="W27" s="11">
        <v>590</v>
      </c>
      <c r="X27" s="11"/>
      <c r="Y27" s="11">
        <v>243</v>
      </c>
      <c r="Z27" s="11">
        <v>1559</v>
      </c>
      <c r="AA27" s="11">
        <v>1728</v>
      </c>
      <c r="AB27" s="11">
        <v>1314</v>
      </c>
      <c r="AC27" s="17">
        <f t="shared" si="0"/>
        <v>0.13572662077046699</v>
      </c>
      <c r="AD27" s="11">
        <f t="shared" si="1"/>
        <v>2971.8571428571427</v>
      </c>
      <c r="AE27" s="11">
        <f t="shared" si="2"/>
        <v>522.71428571428567</v>
      </c>
      <c r="AF27" s="28">
        <f t="shared" si="6"/>
        <v>0.17588809306350045</v>
      </c>
      <c r="AG27" s="42">
        <f t="shared" si="3"/>
        <v>1.2166681287616153E-3</v>
      </c>
      <c r="AH27" s="14" t="str">
        <f t="shared" si="4"/>
        <v>**</v>
      </c>
      <c r="AI27" s="11">
        <f t="shared" si="7"/>
        <v>85</v>
      </c>
      <c r="AJ27" s="11">
        <f t="shared" si="8"/>
        <v>85</v>
      </c>
      <c r="AK27" s="11">
        <f t="shared" si="5"/>
        <v>2.9915722224844424E-3</v>
      </c>
      <c r="AL27" s="42">
        <f t="shared" si="9"/>
        <v>2.9915722224844424E-3</v>
      </c>
      <c r="AM27" s="14" t="str">
        <f t="shared" si="10"/>
        <v>**</v>
      </c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</row>
    <row r="28" spans="1:56" ht="27" customHeight="1" x14ac:dyDescent="0.2">
      <c r="A28" s="10" t="s">
        <v>357</v>
      </c>
      <c r="B28" s="11">
        <v>632</v>
      </c>
      <c r="C28" s="2">
        <v>422.32454081615998</v>
      </c>
      <c r="D28" s="2">
        <v>4.43861777777773</v>
      </c>
      <c r="E28" s="2">
        <v>1</v>
      </c>
      <c r="F28" s="12" t="s">
        <v>421</v>
      </c>
      <c r="G28" s="12" t="s">
        <v>369</v>
      </c>
      <c r="H28" s="5"/>
      <c r="I28" s="11">
        <v>4200</v>
      </c>
      <c r="J28" s="11">
        <v>2293</v>
      </c>
      <c r="K28" s="11">
        <v>3475</v>
      </c>
      <c r="L28" s="11">
        <v>2750</v>
      </c>
      <c r="M28" s="11">
        <v>2545</v>
      </c>
      <c r="N28" s="11">
        <v>2913</v>
      </c>
      <c r="O28" s="11">
        <v>1742</v>
      </c>
      <c r="P28" s="11"/>
      <c r="Q28" s="11">
        <v>112</v>
      </c>
      <c r="R28" s="11">
        <v>1157</v>
      </c>
      <c r="S28" s="11">
        <v>254</v>
      </c>
      <c r="T28" s="11">
        <v>516</v>
      </c>
      <c r="U28" s="11">
        <v>1360</v>
      </c>
      <c r="V28" s="11">
        <v>679</v>
      </c>
      <c r="W28" s="11">
        <v>575</v>
      </c>
      <c r="X28" s="11"/>
      <c r="Y28" s="11">
        <v>42</v>
      </c>
      <c r="Z28" s="11">
        <v>1554</v>
      </c>
      <c r="AA28" s="11">
        <v>1850</v>
      </c>
      <c r="AB28" s="11">
        <v>1644</v>
      </c>
      <c r="AC28" s="17">
        <f t="shared" si="0"/>
        <v>9.0178887136472138E-2</v>
      </c>
      <c r="AD28" s="11">
        <f t="shared" si="1"/>
        <v>2845.4285714285716</v>
      </c>
      <c r="AE28" s="11">
        <f t="shared" si="2"/>
        <v>664.71428571428567</v>
      </c>
      <c r="AF28" s="28">
        <f t="shared" si="6"/>
        <v>0.23360779194698261</v>
      </c>
      <c r="AG28" s="42">
        <f t="shared" si="3"/>
        <v>1.1784850486906419E-4</v>
      </c>
      <c r="AH28" s="14" t="str">
        <f t="shared" si="4"/>
        <v>***</v>
      </c>
      <c r="AI28" s="11">
        <f t="shared" si="7"/>
        <v>45</v>
      </c>
      <c r="AJ28" s="11">
        <f t="shared" si="8"/>
        <v>45</v>
      </c>
      <c r="AK28" s="11">
        <f t="shared" si="5"/>
        <v>5.4734083372520921E-4</v>
      </c>
      <c r="AL28" s="42">
        <f t="shared" si="9"/>
        <v>5.4734083372520921E-4</v>
      </c>
      <c r="AM28" s="14" t="str">
        <f t="shared" si="10"/>
        <v>**</v>
      </c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</row>
    <row r="29" spans="1:56" ht="27" customHeight="1" x14ac:dyDescent="0.2">
      <c r="A29" s="10" t="s">
        <v>357</v>
      </c>
      <c r="B29" s="11">
        <v>655</v>
      </c>
      <c r="C29" s="2">
        <v>482.41846606158703</v>
      </c>
      <c r="D29" s="2">
        <v>6.1298477777776599</v>
      </c>
      <c r="E29" s="2">
        <v>1</v>
      </c>
      <c r="F29" s="12" t="s">
        <v>615</v>
      </c>
      <c r="G29" s="12" t="s">
        <v>369</v>
      </c>
      <c r="H29" s="5"/>
      <c r="I29" s="11">
        <v>4020</v>
      </c>
      <c r="J29" s="11">
        <v>1658</v>
      </c>
      <c r="K29" s="11">
        <v>2515</v>
      </c>
      <c r="L29" s="11">
        <v>997</v>
      </c>
      <c r="M29" s="11">
        <v>1774</v>
      </c>
      <c r="N29" s="11">
        <v>1982</v>
      </c>
      <c r="O29" s="11">
        <v>2239</v>
      </c>
      <c r="P29" s="11"/>
      <c r="Q29" s="11">
        <v>233</v>
      </c>
      <c r="R29" s="11">
        <v>500</v>
      </c>
      <c r="S29" s="11">
        <v>185</v>
      </c>
      <c r="T29" s="11">
        <v>337</v>
      </c>
      <c r="U29" s="11">
        <v>355</v>
      </c>
      <c r="V29" s="11">
        <v>453</v>
      </c>
      <c r="W29" s="11">
        <v>339</v>
      </c>
      <c r="X29" s="11"/>
      <c r="Y29" s="11">
        <v>42</v>
      </c>
      <c r="Z29" s="11">
        <v>1199</v>
      </c>
      <c r="AA29" s="11">
        <v>1070</v>
      </c>
      <c r="AB29" s="11">
        <v>1090</v>
      </c>
      <c r="AC29" s="17">
        <f t="shared" si="0"/>
        <v>6.2008294509684904E-2</v>
      </c>
      <c r="AD29" s="11">
        <f t="shared" si="1"/>
        <v>2169.2857142857142</v>
      </c>
      <c r="AE29" s="11">
        <f t="shared" si="2"/>
        <v>343.14285714285717</v>
      </c>
      <c r="AF29" s="28">
        <f t="shared" si="6"/>
        <v>0.15818241685874221</v>
      </c>
      <c r="AG29" s="42">
        <f t="shared" si="3"/>
        <v>2.1141286909744459E-3</v>
      </c>
      <c r="AH29" s="14" t="str">
        <f t="shared" si="4"/>
        <v>**</v>
      </c>
      <c r="AI29" s="11">
        <f t="shared" si="7"/>
        <v>92</v>
      </c>
      <c r="AJ29" s="11">
        <f t="shared" si="8"/>
        <v>92</v>
      </c>
      <c r="AK29" s="11">
        <f t="shared" si="5"/>
        <v>4.8027488740615132E-3</v>
      </c>
      <c r="AL29" s="42">
        <f t="shared" si="9"/>
        <v>4.8027488740615132E-3</v>
      </c>
      <c r="AM29" s="14" t="str">
        <f t="shared" si="10"/>
        <v>**</v>
      </c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</row>
    <row r="30" spans="1:56" ht="27" customHeight="1" x14ac:dyDescent="0.2">
      <c r="A30" s="10" t="s">
        <v>357</v>
      </c>
      <c r="B30" s="11">
        <v>711</v>
      </c>
      <c r="C30" s="2">
        <v>456.40265730830703</v>
      </c>
      <c r="D30" s="2">
        <v>6.0703520833332503</v>
      </c>
      <c r="E30" s="2">
        <v>1</v>
      </c>
      <c r="F30" s="12" t="s">
        <v>460</v>
      </c>
      <c r="G30" s="12" t="s">
        <v>369</v>
      </c>
      <c r="H30" s="5"/>
      <c r="I30" s="11">
        <v>3592</v>
      </c>
      <c r="J30" s="11">
        <v>2298</v>
      </c>
      <c r="K30" s="11">
        <v>3560</v>
      </c>
      <c r="L30" s="11">
        <v>1784</v>
      </c>
      <c r="M30" s="11">
        <v>2285</v>
      </c>
      <c r="N30" s="11">
        <v>3002</v>
      </c>
      <c r="O30" s="11">
        <v>2843</v>
      </c>
      <c r="P30" s="11"/>
      <c r="Q30" s="11">
        <v>419</v>
      </c>
      <c r="R30" s="11">
        <v>471</v>
      </c>
      <c r="S30" s="11">
        <v>384</v>
      </c>
      <c r="T30" s="11">
        <v>339</v>
      </c>
      <c r="U30" s="11">
        <v>409</v>
      </c>
      <c r="V30" s="11">
        <v>546</v>
      </c>
      <c r="W30" s="11">
        <v>445</v>
      </c>
      <c r="X30" s="11"/>
      <c r="Y30" s="11">
        <v>501</v>
      </c>
      <c r="Z30" s="11">
        <v>1681</v>
      </c>
      <c r="AA30" s="11">
        <v>1594</v>
      </c>
      <c r="AB30" s="11">
        <v>1491</v>
      </c>
      <c r="AC30" s="17">
        <f t="shared" si="0"/>
        <v>5.9869207570915337E-2</v>
      </c>
      <c r="AD30" s="11">
        <f t="shared" si="1"/>
        <v>2766.2857142857142</v>
      </c>
      <c r="AE30" s="11">
        <f t="shared" si="2"/>
        <v>430.42857142857144</v>
      </c>
      <c r="AF30" s="28">
        <f t="shared" si="6"/>
        <v>0.15559801693864905</v>
      </c>
      <c r="AG30" s="42">
        <f t="shared" si="3"/>
        <v>9.3346662736406224E-5</v>
      </c>
      <c r="AH30" s="14" t="str">
        <f t="shared" si="4"/>
        <v>***</v>
      </c>
      <c r="AI30" s="11">
        <f t="shared" si="7"/>
        <v>38</v>
      </c>
      <c r="AJ30" s="11">
        <f t="shared" si="8"/>
        <v>38</v>
      </c>
      <c r="AK30" s="11">
        <f t="shared" si="5"/>
        <v>5.1340664505023425E-4</v>
      </c>
      <c r="AL30" s="42">
        <f t="shared" si="9"/>
        <v>5.1169906818371617E-4</v>
      </c>
      <c r="AM30" s="14" t="str">
        <f t="shared" si="10"/>
        <v>**</v>
      </c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</row>
    <row r="31" spans="1:56" ht="27" customHeight="1" x14ac:dyDescent="0.2">
      <c r="A31" s="10" t="s">
        <v>357</v>
      </c>
      <c r="B31" s="11">
        <v>755</v>
      </c>
      <c r="C31" s="2">
        <v>480.40181404997401</v>
      </c>
      <c r="D31" s="2">
        <v>5.7613078431372902</v>
      </c>
      <c r="E31" s="2">
        <v>1</v>
      </c>
      <c r="F31" s="12" t="s">
        <v>461</v>
      </c>
      <c r="G31" s="12" t="s">
        <v>369</v>
      </c>
      <c r="H31" s="5"/>
      <c r="I31" s="11">
        <v>1981</v>
      </c>
      <c r="J31" s="11">
        <v>1365</v>
      </c>
      <c r="K31" s="11">
        <v>3268</v>
      </c>
      <c r="L31" s="11">
        <v>978</v>
      </c>
      <c r="M31" s="11">
        <v>968</v>
      </c>
      <c r="N31" s="11">
        <v>622</v>
      </c>
      <c r="O31" s="11">
        <v>1515</v>
      </c>
      <c r="P31" s="11"/>
      <c r="Q31" s="11">
        <v>103</v>
      </c>
      <c r="R31" s="11">
        <v>235</v>
      </c>
      <c r="S31" s="11">
        <v>139</v>
      </c>
      <c r="T31" s="11">
        <v>282</v>
      </c>
      <c r="U31" s="11">
        <v>629</v>
      </c>
      <c r="V31" s="11">
        <v>441</v>
      </c>
      <c r="W31" s="11">
        <v>250</v>
      </c>
      <c r="X31" s="11"/>
      <c r="Y31" s="11">
        <v>15</v>
      </c>
      <c r="Z31" s="11">
        <v>868</v>
      </c>
      <c r="AA31" s="11">
        <v>828</v>
      </c>
      <c r="AB31" s="11">
        <v>698</v>
      </c>
      <c r="AC31" s="17">
        <f t="shared" ref="AC31:AC88" si="11">IFERROR(STDEV(Z31:AB31)/AVERAGE(Z31:AB31),0)</f>
        <v>0.11138088242250112</v>
      </c>
      <c r="AD31" s="11">
        <f t="shared" ref="AD31:AD88" si="12">AVERAGE(I31:O31)</f>
        <v>1528.1428571428571</v>
      </c>
      <c r="AE31" s="11">
        <f t="shared" ref="AE31:AE88" si="13">AVERAGE(Q31:W31)</f>
        <v>297</v>
      </c>
      <c r="AF31" s="28">
        <f t="shared" si="6"/>
        <v>0.1943535570720763</v>
      </c>
      <c r="AG31" s="42">
        <f t="shared" si="3"/>
        <v>9.8158454312404792E-3</v>
      </c>
      <c r="AH31" s="14" t="str">
        <f t="shared" ref="AH31:AH88" si="14">IF(AG31&lt;0.001,"***",IF(AG31&lt;0.01,"**",IF(AG31&lt;0.05,"*","-")))</f>
        <v>**</v>
      </c>
      <c r="AI31" s="11">
        <f t="shared" si="7"/>
        <v>123</v>
      </c>
      <c r="AJ31" s="11">
        <f t="shared" si="8"/>
        <v>123</v>
      </c>
      <c r="AK31" s="11">
        <f t="shared" si="5"/>
        <v>1.6678956870969593E-2</v>
      </c>
      <c r="AL31" s="42">
        <f t="shared" si="9"/>
        <v>1.6678956870969593E-2</v>
      </c>
      <c r="AM31" s="14" t="str">
        <f t="shared" si="10"/>
        <v>**</v>
      </c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</row>
    <row r="32" spans="1:56" ht="27" customHeight="1" x14ac:dyDescent="0.2">
      <c r="A32" s="10" t="s">
        <v>357</v>
      </c>
      <c r="B32" s="11">
        <v>759</v>
      </c>
      <c r="C32" s="2">
        <v>420.30948630758502</v>
      </c>
      <c r="D32" s="2">
        <v>3.84819333333339</v>
      </c>
      <c r="E32" s="2">
        <v>1</v>
      </c>
      <c r="F32" s="12" t="s">
        <v>467</v>
      </c>
      <c r="G32" s="12" t="s">
        <v>369</v>
      </c>
      <c r="H32" s="5"/>
      <c r="I32" s="11">
        <v>2523</v>
      </c>
      <c r="J32" s="11">
        <v>1744</v>
      </c>
      <c r="K32" s="11">
        <v>1985</v>
      </c>
      <c r="L32" s="11">
        <v>1409</v>
      </c>
      <c r="M32" s="11">
        <v>2324</v>
      </c>
      <c r="N32" s="11">
        <v>3239</v>
      </c>
      <c r="O32" s="11">
        <v>2277</v>
      </c>
      <c r="P32" s="11"/>
      <c r="Q32" s="11">
        <v>494</v>
      </c>
      <c r="R32" s="11">
        <v>833</v>
      </c>
      <c r="S32" s="11">
        <v>338</v>
      </c>
      <c r="T32" s="11">
        <v>434</v>
      </c>
      <c r="U32" s="11">
        <v>239</v>
      </c>
      <c r="V32" s="11">
        <v>458</v>
      </c>
      <c r="W32" s="11">
        <v>336</v>
      </c>
      <c r="X32" s="11"/>
      <c r="Y32" s="11">
        <v>117</v>
      </c>
      <c r="Z32" s="11">
        <v>1389</v>
      </c>
      <c r="AA32" s="11">
        <v>1143</v>
      </c>
      <c r="AB32" s="11">
        <v>1086</v>
      </c>
      <c r="AC32" s="17">
        <f t="shared" si="11"/>
        <v>0.13351977015243424</v>
      </c>
      <c r="AD32" s="11">
        <f t="shared" si="12"/>
        <v>2214.4285714285716</v>
      </c>
      <c r="AE32" s="11">
        <f t="shared" si="13"/>
        <v>447.42857142857144</v>
      </c>
      <c r="AF32" s="28">
        <f t="shared" si="6"/>
        <v>0.20205148054964195</v>
      </c>
      <c r="AG32" s="42">
        <f t="shared" si="3"/>
        <v>1.1070804380098738E-4</v>
      </c>
      <c r="AH32" s="14" t="str">
        <f t="shared" si="14"/>
        <v>***</v>
      </c>
      <c r="AI32" s="11">
        <f t="shared" si="7"/>
        <v>44</v>
      </c>
      <c r="AJ32" s="11">
        <f t="shared" si="8"/>
        <v>44</v>
      </c>
      <c r="AK32" s="11">
        <f t="shared" si="5"/>
        <v>5.2586320805469012E-4</v>
      </c>
      <c r="AL32" s="42">
        <f t="shared" si="9"/>
        <v>5.2586320805469012E-4</v>
      </c>
      <c r="AM32" s="14" t="str">
        <f t="shared" si="10"/>
        <v>**</v>
      </c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</row>
    <row r="33" spans="1:56" ht="27" customHeight="1" x14ac:dyDescent="0.2">
      <c r="A33" s="10" t="s">
        <v>357</v>
      </c>
      <c r="B33" s="11">
        <v>765</v>
      </c>
      <c r="C33" s="2">
        <v>386.32459216605503</v>
      </c>
      <c r="D33" s="2">
        <v>4.5155180555554999</v>
      </c>
      <c r="E33" s="2">
        <v>2</v>
      </c>
      <c r="F33" s="12" t="s">
        <v>495</v>
      </c>
      <c r="G33" s="12" t="s">
        <v>369</v>
      </c>
      <c r="H33" s="5"/>
      <c r="I33" s="11">
        <v>3187</v>
      </c>
      <c r="J33" s="11">
        <v>2176</v>
      </c>
      <c r="K33" s="11">
        <v>3122</v>
      </c>
      <c r="L33" s="11">
        <v>1539</v>
      </c>
      <c r="M33" s="11">
        <v>2045</v>
      </c>
      <c r="N33" s="11">
        <v>2591</v>
      </c>
      <c r="O33" s="11">
        <v>1303</v>
      </c>
      <c r="P33" s="11"/>
      <c r="Q33" s="11">
        <v>192</v>
      </c>
      <c r="R33" s="11">
        <v>580</v>
      </c>
      <c r="S33" s="11">
        <v>290</v>
      </c>
      <c r="T33" s="11">
        <v>224</v>
      </c>
      <c r="U33" s="11">
        <v>376</v>
      </c>
      <c r="V33" s="11">
        <v>486</v>
      </c>
      <c r="W33" s="11">
        <v>403</v>
      </c>
      <c r="X33" s="11"/>
      <c r="Y33" s="11">
        <v>100</v>
      </c>
      <c r="Z33" s="11">
        <v>1416</v>
      </c>
      <c r="AA33" s="11">
        <v>1158</v>
      </c>
      <c r="AB33" s="11">
        <v>1431</v>
      </c>
      <c r="AC33" s="17">
        <f t="shared" si="11"/>
        <v>0.11495870168475203</v>
      </c>
      <c r="AD33" s="11">
        <f t="shared" si="12"/>
        <v>2280.4285714285716</v>
      </c>
      <c r="AE33" s="11">
        <f t="shared" si="13"/>
        <v>364.42857142857144</v>
      </c>
      <c r="AF33" s="28">
        <f t="shared" si="6"/>
        <v>0.1598070538119401</v>
      </c>
      <c r="AG33" s="42">
        <f t="shared" si="3"/>
        <v>3.5934826919737311E-4</v>
      </c>
      <c r="AH33" s="14" t="str">
        <f t="shared" si="14"/>
        <v>***</v>
      </c>
      <c r="AI33" s="11">
        <f t="shared" si="7"/>
        <v>64</v>
      </c>
      <c r="AJ33" s="11">
        <f t="shared" si="8"/>
        <v>64</v>
      </c>
      <c r="AK33" s="11">
        <f t="shared" si="5"/>
        <v>1.1734966915976715E-3</v>
      </c>
      <c r="AL33" s="42">
        <f t="shared" si="9"/>
        <v>1.1734966915976715E-3</v>
      </c>
      <c r="AM33" s="14" t="str">
        <f t="shared" si="10"/>
        <v>**</v>
      </c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</row>
    <row r="34" spans="1:56" ht="27" customHeight="1" x14ac:dyDescent="0.2">
      <c r="A34" s="10" t="s">
        <v>357</v>
      </c>
      <c r="B34" s="11">
        <v>972</v>
      </c>
      <c r="C34" s="2">
        <v>472.339551641176</v>
      </c>
      <c r="D34" s="2">
        <v>4.5570864583333099</v>
      </c>
      <c r="E34" s="2">
        <v>1</v>
      </c>
      <c r="F34" s="12" t="s">
        <v>446</v>
      </c>
      <c r="G34" s="12" t="s">
        <v>369</v>
      </c>
      <c r="H34" s="5"/>
      <c r="I34" s="11">
        <v>1322</v>
      </c>
      <c r="J34" s="11">
        <v>935</v>
      </c>
      <c r="K34" s="11">
        <v>1499</v>
      </c>
      <c r="L34" s="11">
        <v>595</v>
      </c>
      <c r="M34" s="11">
        <v>1044</v>
      </c>
      <c r="N34" s="11">
        <v>1369</v>
      </c>
      <c r="O34" s="11">
        <v>483</v>
      </c>
      <c r="P34" s="11"/>
      <c r="Q34" s="11">
        <v>244</v>
      </c>
      <c r="R34" s="11">
        <v>1516</v>
      </c>
      <c r="S34" s="11">
        <v>1579</v>
      </c>
      <c r="T34" s="11">
        <v>399</v>
      </c>
      <c r="U34" s="11">
        <v>269</v>
      </c>
      <c r="V34" s="11">
        <v>326</v>
      </c>
      <c r="W34" s="11">
        <v>2330</v>
      </c>
      <c r="X34" s="11"/>
      <c r="Y34" s="11">
        <v>10</v>
      </c>
      <c r="Z34" s="11">
        <v>1180</v>
      </c>
      <c r="AA34" s="11">
        <v>929</v>
      </c>
      <c r="AB34" s="11">
        <v>847</v>
      </c>
      <c r="AC34" s="17">
        <f t="shared" si="11"/>
        <v>0.17608278770656149</v>
      </c>
      <c r="AD34" s="11">
        <f t="shared" si="12"/>
        <v>1035.2857142857142</v>
      </c>
      <c r="AE34" s="11">
        <f t="shared" si="13"/>
        <v>951.85714285714289</v>
      </c>
      <c r="AF34" s="28">
        <f t="shared" si="6"/>
        <v>0.91941493031599286</v>
      </c>
      <c r="AG34" s="42">
        <f t="shared" si="3"/>
        <v>0.8180992004129537</v>
      </c>
      <c r="AH34" s="14" t="str">
        <f t="shared" si="14"/>
        <v>-</v>
      </c>
      <c r="AI34" s="11">
        <f t="shared" si="7"/>
        <v>202</v>
      </c>
      <c r="AJ34" s="11">
        <f t="shared" si="8"/>
        <v>202</v>
      </c>
      <c r="AK34" s="11">
        <f t="shared" si="5"/>
        <v>0.84644917270449171</v>
      </c>
      <c r="AL34" s="42">
        <f t="shared" si="9"/>
        <v>0.84644917270449171</v>
      </c>
      <c r="AM34" s="14" t="str">
        <f t="shared" si="10"/>
        <v/>
      </c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</row>
    <row r="35" spans="1:56" ht="27" customHeight="1" x14ac:dyDescent="0.2">
      <c r="A35" s="10" t="s">
        <v>357</v>
      </c>
      <c r="B35" s="11">
        <v>1054</v>
      </c>
      <c r="C35" s="2">
        <v>452.37061185954502</v>
      </c>
      <c r="D35" s="2">
        <v>5.4739761904759998</v>
      </c>
      <c r="E35" s="2">
        <v>1</v>
      </c>
      <c r="F35" s="12" t="s">
        <v>393</v>
      </c>
      <c r="G35" s="12" t="s">
        <v>369</v>
      </c>
      <c r="H35" s="5"/>
      <c r="I35" s="11">
        <v>1322</v>
      </c>
      <c r="J35" s="11">
        <v>1094</v>
      </c>
      <c r="K35" s="11">
        <v>2128</v>
      </c>
      <c r="L35" s="11">
        <v>909</v>
      </c>
      <c r="M35" s="11">
        <v>1089</v>
      </c>
      <c r="N35" s="11">
        <v>973</v>
      </c>
      <c r="O35" s="11">
        <v>1148</v>
      </c>
      <c r="P35" s="11"/>
      <c r="Q35" s="11">
        <v>299</v>
      </c>
      <c r="R35" s="11">
        <v>413</v>
      </c>
      <c r="S35" s="11">
        <v>261</v>
      </c>
      <c r="T35" s="11">
        <v>256</v>
      </c>
      <c r="U35" s="11">
        <v>398</v>
      </c>
      <c r="V35" s="11">
        <v>226</v>
      </c>
      <c r="W35" s="11">
        <v>193</v>
      </c>
      <c r="X35" s="11"/>
      <c r="Y35" s="11">
        <v>255</v>
      </c>
      <c r="Z35" s="11">
        <v>567</v>
      </c>
      <c r="AA35" s="11">
        <v>516</v>
      </c>
      <c r="AB35" s="11">
        <v>573</v>
      </c>
      <c r="AC35" s="17">
        <f t="shared" si="11"/>
        <v>5.6740796244079079E-2</v>
      </c>
      <c r="AD35" s="11">
        <f t="shared" si="12"/>
        <v>1237.5714285714287</v>
      </c>
      <c r="AE35" s="11">
        <f t="shared" si="13"/>
        <v>292.28571428571428</v>
      </c>
      <c r="AF35" s="28">
        <f t="shared" si="6"/>
        <v>0.2361768440494055</v>
      </c>
      <c r="AG35" s="42">
        <f t="shared" si="3"/>
        <v>7.7674301497956315E-4</v>
      </c>
      <c r="AH35" s="14" t="str">
        <f t="shared" si="14"/>
        <v>***</v>
      </c>
      <c r="AI35" s="11">
        <f t="shared" si="7"/>
        <v>78</v>
      </c>
      <c r="AJ35" s="11">
        <f t="shared" si="8"/>
        <v>78</v>
      </c>
      <c r="AK35" s="11">
        <f t="shared" si="5"/>
        <v>2.0812729503939579E-3</v>
      </c>
      <c r="AL35" s="42">
        <f t="shared" si="9"/>
        <v>2.0812729503939579E-3</v>
      </c>
      <c r="AM35" s="14" t="str">
        <f t="shared" si="10"/>
        <v>**</v>
      </c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</row>
    <row r="36" spans="1:56" ht="27" customHeight="1" x14ac:dyDescent="0.2">
      <c r="A36" s="10" t="s">
        <v>357</v>
      </c>
      <c r="B36" s="11">
        <v>2552</v>
      </c>
      <c r="C36" s="2">
        <v>512.465292458303</v>
      </c>
      <c r="D36" s="2">
        <v>7.0007190476190697</v>
      </c>
      <c r="E36" s="2">
        <v>1</v>
      </c>
      <c r="F36" s="12" t="s">
        <v>647</v>
      </c>
      <c r="G36" s="12" t="s">
        <v>369</v>
      </c>
      <c r="H36" s="5"/>
      <c r="I36" s="11">
        <v>548</v>
      </c>
      <c r="J36" s="11">
        <v>418</v>
      </c>
      <c r="K36" s="11">
        <v>676</v>
      </c>
      <c r="L36" s="11">
        <v>229</v>
      </c>
      <c r="M36" s="11">
        <v>358</v>
      </c>
      <c r="N36" s="11">
        <v>236</v>
      </c>
      <c r="O36" s="11">
        <v>475</v>
      </c>
      <c r="P36" s="11"/>
      <c r="Q36" s="11">
        <v>52</v>
      </c>
      <c r="R36" s="11">
        <v>322</v>
      </c>
      <c r="S36" s="11">
        <v>225</v>
      </c>
      <c r="T36" s="11">
        <v>127</v>
      </c>
      <c r="U36" s="11">
        <v>75</v>
      </c>
      <c r="V36" s="11">
        <v>93</v>
      </c>
      <c r="W36" s="11">
        <v>148</v>
      </c>
      <c r="X36" s="11"/>
      <c r="Y36" s="11">
        <v>38</v>
      </c>
      <c r="Z36" s="11">
        <v>283</v>
      </c>
      <c r="AA36" s="11">
        <v>253</v>
      </c>
      <c r="AB36" s="11">
        <v>203</v>
      </c>
      <c r="AC36" s="17">
        <f t="shared" si="11"/>
        <v>0.16406435254373644</v>
      </c>
      <c r="AD36" s="11">
        <f t="shared" si="12"/>
        <v>420</v>
      </c>
      <c r="AE36" s="11">
        <f t="shared" si="13"/>
        <v>148.85714285714286</v>
      </c>
      <c r="AF36" s="28">
        <f t="shared" si="6"/>
        <v>0.35442176870748299</v>
      </c>
      <c r="AG36" s="42">
        <f t="shared" si="3"/>
        <v>3.6813277917161868E-3</v>
      </c>
      <c r="AH36" s="14" t="str">
        <f t="shared" si="14"/>
        <v>**</v>
      </c>
      <c r="AI36" s="11">
        <f t="shared" si="7"/>
        <v>101</v>
      </c>
      <c r="AJ36" s="11">
        <f t="shared" si="8"/>
        <v>101</v>
      </c>
      <c r="AK36" s="11">
        <f t="shared" si="5"/>
        <v>7.6177971135513176E-3</v>
      </c>
      <c r="AL36" s="42">
        <f t="shared" si="9"/>
        <v>7.6177971135513176E-3</v>
      </c>
      <c r="AM36" s="14" t="str">
        <f t="shared" si="10"/>
        <v>**</v>
      </c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</row>
    <row r="37" spans="1:56" ht="27" customHeight="1" x14ac:dyDescent="0.2">
      <c r="A37" s="10" t="s">
        <v>357</v>
      </c>
      <c r="B37" s="11">
        <v>160</v>
      </c>
      <c r="C37" s="2">
        <v>416.33555071675403</v>
      </c>
      <c r="D37" s="2">
        <v>4.3303685185185499</v>
      </c>
      <c r="E37" s="2">
        <v>1</v>
      </c>
      <c r="F37" s="12" t="s">
        <v>388</v>
      </c>
      <c r="G37" s="12" t="s">
        <v>384</v>
      </c>
      <c r="H37" s="5"/>
      <c r="I37" s="11">
        <v>20696</v>
      </c>
      <c r="J37" s="11">
        <v>14523</v>
      </c>
      <c r="K37" s="11">
        <v>30608</v>
      </c>
      <c r="L37" s="11">
        <v>21929</v>
      </c>
      <c r="M37" s="11">
        <v>13985</v>
      </c>
      <c r="N37" s="11">
        <v>16161</v>
      </c>
      <c r="O37" s="11">
        <v>9245</v>
      </c>
      <c r="P37" s="11"/>
      <c r="Q37" s="11">
        <v>1383</v>
      </c>
      <c r="R37" s="11">
        <v>4623</v>
      </c>
      <c r="S37" s="11">
        <v>2474</v>
      </c>
      <c r="T37" s="11">
        <v>63</v>
      </c>
      <c r="U37" s="11">
        <v>2948</v>
      </c>
      <c r="V37" s="11">
        <v>2988</v>
      </c>
      <c r="W37" s="11">
        <v>32</v>
      </c>
      <c r="X37" s="11"/>
      <c r="Y37" s="11">
        <v>63</v>
      </c>
      <c r="Z37" s="11">
        <v>11508</v>
      </c>
      <c r="AA37" s="11">
        <v>10708</v>
      </c>
      <c r="AB37" s="11">
        <v>10167</v>
      </c>
      <c r="AC37" s="17">
        <f t="shared" si="11"/>
        <v>6.2500915418648537E-2</v>
      </c>
      <c r="AD37" s="11">
        <f t="shared" si="12"/>
        <v>18163.857142857141</v>
      </c>
      <c r="AE37" s="11">
        <f t="shared" si="13"/>
        <v>2073</v>
      </c>
      <c r="AF37" s="28">
        <f t="shared" si="6"/>
        <v>0.11412774190503906</v>
      </c>
      <c r="AG37" s="42">
        <f t="shared" si="3"/>
        <v>6.6882830541087736E-4</v>
      </c>
      <c r="AH37" s="14" t="str">
        <f t="shared" si="14"/>
        <v>***</v>
      </c>
      <c r="AI37" s="11">
        <f t="shared" si="7"/>
        <v>74</v>
      </c>
      <c r="AJ37" s="11">
        <f t="shared" si="8"/>
        <v>74</v>
      </c>
      <c r="AK37" s="11">
        <f t="shared" si="5"/>
        <v>1.8889880517685589E-3</v>
      </c>
      <c r="AL37" s="42">
        <f t="shared" si="9"/>
        <v>1.8889880517685589E-3</v>
      </c>
      <c r="AM37" s="14" t="str">
        <f t="shared" si="10"/>
        <v>**</v>
      </c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</row>
    <row r="38" spans="1:56" ht="27" customHeight="1" x14ac:dyDescent="0.2">
      <c r="A38" s="10" t="s">
        <v>357</v>
      </c>
      <c r="B38" s="11">
        <v>179</v>
      </c>
      <c r="C38" s="2">
        <v>442.35100872088998</v>
      </c>
      <c r="D38" s="2">
        <v>4.5630357142856397</v>
      </c>
      <c r="E38" s="2">
        <v>1</v>
      </c>
      <c r="F38" s="12" t="s">
        <v>383</v>
      </c>
      <c r="G38" s="12" t="s">
        <v>384</v>
      </c>
      <c r="H38" s="5"/>
      <c r="I38" s="11">
        <v>19602</v>
      </c>
      <c r="J38" s="11">
        <v>13707</v>
      </c>
      <c r="K38" s="11">
        <v>27077</v>
      </c>
      <c r="L38" s="11">
        <v>16157</v>
      </c>
      <c r="M38" s="11">
        <v>8719</v>
      </c>
      <c r="N38" s="11">
        <v>14967</v>
      </c>
      <c r="O38" s="11">
        <v>7292</v>
      </c>
      <c r="P38" s="11"/>
      <c r="Q38" s="11">
        <v>616</v>
      </c>
      <c r="R38" s="11">
        <v>6280</v>
      </c>
      <c r="S38" s="11">
        <v>2045</v>
      </c>
      <c r="T38" s="11">
        <v>1704</v>
      </c>
      <c r="U38" s="11">
        <v>3800</v>
      </c>
      <c r="V38" s="11">
        <v>4162</v>
      </c>
      <c r="W38" s="11">
        <v>1942</v>
      </c>
      <c r="X38" s="11"/>
      <c r="Y38" s="11">
        <v>9</v>
      </c>
      <c r="Z38" s="11">
        <v>9984</v>
      </c>
      <c r="AA38" s="11">
        <v>9529</v>
      </c>
      <c r="AB38" s="11">
        <v>8619</v>
      </c>
      <c r="AC38" s="17">
        <f t="shared" si="11"/>
        <v>7.4117444234498328E-2</v>
      </c>
      <c r="AD38" s="11">
        <f t="shared" si="12"/>
        <v>15360.142857142857</v>
      </c>
      <c r="AE38" s="11">
        <f t="shared" si="13"/>
        <v>2935.5714285714284</v>
      </c>
      <c r="AF38" s="28">
        <f t="shared" si="6"/>
        <v>0.19111615405362672</v>
      </c>
      <c r="AG38" s="42">
        <f t="shared" si="3"/>
        <v>2.1527442606120153E-3</v>
      </c>
      <c r="AH38" s="14" t="str">
        <f t="shared" si="14"/>
        <v>**</v>
      </c>
      <c r="AI38" s="11">
        <f t="shared" si="7"/>
        <v>93</v>
      </c>
      <c r="AJ38" s="11">
        <f t="shared" si="8"/>
        <v>93</v>
      </c>
      <c r="AK38" s="11">
        <f t="shared" si="5"/>
        <v>4.8378876394399055E-3</v>
      </c>
      <c r="AL38" s="42">
        <f t="shared" si="9"/>
        <v>4.8378876394399055E-3</v>
      </c>
      <c r="AM38" s="14" t="str">
        <f t="shared" si="10"/>
        <v>**</v>
      </c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</row>
    <row r="39" spans="1:56" ht="27" customHeight="1" x14ac:dyDescent="0.2">
      <c r="A39" s="10" t="s">
        <v>357</v>
      </c>
      <c r="B39" s="11">
        <v>299</v>
      </c>
      <c r="C39" s="2">
        <v>414.31962365218902</v>
      </c>
      <c r="D39" s="2">
        <v>3.8710529411764698</v>
      </c>
      <c r="E39" s="2">
        <v>1</v>
      </c>
      <c r="F39" s="12" t="s">
        <v>410</v>
      </c>
      <c r="G39" s="12" t="s">
        <v>384</v>
      </c>
      <c r="H39" s="5"/>
      <c r="I39" s="11">
        <v>4310</v>
      </c>
      <c r="J39" s="11">
        <v>5123</v>
      </c>
      <c r="K39" s="11">
        <v>12865</v>
      </c>
      <c r="L39" s="11">
        <v>8508</v>
      </c>
      <c r="M39" s="11">
        <v>1541</v>
      </c>
      <c r="N39" s="11">
        <v>4946</v>
      </c>
      <c r="O39" s="11">
        <v>4105</v>
      </c>
      <c r="P39" s="11"/>
      <c r="Q39" s="11">
        <v>326</v>
      </c>
      <c r="R39" s="11">
        <v>2691</v>
      </c>
      <c r="S39" s="11">
        <v>1032</v>
      </c>
      <c r="T39" s="11">
        <v>712</v>
      </c>
      <c r="U39" s="11">
        <v>1276</v>
      </c>
      <c r="V39" s="11">
        <v>822</v>
      </c>
      <c r="W39" s="11">
        <v>1697</v>
      </c>
      <c r="X39" s="11"/>
      <c r="Y39" s="11">
        <v>54</v>
      </c>
      <c r="Z39" s="11">
        <v>3751</v>
      </c>
      <c r="AA39" s="11">
        <v>3959</v>
      </c>
      <c r="AB39" s="11">
        <v>4388</v>
      </c>
      <c r="AC39" s="17">
        <f t="shared" si="11"/>
        <v>8.0548839581693538E-2</v>
      </c>
      <c r="AD39" s="11">
        <f t="shared" si="12"/>
        <v>5914</v>
      </c>
      <c r="AE39" s="11">
        <f t="shared" si="13"/>
        <v>1222.2857142857142</v>
      </c>
      <c r="AF39" s="28">
        <f t="shared" si="6"/>
        <v>0.20667665104594424</v>
      </c>
      <c r="AG39" s="42">
        <f t="shared" si="3"/>
        <v>1.4608364732430551E-2</v>
      </c>
      <c r="AH39" s="14" t="str">
        <f t="shared" si="14"/>
        <v>*</v>
      </c>
      <c r="AI39" s="11">
        <f t="shared" si="7"/>
        <v>132</v>
      </c>
      <c r="AJ39" s="11">
        <f t="shared" si="8"/>
        <v>132</v>
      </c>
      <c r="AK39" s="11">
        <f t="shared" si="5"/>
        <v>2.3129910826348372E-2</v>
      </c>
      <c r="AL39" s="42">
        <f t="shared" si="9"/>
        <v>2.3129910826348372E-2</v>
      </c>
      <c r="AM39" s="14" t="str">
        <f t="shared" si="10"/>
        <v>**</v>
      </c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</row>
    <row r="40" spans="1:56" ht="27" customHeight="1" x14ac:dyDescent="0.2">
      <c r="A40" s="10" t="s">
        <v>357</v>
      </c>
      <c r="B40" s="11">
        <v>305</v>
      </c>
      <c r="C40" s="2">
        <v>440.33617174078103</v>
      </c>
      <c r="D40" s="2">
        <v>4.13551428571414</v>
      </c>
      <c r="E40" s="2">
        <v>1</v>
      </c>
      <c r="F40" s="12" t="s">
        <v>386</v>
      </c>
      <c r="G40" s="12" t="s">
        <v>384</v>
      </c>
      <c r="H40" s="5"/>
      <c r="I40" s="11">
        <v>12475</v>
      </c>
      <c r="J40" s="11">
        <v>15356</v>
      </c>
      <c r="K40" s="11">
        <v>17424</v>
      </c>
      <c r="L40" s="11">
        <v>18722</v>
      </c>
      <c r="M40" s="11">
        <v>12375</v>
      </c>
      <c r="N40" s="11">
        <v>14349</v>
      </c>
      <c r="O40" s="11">
        <v>9007</v>
      </c>
      <c r="P40" s="11"/>
      <c r="Q40" s="11">
        <v>548</v>
      </c>
      <c r="R40" s="11">
        <v>5566</v>
      </c>
      <c r="S40" s="11">
        <v>1372</v>
      </c>
      <c r="T40" s="11">
        <v>1532</v>
      </c>
      <c r="U40" s="11">
        <v>6677</v>
      </c>
      <c r="V40" s="11">
        <v>3316</v>
      </c>
      <c r="W40" s="11">
        <v>3130</v>
      </c>
      <c r="X40" s="11"/>
      <c r="Y40" s="11">
        <v>90</v>
      </c>
      <c r="Z40" s="11">
        <v>7257</v>
      </c>
      <c r="AA40" s="11">
        <v>9876</v>
      </c>
      <c r="AB40" s="11">
        <v>9779</v>
      </c>
      <c r="AC40" s="17">
        <f t="shared" si="11"/>
        <v>0.1655251728315825</v>
      </c>
      <c r="AD40" s="11">
        <f t="shared" si="12"/>
        <v>14244</v>
      </c>
      <c r="AE40" s="11">
        <f t="shared" si="13"/>
        <v>3163</v>
      </c>
      <c r="AF40" s="28">
        <f t="shared" si="6"/>
        <v>0.2220584105588318</v>
      </c>
      <c r="AG40" s="42">
        <f t="shared" si="3"/>
        <v>1.8262651457338804E-5</v>
      </c>
      <c r="AH40" s="14" t="str">
        <f t="shared" si="14"/>
        <v>***</v>
      </c>
      <c r="AI40" s="11">
        <f t="shared" si="7"/>
        <v>12</v>
      </c>
      <c r="AJ40" s="11">
        <f t="shared" si="8"/>
        <v>12</v>
      </c>
      <c r="AK40" s="11">
        <f t="shared" si="5"/>
        <v>3.1807451288198417E-4</v>
      </c>
      <c r="AL40" s="42">
        <f t="shared" si="9"/>
        <v>3.1447102172978749E-4</v>
      </c>
      <c r="AM40" s="14" t="str">
        <f t="shared" si="10"/>
        <v>**</v>
      </c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</row>
    <row r="41" spans="1:56" ht="27" customHeight="1" x14ac:dyDescent="0.2">
      <c r="A41" s="10" t="s">
        <v>357</v>
      </c>
      <c r="B41" s="11">
        <v>366</v>
      </c>
      <c r="C41" s="2">
        <v>444.36657233193802</v>
      </c>
      <c r="D41" s="2">
        <v>5.0500999999999197</v>
      </c>
      <c r="E41" s="2">
        <v>1</v>
      </c>
      <c r="F41" s="12" t="s">
        <v>412</v>
      </c>
      <c r="G41" s="12" t="s">
        <v>384</v>
      </c>
      <c r="H41" s="5"/>
      <c r="I41" s="11">
        <v>8633</v>
      </c>
      <c r="J41" s="11">
        <v>4832</v>
      </c>
      <c r="K41" s="11">
        <v>9635</v>
      </c>
      <c r="L41" s="11">
        <v>5075</v>
      </c>
      <c r="M41" s="11">
        <v>6557</v>
      </c>
      <c r="N41" s="11">
        <v>5532</v>
      </c>
      <c r="O41" s="11">
        <v>5121</v>
      </c>
      <c r="P41" s="11"/>
      <c r="Q41" s="11">
        <v>450</v>
      </c>
      <c r="R41" s="11">
        <v>1918</v>
      </c>
      <c r="S41" s="11">
        <v>576</v>
      </c>
      <c r="T41" s="11">
        <v>839</v>
      </c>
      <c r="U41" s="11">
        <v>697</v>
      </c>
      <c r="V41" s="11">
        <v>909</v>
      </c>
      <c r="W41" s="11">
        <v>583</v>
      </c>
      <c r="X41" s="11"/>
      <c r="Y41" s="11">
        <v>70</v>
      </c>
      <c r="Z41" s="11">
        <v>3857</v>
      </c>
      <c r="AA41" s="11">
        <v>3222</v>
      </c>
      <c r="AB41" s="11">
        <v>3016</v>
      </c>
      <c r="AC41" s="17">
        <f t="shared" si="11"/>
        <v>0.13026958701802363</v>
      </c>
      <c r="AD41" s="11">
        <f t="shared" si="12"/>
        <v>6483.5714285714284</v>
      </c>
      <c r="AE41" s="11">
        <f t="shared" si="13"/>
        <v>853.14285714285711</v>
      </c>
      <c r="AF41" s="28">
        <f t="shared" si="6"/>
        <v>0.13158532554808858</v>
      </c>
      <c r="AG41" s="42">
        <f t="shared" si="3"/>
        <v>1.5530479456990639E-4</v>
      </c>
      <c r="AH41" s="14" t="str">
        <f t="shared" si="14"/>
        <v>***</v>
      </c>
      <c r="AI41" s="11">
        <f t="shared" si="7"/>
        <v>50</v>
      </c>
      <c r="AJ41" s="11">
        <f t="shared" si="8"/>
        <v>50</v>
      </c>
      <c r="AK41" s="11">
        <f t="shared" si="5"/>
        <v>6.491740413022087E-4</v>
      </c>
      <c r="AL41" s="42">
        <f t="shared" si="9"/>
        <v>6.3965031662497056E-4</v>
      </c>
      <c r="AM41" s="14" t="str">
        <f t="shared" si="10"/>
        <v>**</v>
      </c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</row>
    <row r="42" spans="1:56" ht="27" customHeight="1" x14ac:dyDescent="0.2">
      <c r="A42" s="10" t="s">
        <v>357</v>
      </c>
      <c r="B42" s="11">
        <v>399</v>
      </c>
      <c r="C42" s="2">
        <v>468.36637625012702</v>
      </c>
      <c r="D42" s="2">
        <v>4.7571705128204602</v>
      </c>
      <c r="E42" s="2">
        <v>1</v>
      </c>
      <c r="F42" s="12" t="s">
        <v>416</v>
      </c>
      <c r="G42" s="12" t="s">
        <v>384</v>
      </c>
      <c r="H42" s="5"/>
      <c r="I42" s="11">
        <v>4993</v>
      </c>
      <c r="J42" s="11">
        <v>2476</v>
      </c>
      <c r="K42" s="11">
        <v>8239</v>
      </c>
      <c r="L42" s="11">
        <v>4830</v>
      </c>
      <c r="M42" s="11">
        <v>2903</v>
      </c>
      <c r="N42" s="11">
        <v>1807</v>
      </c>
      <c r="O42" s="11">
        <v>3215</v>
      </c>
      <c r="P42" s="11"/>
      <c r="Q42" s="11">
        <v>121</v>
      </c>
      <c r="R42" s="11">
        <v>1251</v>
      </c>
      <c r="S42" s="11">
        <v>210</v>
      </c>
      <c r="T42" s="11">
        <v>268</v>
      </c>
      <c r="U42" s="11">
        <v>1222</v>
      </c>
      <c r="V42" s="11">
        <v>813</v>
      </c>
      <c r="W42" s="11">
        <v>682</v>
      </c>
      <c r="X42" s="11"/>
      <c r="Y42" s="11">
        <v>9</v>
      </c>
      <c r="Z42" s="11">
        <v>2628</v>
      </c>
      <c r="AA42" s="11">
        <v>2410</v>
      </c>
      <c r="AB42" s="11">
        <v>2520</v>
      </c>
      <c r="AC42" s="17">
        <f t="shared" si="11"/>
        <v>4.3266021053690047E-2</v>
      </c>
      <c r="AD42" s="11">
        <f t="shared" si="12"/>
        <v>4066.1428571428573</v>
      </c>
      <c r="AE42" s="11">
        <f t="shared" si="13"/>
        <v>652.42857142857144</v>
      </c>
      <c r="AF42" s="28">
        <f t="shared" si="6"/>
        <v>0.16045392263640515</v>
      </c>
      <c r="AG42" s="42">
        <f t="shared" si="3"/>
        <v>5.6086140573989324E-3</v>
      </c>
      <c r="AH42" s="14" t="str">
        <f t="shared" si="14"/>
        <v>**</v>
      </c>
      <c r="AI42" s="11">
        <f t="shared" si="7"/>
        <v>108</v>
      </c>
      <c r="AJ42" s="11">
        <f t="shared" si="8"/>
        <v>108</v>
      </c>
      <c r="AK42" s="11">
        <f t="shared" si="5"/>
        <v>1.0853706833299785E-2</v>
      </c>
      <c r="AL42" s="42">
        <f t="shared" si="9"/>
        <v>1.0853706833299785E-2</v>
      </c>
      <c r="AM42" s="14" t="str">
        <f t="shared" si="10"/>
        <v>**</v>
      </c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</row>
    <row r="43" spans="1:56" ht="27" customHeight="1" x14ac:dyDescent="0.2">
      <c r="A43" s="10" t="s">
        <v>357</v>
      </c>
      <c r="B43" s="11">
        <v>469</v>
      </c>
      <c r="C43" s="2">
        <v>470.38218057496101</v>
      </c>
      <c r="D43" s="2">
        <v>5.1870730769230704</v>
      </c>
      <c r="E43" s="2">
        <v>1</v>
      </c>
      <c r="F43" s="12" t="s">
        <v>431</v>
      </c>
      <c r="G43" s="12" t="s">
        <v>384</v>
      </c>
      <c r="H43" s="5"/>
      <c r="I43" s="11">
        <v>5121</v>
      </c>
      <c r="J43" s="11">
        <v>2615</v>
      </c>
      <c r="K43" s="11">
        <v>6616</v>
      </c>
      <c r="L43" s="11">
        <v>2766</v>
      </c>
      <c r="M43" s="11">
        <v>3461</v>
      </c>
      <c r="N43" s="11">
        <v>2733</v>
      </c>
      <c r="O43" s="11">
        <v>2241</v>
      </c>
      <c r="P43" s="11"/>
      <c r="Q43" s="11">
        <v>146</v>
      </c>
      <c r="R43" s="11">
        <v>907</v>
      </c>
      <c r="S43" s="11">
        <v>243</v>
      </c>
      <c r="T43" s="11">
        <v>174</v>
      </c>
      <c r="U43" s="11">
        <v>592</v>
      </c>
      <c r="V43" s="11">
        <v>783</v>
      </c>
      <c r="W43" s="11">
        <v>372</v>
      </c>
      <c r="X43" s="11"/>
      <c r="Y43" s="11">
        <v>29</v>
      </c>
      <c r="Z43" s="11">
        <v>1960</v>
      </c>
      <c r="AA43" s="11">
        <v>1935</v>
      </c>
      <c r="AB43" s="11">
        <v>1638</v>
      </c>
      <c r="AC43" s="17">
        <f t="shared" si="11"/>
        <v>9.7122673773998289E-2</v>
      </c>
      <c r="AD43" s="11">
        <f t="shared" si="12"/>
        <v>3650.4285714285716</v>
      </c>
      <c r="AE43" s="11">
        <f t="shared" si="13"/>
        <v>459.57142857142856</v>
      </c>
      <c r="AF43" s="28">
        <f t="shared" si="6"/>
        <v>0.12589519821547371</v>
      </c>
      <c r="AG43" s="42">
        <f t="shared" si="3"/>
        <v>1.7512788607713923E-3</v>
      </c>
      <c r="AH43" s="14" t="str">
        <f t="shared" si="14"/>
        <v>**</v>
      </c>
      <c r="AI43" s="11">
        <f t="shared" si="7"/>
        <v>90</v>
      </c>
      <c r="AJ43" s="11">
        <f t="shared" si="8"/>
        <v>90</v>
      </c>
      <c r="AK43" s="11">
        <f t="shared" si="5"/>
        <v>4.0668586877913443E-3</v>
      </c>
      <c r="AL43" s="42">
        <f t="shared" si="9"/>
        <v>4.0668586877913443E-3</v>
      </c>
      <c r="AM43" s="14" t="str">
        <f t="shared" si="10"/>
        <v>**</v>
      </c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</row>
    <row r="44" spans="1:56" ht="27" customHeight="1" x14ac:dyDescent="0.2">
      <c r="A44" s="10" t="s">
        <v>357</v>
      </c>
      <c r="B44" s="11">
        <v>498</v>
      </c>
      <c r="C44" s="2">
        <v>360.27241981314802</v>
      </c>
      <c r="D44" s="2">
        <v>2.4950351851853299</v>
      </c>
      <c r="E44" s="2">
        <v>2</v>
      </c>
      <c r="F44" s="12" t="s">
        <v>432</v>
      </c>
      <c r="G44" s="12" t="s">
        <v>384</v>
      </c>
      <c r="H44" s="5"/>
      <c r="I44" s="11">
        <v>2186</v>
      </c>
      <c r="J44" s="11">
        <v>2694</v>
      </c>
      <c r="K44" s="11">
        <v>4547</v>
      </c>
      <c r="L44" s="11">
        <v>5833</v>
      </c>
      <c r="M44" s="11">
        <v>2608</v>
      </c>
      <c r="N44" s="11">
        <v>2591</v>
      </c>
      <c r="O44" s="11">
        <v>1910</v>
      </c>
      <c r="P44" s="11"/>
      <c r="Q44" s="11">
        <v>316</v>
      </c>
      <c r="R44" s="11">
        <v>1952</v>
      </c>
      <c r="S44" s="11">
        <v>562</v>
      </c>
      <c r="T44" s="11">
        <v>478</v>
      </c>
      <c r="U44" s="11">
        <v>647</v>
      </c>
      <c r="V44" s="11">
        <v>896</v>
      </c>
      <c r="W44" s="11">
        <v>931</v>
      </c>
      <c r="X44" s="11"/>
      <c r="Y44" s="11">
        <v>223</v>
      </c>
      <c r="Z44" s="11">
        <v>2022</v>
      </c>
      <c r="AA44" s="11">
        <v>2205</v>
      </c>
      <c r="AB44" s="11">
        <v>1904</v>
      </c>
      <c r="AC44" s="17">
        <f t="shared" si="11"/>
        <v>7.4212298870391769E-2</v>
      </c>
      <c r="AD44" s="11">
        <f t="shared" si="12"/>
        <v>3195.5714285714284</v>
      </c>
      <c r="AE44" s="11">
        <f t="shared" si="13"/>
        <v>826</v>
      </c>
      <c r="AF44" s="28">
        <f t="shared" si="6"/>
        <v>0.25848272162367564</v>
      </c>
      <c r="AG44" s="42">
        <f t="shared" si="3"/>
        <v>3.8722180508519301E-3</v>
      </c>
      <c r="AH44" s="14" t="str">
        <f t="shared" si="14"/>
        <v>**</v>
      </c>
      <c r="AI44" s="11">
        <f t="shared" si="7"/>
        <v>102</v>
      </c>
      <c r="AJ44" s="11">
        <f t="shared" si="8"/>
        <v>102</v>
      </c>
      <c r="AK44" s="11">
        <f t="shared" si="5"/>
        <v>7.9342507120397383E-3</v>
      </c>
      <c r="AL44" s="42">
        <f t="shared" si="9"/>
        <v>7.9342507120397383E-3</v>
      </c>
      <c r="AM44" s="14" t="str">
        <f t="shared" si="10"/>
        <v>**</v>
      </c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</row>
    <row r="45" spans="1:56" ht="27" customHeight="1" x14ac:dyDescent="0.2">
      <c r="A45" s="10" t="s">
        <v>357</v>
      </c>
      <c r="B45" s="11">
        <v>656</v>
      </c>
      <c r="C45" s="2">
        <v>490.35005073032499</v>
      </c>
      <c r="D45" s="2">
        <v>4.3937598039215802</v>
      </c>
      <c r="E45" s="2">
        <v>1</v>
      </c>
      <c r="F45" s="12" t="s">
        <v>444</v>
      </c>
      <c r="G45" s="12" t="s">
        <v>384</v>
      </c>
      <c r="H45" s="5"/>
      <c r="I45" s="11">
        <v>4012</v>
      </c>
      <c r="J45" s="11">
        <v>2659</v>
      </c>
      <c r="K45" s="11">
        <v>3171</v>
      </c>
      <c r="L45" s="11">
        <v>1757</v>
      </c>
      <c r="M45" s="11">
        <v>2885</v>
      </c>
      <c r="N45" s="11">
        <v>1716</v>
      </c>
      <c r="O45" s="11">
        <v>1640</v>
      </c>
      <c r="P45" s="11"/>
      <c r="Q45" s="11">
        <v>1274</v>
      </c>
      <c r="R45" s="11">
        <v>2776</v>
      </c>
      <c r="S45" s="11">
        <v>1162</v>
      </c>
      <c r="T45" s="11">
        <v>542</v>
      </c>
      <c r="U45" s="11">
        <v>461</v>
      </c>
      <c r="V45" s="11">
        <v>1700</v>
      </c>
      <c r="W45" s="11">
        <v>1591</v>
      </c>
      <c r="X45" s="11"/>
      <c r="Y45" s="11">
        <v>30</v>
      </c>
      <c r="Z45" s="11">
        <v>2145</v>
      </c>
      <c r="AA45" s="11">
        <v>1819</v>
      </c>
      <c r="AB45" s="11">
        <v>1778</v>
      </c>
      <c r="AC45" s="17">
        <f t="shared" si="11"/>
        <v>0.10506764779050565</v>
      </c>
      <c r="AD45" s="11">
        <f t="shared" si="12"/>
        <v>2548.5714285714284</v>
      </c>
      <c r="AE45" s="11">
        <f t="shared" si="13"/>
        <v>1358</v>
      </c>
      <c r="AF45" s="28">
        <f t="shared" si="6"/>
        <v>0.53284753363228698</v>
      </c>
      <c r="AG45" s="42">
        <f t="shared" si="3"/>
        <v>2.1560668720894426E-2</v>
      </c>
      <c r="AH45" s="14" t="str">
        <f t="shared" si="14"/>
        <v>*</v>
      </c>
      <c r="AI45" s="11">
        <f t="shared" si="7"/>
        <v>138</v>
      </c>
      <c r="AJ45" s="11">
        <f t="shared" si="8"/>
        <v>138</v>
      </c>
      <c r="AK45" s="11">
        <f t="shared" si="5"/>
        <v>3.2653476541064749E-2</v>
      </c>
      <c r="AL45" s="42">
        <f t="shared" si="9"/>
        <v>3.2653476541064749E-2</v>
      </c>
      <c r="AM45" s="14" t="str">
        <f t="shared" si="10"/>
        <v>**</v>
      </c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</row>
    <row r="46" spans="1:56" ht="27" customHeight="1" x14ac:dyDescent="0.2">
      <c r="A46" s="10" t="s">
        <v>357</v>
      </c>
      <c r="B46" s="11">
        <v>705</v>
      </c>
      <c r="C46" s="2">
        <v>386.28800412271403</v>
      </c>
      <c r="D46" s="2">
        <v>2.9470749999999999</v>
      </c>
      <c r="E46" s="2">
        <v>1</v>
      </c>
      <c r="F46" s="12" t="s">
        <v>436</v>
      </c>
      <c r="G46" s="12" t="s">
        <v>384</v>
      </c>
      <c r="H46" s="5"/>
      <c r="I46" s="11">
        <v>1342</v>
      </c>
      <c r="J46" s="11">
        <v>1691</v>
      </c>
      <c r="K46" s="11">
        <v>3622</v>
      </c>
      <c r="L46" s="11">
        <v>3312</v>
      </c>
      <c r="M46" s="11">
        <v>2065</v>
      </c>
      <c r="N46" s="11">
        <v>1239</v>
      </c>
      <c r="O46" s="11">
        <v>1103</v>
      </c>
      <c r="P46" s="11"/>
      <c r="Q46" s="11">
        <v>191</v>
      </c>
      <c r="R46" s="11">
        <v>1138</v>
      </c>
      <c r="S46" s="11">
        <v>534</v>
      </c>
      <c r="T46" s="11">
        <v>379</v>
      </c>
      <c r="U46" s="11">
        <v>483</v>
      </c>
      <c r="V46" s="11">
        <v>712</v>
      </c>
      <c r="W46" s="11">
        <v>1008</v>
      </c>
      <c r="X46" s="11"/>
      <c r="Y46" s="11">
        <v>14</v>
      </c>
      <c r="Z46" s="11">
        <v>1448</v>
      </c>
      <c r="AA46" s="11">
        <v>985</v>
      </c>
      <c r="AB46" s="11">
        <v>1300</v>
      </c>
      <c r="AC46" s="17">
        <f t="shared" si="11"/>
        <v>0.19003456775859276</v>
      </c>
      <c r="AD46" s="11">
        <f t="shared" si="12"/>
        <v>2053.4285714285716</v>
      </c>
      <c r="AE46" s="11">
        <f t="shared" si="13"/>
        <v>635</v>
      </c>
      <c r="AF46" s="28">
        <f t="shared" si="6"/>
        <v>0.30923890357590089</v>
      </c>
      <c r="AG46" s="42">
        <f t="shared" si="3"/>
        <v>9.4558202027633636E-3</v>
      </c>
      <c r="AH46" s="14" t="str">
        <f t="shared" si="14"/>
        <v>**</v>
      </c>
      <c r="AI46" s="11">
        <f t="shared" si="7"/>
        <v>121</v>
      </c>
      <c r="AJ46" s="11">
        <f t="shared" si="8"/>
        <v>121</v>
      </c>
      <c r="AK46" s="11">
        <f t="shared" si="5"/>
        <v>1.633278035022763E-2</v>
      </c>
      <c r="AL46" s="42">
        <f t="shared" si="9"/>
        <v>1.633278035022763E-2</v>
      </c>
      <c r="AM46" s="14" t="str">
        <f t="shared" si="10"/>
        <v>**</v>
      </c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</row>
    <row r="47" spans="1:56" ht="27" customHeight="1" x14ac:dyDescent="0.2">
      <c r="A47" s="10" t="s">
        <v>357</v>
      </c>
      <c r="B47" s="11">
        <v>1220</v>
      </c>
      <c r="C47" s="2">
        <v>386.28773929179403</v>
      </c>
      <c r="D47" s="2">
        <v>3.1039249999999998</v>
      </c>
      <c r="E47" s="2">
        <v>1</v>
      </c>
      <c r="F47" s="12" t="s">
        <v>436</v>
      </c>
      <c r="G47" s="12" t="s">
        <v>384</v>
      </c>
      <c r="H47" s="5"/>
      <c r="I47" s="11">
        <v>1294</v>
      </c>
      <c r="J47" s="11">
        <v>1130</v>
      </c>
      <c r="K47" s="11">
        <v>2284</v>
      </c>
      <c r="L47" s="11">
        <v>1384</v>
      </c>
      <c r="M47" s="11">
        <v>1190</v>
      </c>
      <c r="N47" s="11">
        <v>1731</v>
      </c>
      <c r="O47" s="11">
        <v>679</v>
      </c>
      <c r="P47" s="11"/>
      <c r="Q47" s="11">
        <v>177</v>
      </c>
      <c r="R47" s="11">
        <v>801</v>
      </c>
      <c r="S47" s="11">
        <v>591</v>
      </c>
      <c r="T47" s="11">
        <v>259</v>
      </c>
      <c r="U47" s="11">
        <v>331</v>
      </c>
      <c r="V47" s="11">
        <v>623</v>
      </c>
      <c r="W47" s="11">
        <v>542</v>
      </c>
      <c r="X47" s="11"/>
      <c r="Y47" s="11">
        <v>28</v>
      </c>
      <c r="Z47" s="11">
        <v>933</v>
      </c>
      <c r="AA47" s="11">
        <v>985</v>
      </c>
      <c r="AB47" s="11">
        <v>858</v>
      </c>
      <c r="AC47" s="17">
        <f t="shared" si="11"/>
        <v>6.8998021569761842E-2</v>
      </c>
      <c r="AD47" s="11">
        <f t="shared" si="12"/>
        <v>1384.5714285714287</v>
      </c>
      <c r="AE47" s="11">
        <f t="shared" si="13"/>
        <v>474.85714285714283</v>
      </c>
      <c r="AF47" s="28">
        <f t="shared" si="6"/>
        <v>0.342963268675196</v>
      </c>
      <c r="AG47" s="42">
        <f t="shared" si="3"/>
        <v>2.2708714951609091E-3</v>
      </c>
      <c r="AH47" s="14" t="str">
        <f t="shared" si="14"/>
        <v>**</v>
      </c>
      <c r="AI47" s="11">
        <f t="shared" si="7"/>
        <v>94</v>
      </c>
      <c r="AJ47" s="11">
        <f t="shared" si="8"/>
        <v>94</v>
      </c>
      <c r="AK47" s="11">
        <f t="shared" si="5"/>
        <v>5.0490653456237234E-3</v>
      </c>
      <c r="AL47" s="42">
        <f t="shared" si="9"/>
        <v>5.0490653456237234E-3</v>
      </c>
      <c r="AM47" s="14" t="str">
        <f t="shared" si="10"/>
        <v>**</v>
      </c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</row>
    <row r="48" spans="1:56" ht="27" customHeight="1" x14ac:dyDescent="0.2">
      <c r="A48" s="10" t="s">
        <v>357</v>
      </c>
      <c r="B48" s="11">
        <v>1531</v>
      </c>
      <c r="C48" s="2">
        <v>438.31848949660099</v>
      </c>
      <c r="D48" s="2">
        <v>3.6592714285714201</v>
      </c>
      <c r="E48" s="2">
        <v>1</v>
      </c>
      <c r="F48" s="12" t="s">
        <v>628</v>
      </c>
      <c r="G48" s="12" t="s">
        <v>384</v>
      </c>
      <c r="H48" s="5"/>
      <c r="I48" s="11">
        <v>1058</v>
      </c>
      <c r="J48" s="11">
        <v>920</v>
      </c>
      <c r="K48" s="11">
        <v>1279</v>
      </c>
      <c r="L48" s="11">
        <v>898</v>
      </c>
      <c r="M48" s="11">
        <v>547</v>
      </c>
      <c r="N48" s="11">
        <v>771</v>
      </c>
      <c r="O48" s="11">
        <v>558</v>
      </c>
      <c r="P48" s="11"/>
      <c r="Q48" s="11">
        <v>56</v>
      </c>
      <c r="R48" s="11">
        <v>377</v>
      </c>
      <c r="S48" s="11">
        <v>213</v>
      </c>
      <c r="T48" s="11">
        <v>126</v>
      </c>
      <c r="U48" s="11">
        <v>453</v>
      </c>
      <c r="V48" s="11">
        <v>172</v>
      </c>
      <c r="W48" s="11">
        <v>118</v>
      </c>
      <c r="X48" s="11"/>
      <c r="Y48" s="11">
        <v>88</v>
      </c>
      <c r="Z48" s="11">
        <v>591</v>
      </c>
      <c r="AA48" s="11">
        <v>649</v>
      </c>
      <c r="AB48" s="11">
        <v>734</v>
      </c>
      <c r="AC48" s="17">
        <f t="shared" si="11"/>
        <v>0.10930633821490281</v>
      </c>
      <c r="AD48" s="11">
        <f t="shared" si="12"/>
        <v>861.57142857142856</v>
      </c>
      <c r="AE48" s="11">
        <f t="shared" si="13"/>
        <v>216.42857142857142</v>
      </c>
      <c r="AF48" s="28">
        <f t="shared" si="6"/>
        <v>0.25120212236776651</v>
      </c>
      <c r="AG48" s="42">
        <f t="shared" si="3"/>
        <v>2.6606138208964736E-4</v>
      </c>
      <c r="AH48" s="14" t="str">
        <f t="shared" si="14"/>
        <v>***</v>
      </c>
      <c r="AI48" s="11">
        <f t="shared" si="7"/>
        <v>57</v>
      </c>
      <c r="AJ48" s="11">
        <f t="shared" si="8"/>
        <v>57</v>
      </c>
      <c r="AK48" s="11">
        <f t="shared" si="5"/>
        <v>9.7555840099537358E-4</v>
      </c>
      <c r="AL48" s="42">
        <f t="shared" si="9"/>
        <v>9.7555840099537358E-4</v>
      </c>
      <c r="AM48" s="14" t="str">
        <f t="shared" si="10"/>
        <v>**</v>
      </c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</row>
    <row r="49" spans="1:56" ht="27" customHeight="1" x14ac:dyDescent="0.2">
      <c r="A49" s="10" t="s">
        <v>357</v>
      </c>
      <c r="B49" s="11">
        <v>1649</v>
      </c>
      <c r="C49" s="2">
        <v>496.39678314588502</v>
      </c>
      <c r="D49" s="2">
        <v>5.3537541666664996</v>
      </c>
      <c r="E49" s="2">
        <v>1</v>
      </c>
      <c r="F49" s="12" t="s">
        <v>479</v>
      </c>
      <c r="G49" s="12" t="s">
        <v>384</v>
      </c>
      <c r="H49" s="5"/>
      <c r="I49" s="11">
        <v>501</v>
      </c>
      <c r="J49" s="11">
        <v>522</v>
      </c>
      <c r="K49" s="11">
        <v>1171</v>
      </c>
      <c r="L49" s="11">
        <v>664</v>
      </c>
      <c r="M49" s="11">
        <v>204</v>
      </c>
      <c r="N49" s="11">
        <v>236</v>
      </c>
      <c r="O49" s="11">
        <v>519</v>
      </c>
      <c r="P49" s="11"/>
      <c r="Q49" s="11">
        <v>35</v>
      </c>
      <c r="R49" s="11">
        <v>127</v>
      </c>
      <c r="S49" s="11">
        <v>32</v>
      </c>
      <c r="T49" s="11">
        <v>69</v>
      </c>
      <c r="U49" s="11">
        <v>258</v>
      </c>
      <c r="V49" s="11">
        <v>167</v>
      </c>
      <c r="W49" s="11">
        <v>81</v>
      </c>
      <c r="X49" s="11"/>
      <c r="Y49" s="11">
        <v>28</v>
      </c>
      <c r="Z49" s="11">
        <v>278</v>
      </c>
      <c r="AA49" s="11">
        <v>231</v>
      </c>
      <c r="AB49" s="11">
        <v>273</v>
      </c>
      <c r="AC49" s="17">
        <f t="shared" si="11"/>
        <v>9.9028516094881544E-2</v>
      </c>
      <c r="AD49" s="11">
        <f t="shared" si="12"/>
        <v>545.28571428571433</v>
      </c>
      <c r="AE49" s="11">
        <f t="shared" si="13"/>
        <v>109.85714285714286</v>
      </c>
      <c r="AF49" s="28">
        <f t="shared" si="6"/>
        <v>0.20146712077547813</v>
      </c>
      <c r="AG49" s="42">
        <f t="shared" si="3"/>
        <v>1.0960165989665772E-2</v>
      </c>
      <c r="AH49" s="14" t="str">
        <f t="shared" si="14"/>
        <v>*</v>
      </c>
      <c r="AI49" s="11">
        <f t="shared" si="7"/>
        <v>124</v>
      </c>
      <c r="AJ49" s="11">
        <f t="shared" si="8"/>
        <v>124</v>
      </c>
      <c r="AK49" s="11">
        <f t="shared" si="5"/>
        <v>1.8473182998710855E-2</v>
      </c>
      <c r="AL49" s="42">
        <f t="shared" si="9"/>
        <v>1.8473182998710855E-2</v>
      </c>
      <c r="AM49" s="14" t="str">
        <f t="shared" si="10"/>
        <v>**</v>
      </c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</row>
    <row r="50" spans="1:56" ht="27" customHeight="1" x14ac:dyDescent="0.2">
      <c r="A50" s="10" t="s">
        <v>357</v>
      </c>
      <c r="B50" s="11">
        <v>2122</v>
      </c>
      <c r="C50" s="2">
        <v>472.39849178717202</v>
      </c>
      <c r="D50" s="2">
        <v>5.6627257575757204</v>
      </c>
      <c r="E50" s="2">
        <v>1</v>
      </c>
      <c r="F50" s="12" t="s">
        <v>642</v>
      </c>
      <c r="G50" s="12" t="s">
        <v>384</v>
      </c>
      <c r="H50" s="5"/>
      <c r="I50" s="11">
        <v>844</v>
      </c>
      <c r="J50" s="11">
        <v>529</v>
      </c>
      <c r="K50" s="11">
        <v>854</v>
      </c>
      <c r="L50" s="11">
        <v>601</v>
      </c>
      <c r="M50" s="11">
        <v>502</v>
      </c>
      <c r="N50" s="11">
        <v>457</v>
      </c>
      <c r="O50" s="11">
        <v>640</v>
      </c>
      <c r="P50" s="11"/>
      <c r="Q50" s="11">
        <v>66</v>
      </c>
      <c r="R50" s="11">
        <v>165</v>
      </c>
      <c r="S50" s="11">
        <v>89</v>
      </c>
      <c r="T50" s="11">
        <v>66</v>
      </c>
      <c r="U50" s="11">
        <v>100</v>
      </c>
      <c r="V50" s="11">
        <v>142</v>
      </c>
      <c r="W50" s="11">
        <v>24</v>
      </c>
      <c r="X50" s="11"/>
      <c r="Y50" s="11">
        <v>10</v>
      </c>
      <c r="Z50" s="11">
        <v>427</v>
      </c>
      <c r="AA50" s="11">
        <v>295</v>
      </c>
      <c r="AB50" s="11">
        <v>274</v>
      </c>
      <c r="AC50" s="17">
        <f t="shared" si="11"/>
        <v>0.24981848541860199</v>
      </c>
      <c r="AD50" s="11">
        <f t="shared" si="12"/>
        <v>632.42857142857144</v>
      </c>
      <c r="AE50" s="11">
        <f t="shared" si="13"/>
        <v>93.142857142857139</v>
      </c>
      <c r="AF50" s="28">
        <f t="shared" si="6"/>
        <v>0.14727806641066185</v>
      </c>
      <c r="AG50" s="42">
        <f t="shared" si="3"/>
        <v>5.6049312825602517E-5</v>
      </c>
      <c r="AH50" s="14" t="str">
        <f t="shared" si="14"/>
        <v>***</v>
      </c>
      <c r="AI50" s="11">
        <f t="shared" si="7"/>
        <v>29</v>
      </c>
      <c r="AJ50" s="11">
        <f t="shared" si="8"/>
        <v>29</v>
      </c>
      <c r="AK50" s="11">
        <f t="shared" si="5"/>
        <v>4.0394159932934229E-4</v>
      </c>
      <c r="AL50" s="42">
        <f t="shared" si="9"/>
        <v>4.0394159932934229E-4</v>
      </c>
      <c r="AM50" s="14" t="str">
        <f t="shared" si="10"/>
        <v>**</v>
      </c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</row>
    <row r="51" spans="1:56" ht="27" customHeight="1" x14ac:dyDescent="0.2">
      <c r="A51" s="10" t="s">
        <v>357</v>
      </c>
      <c r="B51" s="11">
        <v>3192</v>
      </c>
      <c r="C51" s="2">
        <v>464.33497897710902</v>
      </c>
      <c r="D51" s="2">
        <v>4.018588095238</v>
      </c>
      <c r="E51" s="2">
        <v>1</v>
      </c>
      <c r="F51" s="12" t="s">
        <v>652</v>
      </c>
      <c r="G51" s="12" t="s">
        <v>384</v>
      </c>
      <c r="H51" s="5"/>
      <c r="I51" s="11">
        <v>499</v>
      </c>
      <c r="J51" s="11">
        <v>360</v>
      </c>
      <c r="K51" s="11">
        <v>328</v>
      </c>
      <c r="L51" s="11">
        <v>307</v>
      </c>
      <c r="M51" s="11">
        <v>449</v>
      </c>
      <c r="N51" s="11">
        <v>479</v>
      </c>
      <c r="O51" s="11">
        <v>338</v>
      </c>
      <c r="P51" s="11"/>
      <c r="Q51" s="11">
        <v>44</v>
      </c>
      <c r="R51" s="11">
        <v>415</v>
      </c>
      <c r="S51" s="11">
        <v>91</v>
      </c>
      <c r="T51" s="11">
        <v>47</v>
      </c>
      <c r="U51" s="11">
        <v>14</v>
      </c>
      <c r="V51" s="11">
        <v>54</v>
      </c>
      <c r="W51" s="11">
        <v>87</v>
      </c>
      <c r="X51" s="11"/>
      <c r="Y51" s="11">
        <v>31</v>
      </c>
      <c r="Z51" s="11">
        <v>372</v>
      </c>
      <c r="AA51" s="11">
        <v>270</v>
      </c>
      <c r="AB51" s="11">
        <v>352</v>
      </c>
      <c r="AC51" s="17">
        <f t="shared" si="11"/>
        <v>0.16312684151878737</v>
      </c>
      <c r="AD51" s="11">
        <f t="shared" si="12"/>
        <v>394.28571428571428</v>
      </c>
      <c r="AE51" s="11">
        <f t="shared" si="13"/>
        <v>107.42857142857143</v>
      </c>
      <c r="AF51" s="28">
        <f t="shared" si="6"/>
        <v>0.27246376811594203</v>
      </c>
      <c r="AG51" s="42">
        <f t="shared" si="3"/>
        <v>8.6409508723647266E-4</v>
      </c>
      <c r="AH51" s="14" t="str">
        <f t="shared" si="14"/>
        <v>***</v>
      </c>
      <c r="AI51" s="11">
        <f t="shared" si="7"/>
        <v>81</v>
      </c>
      <c r="AJ51" s="11">
        <f t="shared" si="8"/>
        <v>81</v>
      </c>
      <c r="AK51" s="11">
        <f t="shared" si="5"/>
        <v>2.2295786818817627E-3</v>
      </c>
      <c r="AL51" s="42">
        <f t="shared" si="9"/>
        <v>2.2030456822506625E-3</v>
      </c>
      <c r="AM51" s="14" t="str">
        <f t="shared" si="10"/>
        <v>**</v>
      </c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</row>
    <row r="52" spans="1:56" ht="27" customHeight="1" x14ac:dyDescent="0.2">
      <c r="A52" s="10" t="s">
        <v>357</v>
      </c>
      <c r="B52" s="11">
        <v>240</v>
      </c>
      <c r="C52" s="2">
        <v>636.55495636797502</v>
      </c>
      <c r="D52" s="2">
        <v>9.5552302083332492</v>
      </c>
      <c r="E52" s="2">
        <v>1</v>
      </c>
      <c r="F52" s="12" t="s">
        <v>403</v>
      </c>
      <c r="G52" s="12" t="s">
        <v>404</v>
      </c>
      <c r="H52" s="5"/>
      <c r="I52" s="11">
        <v>13432</v>
      </c>
      <c r="J52" s="11">
        <v>9057</v>
      </c>
      <c r="K52" s="11">
        <v>17245</v>
      </c>
      <c r="L52" s="11">
        <v>7603</v>
      </c>
      <c r="M52" s="11">
        <v>8183</v>
      </c>
      <c r="N52" s="11">
        <v>15379</v>
      </c>
      <c r="O52" s="11">
        <v>11879</v>
      </c>
      <c r="P52" s="11"/>
      <c r="Q52" s="11">
        <v>3215</v>
      </c>
      <c r="R52" s="11">
        <v>12464</v>
      </c>
      <c r="S52" s="11">
        <v>5758</v>
      </c>
      <c r="T52" s="11">
        <v>5528</v>
      </c>
      <c r="U52" s="11">
        <v>11377</v>
      </c>
      <c r="V52" s="11">
        <v>4380</v>
      </c>
      <c r="W52" s="11">
        <v>10150</v>
      </c>
      <c r="X52" s="11"/>
      <c r="Y52" s="11">
        <v>2014</v>
      </c>
      <c r="Z52" s="11">
        <v>9555</v>
      </c>
      <c r="AA52" s="11">
        <v>8874</v>
      </c>
      <c r="AB52" s="11">
        <v>7571</v>
      </c>
      <c r="AC52" s="17">
        <f t="shared" si="11"/>
        <v>0.11632144683626851</v>
      </c>
      <c r="AD52" s="11">
        <f t="shared" si="12"/>
        <v>11825.428571428571</v>
      </c>
      <c r="AE52" s="11">
        <f t="shared" si="13"/>
        <v>7553.1428571428569</v>
      </c>
      <c r="AF52" s="28">
        <f t="shared" si="6"/>
        <v>0.63872043296528069</v>
      </c>
      <c r="AG52" s="42">
        <f t="shared" si="3"/>
        <v>5.215644017648198E-2</v>
      </c>
      <c r="AH52" s="14" t="str">
        <f t="shared" si="14"/>
        <v>-</v>
      </c>
      <c r="AI52" s="11">
        <f t="shared" si="7"/>
        <v>146</v>
      </c>
      <c r="AJ52" s="11">
        <f t="shared" si="8"/>
        <v>146</v>
      </c>
      <c r="AK52" s="11">
        <f t="shared" si="5"/>
        <v>7.466230134852557E-2</v>
      </c>
      <c r="AL52" s="42">
        <f t="shared" si="9"/>
        <v>7.466230134852557E-2</v>
      </c>
      <c r="AM52" s="14" t="str">
        <f t="shared" si="10"/>
        <v>*</v>
      </c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</row>
    <row r="53" spans="1:56" ht="27" customHeight="1" x14ac:dyDescent="0.2">
      <c r="A53" s="10" t="s">
        <v>357</v>
      </c>
      <c r="B53" s="11">
        <v>244</v>
      </c>
      <c r="C53" s="2">
        <v>634.53923789181295</v>
      </c>
      <c r="D53" s="2">
        <v>9.02469705882352</v>
      </c>
      <c r="E53" s="2">
        <v>1</v>
      </c>
      <c r="F53" s="12" t="s">
        <v>405</v>
      </c>
      <c r="G53" s="12" t="s">
        <v>404</v>
      </c>
      <c r="H53" s="5"/>
      <c r="I53" s="11">
        <v>13558</v>
      </c>
      <c r="J53" s="11">
        <v>10082</v>
      </c>
      <c r="K53" s="11">
        <v>17034</v>
      </c>
      <c r="L53" s="11">
        <v>8491</v>
      </c>
      <c r="M53" s="11">
        <v>7479</v>
      </c>
      <c r="N53" s="11">
        <v>16583</v>
      </c>
      <c r="O53" s="11">
        <v>13656</v>
      </c>
      <c r="P53" s="11"/>
      <c r="Q53" s="11">
        <v>2374</v>
      </c>
      <c r="R53" s="11">
        <v>9821</v>
      </c>
      <c r="S53" s="11">
        <v>5254</v>
      </c>
      <c r="T53" s="11">
        <v>4815</v>
      </c>
      <c r="U53" s="11">
        <v>11782</v>
      </c>
      <c r="V53" s="11">
        <v>3891</v>
      </c>
      <c r="W53" s="11">
        <v>8417</v>
      </c>
      <c r="X53" s="11"/>
      <c r="Y53" s="11">
        <v>18</v>
      </c>
      <c r="Z53" s="11">
        <v>9187</v>
      </c>
      <c r="AA53" s="11">
        <v>8487</v>
      </c>
      <c r="AB53" s="11">
        <v>6635</v>
      </c>
      <c r="AC53" s="17">
        <f t="shared" si="11"/>
        <v>0.16273275635454232</v>
      </c>
      <c r="AD53" s="11">
        <f t="shared" si="12"/>
        <v>12411.857142857143</v>
      </c>
      <c r="AE53" s="11">
        <f t="shared" si="13"/>
        <v>6622</v>
      </c>
      <c r="AF53" s="28">
        <f t="shared" si="6"/>
        <v>0.53352209292957198</v>
      </c>
      <c r="AG53" s="42">
        <f t="shared" si="3"/>
        <v>1.1387970131814791E-2</v>
      </c>
      <c r="AH53" s="14" t="str">
        <f t="shared" si="14"/>
        <v>*</v>
      </c>
      <c r="AI53" s="11">
        <f t="shared" si="7"/>
        <v>126</v>
      </c>
      <c r="AJ53" s="11">
        <f t="shared" si="8"/>
        <v>126</v>
      </c>
      <c r="AK53" s="11">
        <f t="shared" si="5"/>
        <v>1.8889569504359452E-2</v>
      </c>
      <c r="AL53" s="42">
        <f t="shared" si="9"/>
        <v>1.8889569504359452E-2</v>
      </c>
      <c r="AM53" s="14" t="str">
        <f t="shared" si="10"/>
        <v>**</v>
      </c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</row>
    <row r="54" spans="1:56" ht="27" customHeight="1" x14ac:dyDescent="0.2">
      <c r="A54" s="10" t="s">
        <v>357</v>
      </c>
      <c r="B54" s="11">
        <v>275</v>
      </c>
      <c r="C54" s="2">
        <v>658.53879272434597</v>
      </c>
      <c r="D54" s="2">
        <v>9.3145147058824591</v>
      </c>
      <c r="E54" s="2">
        <v>1</v>
      </c>
      <c r="F54" s="12" t="s">
        <v>434</v>
      </c>
      <c r="G54" s="12" t="s">
        <v>404</v>
      </c>
      <c r="H54" s="5"/>
      <c r="I54" s="11">
        <v>4826</v>
      </c>
      <c r="J54" s="11">
        <v>4988</v>
      </c>
      <c r="K54" s="11">
        <v>8969</v>
      </c>
      <c r="L54" s="11">
        <v>4661</v>
      </c>
      <c r="M54" s="11">
        <v>4129</v>
      </c>
      <c r="N54" s="11">
        <v>5842</v>
      </c>
      <c r="O54" s="11">
        <v>10054</v>
      </c>
      <c r="P54" s="11"/>
      <c r="Q54" s="11">
        <v>4403</v>
      </c>
      <c r="R54" s="11">
        <v>14500</v>
      </c>
      <c r="S54" s="11">
        <v>6196</v>
      </c>
      <c r="T54" s="11">
        <v>7457</v>
      </c>
      <c r="U54" s="11">
        <v>8414</v>
      </c>
      <c r="V54" s="11">
        <v>7112</v>
      </c>
      <c r="W54" s="11">
        <v>12225</v>
      </c>
      <c r="X54" s="11"/>
      <c r="Y54" s="11">
        <v>69</v>
      </c>
      <c r="Z54" s="11">
        <v>7518</v>
      </c>
      <c r="AA54" s="11">
        <v>6737</v>
      </c>
      <c r="AB54" s="11">
        <v>4915</v>
      </c>
      <c r="AC54" s="17">
        <f t="shared" si="11"/>
        <v>0.20903644201510846</v>
      </c>
      <c r="AD54" s="11">
        <f t="shared" si="12"/>
        <v>6209.8571428571431</v>
      </c>
      <c r="AE54" s="11">
        <f t="shared" si="13"/>
        <v>8615.2857142857138</v>
      </c>
      <c r="AF54" s="28">
        <f t="shared" si="6"/>
        <v>1.3873565069359772</v>
      </c>
      <c r="AG54" s="42">
        <f t="shared" si="3"/>
        <v>0.16256312232841691</v>
      </c>
      <c r="AH54" s="14" t="str">
        <f t="shared" si="14"/>
        <v>-</v>
      </c>
      <c r="AI54" s="11">
        <f t="shared" si="7"/>
        <v>167</v>
      </c>
      <c r="AJ54" s="11">
        <f t="shared" si="8"/>
        <v>167</v>
      </c>
      <c r="AK54" s="11">
        <f t="shared" si="5"/>
        <v>0.20344726087807863</v>
      </c>
      <c r="AL54" s="42">
        <f t="shared" si="9"/>
        <v>0.20344726087807863</v>
      </c>
      <c r="AM54" s="14" t="str">
        <f t="shared" si="10"/>
        <v/>
      </c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</row>
    <row r="55" spans="1:56" ht="27" customHeight="1" x14ac:dyDescent="0.2">
      <c r="A55" s="10" t="s">
        <v>357</v>
      </c>
      <c r="B55" s="11">
        <v>290</v>
      </c>
      <c r="C55" s="2">
        <v>682.53912153416002</v>
      </c>
      <c r="D55" s="2">
        <v>8.8809755555556595</v>
      </c>
      <c r="E55" s="2">
        <v>1</v>
      </c>
      <c r="F55" s="12" t="s">
        <v>430</v>
      </c>
      <c r="G55" s="12" t="s">
        <v>404</v>
      </c>
      <c r="H55" s="5"/>
      <c r="I55" s="11">
        <v>7099</v>
      </c>
      <c r="J55" s="11">
        <v>8325</v>
      </c>
      <c r="K55" s="11">
        <v>11186</v>
      </c>
      <c r="L55" s="11">
        <v>5915</v>
      </c>
      <c r="M55" s="11">
        <v>5472</v>
      </c>
      <c r="N55" s="11">
        <v>10058</v>
      </c>
      <c r="O55" s="11">
        <v>10044</v>
      </c>
      <c r="P55" s="11"/>
      <c r="Q55" s="11">
        <v>3855</v>
      </c>
      <c r="R55" s="11">
        <v>13396</v>
      </c>
      <c r="S55" s="11">
        <v>6192</v>
      </c>
      <c r="T55" s="11">
        <v>7073</v>
      </c>
      <c r="U55" s="11">
        <v>6715</v>
      </c>
      <c r="V55" s="11">
        <v>4711</v>
      </c>
      <c r="W55" s="11">
        <v>10073</v>
      </c>
      <c r="X55" s="11"/>
      <c r="Y55" s="11">
        <v>17</v>
      </c>
      <c r="Z55" s="11">
        <v>6852</v>
      </c>
      <c r="AA55" s="11">
        <v>7630</v>
      </c>
      <c r="AB55" s="11">
        <v>6046</v>
      </c>
      <c r="AC55" s="17">
        <f t="shared" si="11"/>
        <v>0.11575037676110221</v>
      </c>
      <c r="AD55" s="11">
        <f t="shared" si="12"/>
        <v>8299.8571428571431</v>
      </c>
      <c r="AE55" s="11">
        <f t="shared" si="13"/>
        <v>7430.7142857142853</v>
      </c>
      <c r="AF55" s="28">
        <f t="shared" si="6"/>
        <v>0.89528219074338622</v>
      </c>
      <c r="AG55" s="42">
        <f t="shared" si="3"/>
        <v>0.57451504578313073</v>
      </c>
      <c r="AH55" s="14" t="str">
        <f t="shared" si="14"/>
        <v>-</v>
      </c>
      <c r="AI55" s="11">
        <f t="shared" si="7"/>
        <v>191</v>
      </c>
      <c r="AJ55" s="11">
        <f t="shared" si="8"/>
        <v>191</v>
      </c>
      <c r="AK55" s="11">
        <f t="shared" si="5"/>
        <v>0.62865782496688127</v>
      </c>
      <c r="AL55" s="42">
        <f t="shared" si="9"/>
        <v>0.62865782496688127</v>
      </c>
      <c r="AM55" s="14" t="str">
        <f t="shared" si="10"/>
        <v/>
      </c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</row>
    <row r="56" spans="1:56" ht="27" customHeight="1" x14ac:dyDescent="0.2">
      <c r="A56" s="10" t="s">
        <v>357</v>
      </c>
      <c r="B56" s="11">
        <v>386</v>
      </c>
      <c r="C56" s="2">
        <v>684.55427502024804</v>
      </c>
      <c r="D56" s="2">
        <v>9.4127385416666893</v>
      </c>
      <c r="E56" s="2">
        <v>1</v>
      </c>
      <c r="F56" s="12" t="s">
        <v>437</v>
      </c>
      <c r="G56" s="12" t="s">
        <v>404</v>
      </c>
      <c r="H56" s="5"/>
      <c r="I56" s="11">
        <v>3410</v>
      </c>
      <c r="J56" s="11">
        <v>3560</v>
      </c>
      <c r="K56" s="11">
        <v>6398</v>
      </c>
      <c r="L56" s="11">
        <v>3559</v>
      </c>
      <c r="M56" s="11">
        <v>3124</v>
      </c>
      <c r="N56" s="11">
        <v>6990</v>
      </c>
      <c r="O56" s="11">
        <v>5599</v>
      </c>
      <c r="P56" s="11"/>
      <c r="Q56" s="11">
        <v>2520</v>
      </c>
      <c r="R56" s="11">
        <v>8944</v>
      </c>
      <c r="S56" s="11">
        <v>3924</v>
      </c>
      <c r="T56" s="11">
        <v>4330</v>
      </c>
      <c r="U56" s="11">
        <v>4478</v>
      </c>
      <c r="V56" s="11">
        <v>3070</v>
      </c>
      <c r="W56" s="11">
        <v>6732</v>
      </c>
      <c r="X56" s="11"/>
      <c r="Y56" s="11">
        <v>29</v>
      </c>
      <c r="Z56" s="11">
        <v>4224</v>
      </c>
      <c r="AA56" s="11">
        <v>4534</v>
      </c>
      <c r="AB56" s="11">
        <v>3559</v>
      </c>
      <c r="AC56" s="17">
        <f t="shared" si="11"/>
        <v>0.12133350549155879</v>
      </c>
      <c r="AD56" s="11">
        <f t="shared" si="12"/>
        <v>4662.8571428571431</v>
      </c>
      <c r="AE56" s="11">
        <f t="shared" si="13"/>
        <v>4856.8571428571431</v>
      </c>
      <c r="AF56" s="28">
        <f t="shared" si="6"/>
        <v>1.0416053921568627</v>
      </c>
      <c r="AG56" s="42">
        <f t="shared" si="3"/>
        <v>0.85609195734956689</v>
      </c>
      <c r="AH56" s="14" t="str">
        <f t="shared" si="14"/>
        <v>-</v>
      </c>
      <c r="AI56" s="11">
        <f t="shared" si="7"/>
        <v>205</v>
      </c>
      <c r="AJ56" s="11">
        <f t="shared" si="8"/>
        <v>205</v>
      </c>
      <c r="AK56" s="11">
        <f t="shared" si="5"/>
        <v>0.87279619066370473</v>
      </c>
      <c r="AL56" s="42">
        <f t="shared" si="9"/>
        <v>0.87279619066370473</v>
      </c>
      <c r="AM56" s="14" t="str">
        <f t="shared" si="10"/>
        <v/>
      </c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</row>
    <row r="57" spans="1:56" ht="27" customHeight="1" x14ac:dyDescent="0.2">
      <c r="A57" s="10" t="s">
        <v>357</v>
      </c>
      <c r="B57" s="11">
        <v>391</v>
      </c>
      <c r="C57" s="2">
        <v>730.53845793642802</v>
      </c>
      <c r="D57" s="2">
        <v>8.72873529411752</v>
      </c>
      <c r="E57" s="2">
        <v>1</v>
      </c>
      <c r="F57" s="12" t="s">
        <v>451</v>
      </c>
      <c r="G57" s="12" t="s">
        <v>404</v>
      </c>
      <c r="H57" s="5"/>
      <c r="I57" s="11">
        <v>1735</v>
      </c>
      <c r="J57" s="11">
        <v>2819</v>
      </c>
      <c r="K57" s="11">
        <v>2794</v>
      </c>
      <c r="L57" s="11">
        <v>2187</v>
      </c>
      <c r="M57" s="11">
        <v>1885</v>
      </c>
      <c r="N57" s="11">
        <v>2855</v>
      </c>
      <c r="O57" s="11">
        <v>3560</v>
      </c>
      <c r="P57" s="11"/>
      <c r="Q57" s="11">
        <v>3904</v>
      </c>
      <c r="R57" s="11">
        <v>8655</v>
      </c>
      <c r="S57" s="11">
        <v>4811</v>
      </c>
      <c r="T57" s="11">
        <v>5153</v>
      </c>
      <c r="U57" s="11">
        <v>3203</v>
      </c>
      <c r="V57" s="11">
        <v>3599</v>
      </c>
      <c r="W57" s="11">
        <v>6234</v>
      </c>
      <c r="X57" s="11"/>
      <c r="Y57" s="11">
        <v>0</v>
      </c>
      <c r="Z57" s="11">
        <v>3800</v>
      </c>
      <c r="AA57" s="11">
        <v>4063</v>
      </c>
      <c r="AB57" s="11">
        <v>3169</v>
      </c>
      <c r="AC57" s="17">
        <f t="shared" si="11"/>
        <v>0.12494108961782355</v>
      </c>
      <c r="AD57" s="11">
        <f t="shared" si="12"/>
        <v>2547.8571428571427</v>
      </c>
      <c r="AE57" s="11">
        <f t="shared" si="13"/>
        <v>5079.8571428571431</v>
      </c>
      <c r="AF57" s="28">
        <f t="shared" si="6"/>
        <v>1.9937762825904124</v>
      </c>
      <c r="AG57" s="42">
        <f t="shared" si="3"/>
        <v>1.1086895429558218E-2</v>
      </c>
      <c r="AH57" s="14" t="str">
        <f t="shared" si="14"/>
        <v>*</v>
      </c>
      <c r="AI57" s="11">
        <f t="shared" si="7"/>
        <v>125</v>
      </c>
      <c r="AJ57" s="11">
        <f t="shared" si="8"/>
        <v>125</v>
      </c>
      <c r="AK57" s="11">
        <f t="shared" si="5"/>
        <v>1.8537289158221341E-2</v>
      </c>
      <c r="AL57" s="42">
        <f t="shared" si="9"/>
        <v>1.8537289158221341E-2</v>
      </c>
      <c r="AM57" s="14" t="str">
        <f t="shared" si="10"/>
        <v>**</v>
      </c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</row>
    <row r="58" spans="1:56" ht="27" customHeight="1" x14ac:dyDescent="0.2">
      <c r="A58" s="10" t="s">
        <v>357</v>
      </c>
      <c r="B58" s="11">
        <v>454</v>
      </c>
      <c r="C58" s="2">
        <v>612.55436838758897</v>
      </c>
      <c r="D58" s="2">
        <v>9.9848490196078199</v>
      </c>
      <c r="E58" s="2">
        <v>1</v>
      </c>
      <c r="F58" s="12" t="s">
        <v>429</v>
      </c>
      <c r="G58" s="12" t="s">
        <v>404</v>
      </c>
      <c r="H58" s="5"/>
      <c r="I58" s="11">
        <v>3276</v>
      </c>
      <c r="J58" s="11">
        <v>2456</v>
      </c>
      <c r="K58" s="11">
        <v>5601</v>
      </c>
      <c r="L58" s="11">
        <v>2901</v>
      </c>
      <c r="M58" s="11">
        <v>2361</v>
      </c>
      <c r="N58" s="11">
        <v>4897</v>
      </c>
      <c r="O58" s="11">
        <v>4981</v>
      </c>
      <c r="P58" s="11"/>
      <c r="Q58" s="11">
        <v>2515</v>
      </c>
      <c r="R58" s="11">
        <v>7000</v>
      </c>
      <c r="S58" s="11">
        <v>3070</v>
      </c>
      <c r="T58" s="11">
        <v>3692</v>
      </c>
      <c r="U58" s="11">
        <v>6935</v>
      </c>
      <c r="V58" s="11">
        <v>3715</v>
      </c>
      <c r="W58" s="11">
        <v>6571</v>
      </c>
      <c r="X58" s="11"/>
      <c r="Y58" s="11">
        <v>33</v>
      </c>
      <c r="Z58" s="11">
        <v>3626</v>
      </c>
      <c r="AA58" s="11">
        <v>3937</v>
      </c>
      <c r="AB58" s="11">
        <v>3062</v>
      </c>
      <c r="AC58" s="17">
        <f t="shared" si="11"/>
        <v>0.1252388345312283</v>
      </c>
      <c r="AD58" s="11">
        <f t="shared" si="12"/>
        <v>3781.8571428571427</v>
      </c>
      <c r="AE58" s="11">
        <f t="shared" si="13"/>
        <v>4785.4285714285716</v>
      </c>
      <c r="AF58" s="28">
        <f t="shared" si="6"/>
        <v>1.2653647112152004</v>
      </c>
      <c r="AG58" s="42">
        <f t="shared" si="3"/>
        <v>0.28900513337696165</v>
      </c>
      <c r="AH58" s="14" t="str">
        <f t="shared" si="14"/>
        <v>-</v>
      </c>
      <c r="AI58" s="11">
        <f t="shared" si="7"/>
        <v>179</v>
      </c>
      <c r="AJ58" s="11">
        <f t="shared" si="8"/>
        <v>179</v>
      </c>
      <c r="AK58" s="11">
        <f t="shared" si="5"/>
        <v>0.33744174790941334</v>
      </c>
      <c r="AL58" s="42">
        <f t="shared" si="9"/>
        <v>0.33744174790941334</v>
      </c>
      <c r="AM58" s="14" t="str">
        <f t="shared" si="10"/>
        <v/>
      </c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</row>
    <row r="59" spans="1:56" ht="27" customHeight="1" x14ac:dyDescent="0.2">
      <c r="A59" s="10" t="s">
        <v>357</v>
      </c>
      <c r="B59" s="11">
        <v>513</v>
      </c>
      <c r="C59" s="2">
        <v>664.58534492579599</v>
      </c>
      <c r="D59" s="2">
        <v>10.3661869047618</v>
      </c>
      <c r="E59" s="2">
        <v>1</v>
      </c>
      <c r="F59" s="12" t="s">
        <v>612</v>
      </c>
      <c r="G59" s="12" t="s">
        <v>404</v>
      </c>
      <c r="H59" s="5"/>
      <c r="I59" s="11">
        <v>4168</v>
      </c>
      <c r="J59" s="11">
        <v>4189</v>
      </c>
      <c r="K59" s="11">
        <v>5680</v>
      </c>
      <c r="L59" s="11">
        <v>2497</v>
      </c>
      <c r="M59" s="11">
        <v>3186</v>
      </c>
      <c r="N59" s="11">
        <v>4436</v>
      </c>
      <c r="O59" s="11">
        <v>3841</v>
      </c>
      <c r="P59" s="11"/>
      <c r="Q59" s="11">
        <v>485</v>
      </c>
      <c r="R59" s="11">
        <v>1896</v>
      </c>
      <c r="S59" s="11">
        <v>949</v>
      </c>
      <c r="T59" s="11">
        <v>735</v>
      </c>
      <c r="U59" s="11">
        <v>1350</v>
      </c>
      <c r="V59" s="11">
        <v>830</v>
      </c>
      <c r="W59" s="11">
        <v>1202</v>
      </c>
      <c r="X59" s="11"/>
      <c r="Y59" s="11">
        <v>0</v>
      </c>
      <c r="Z59" s="11">
        <v>2448</v>
      </c>
      <c r="AA59" s="11">
        <v>2205</v>
      </c>
      <c r="AB59" s="11">
        <v>1847</v>
      </c>
      <c r="AC59" s="17">
        <f t="shared" si="11"/>
        <v>0.13953608682569235</v>
      </c>
      <c r="AD59" s="11">
        <f t="shared" si="12"/>
        <v>3999.5714285714284</v>
      </c>
      <c r="AE59" s="11">
        <f t="shared" si="13"/>
        <v>1063.8571428571429</v>
      </c>
      <c r="AF59" s="28">
        <f t="shared" si="6"/>
        <v>0.26599278494124373</v>
      </c>
      <c r="AG59" s="42">
        <f t="shared" si="3"/>
        <v>8.2266379479493457E-5</v>
      </c>
      <c r="AH59" s="14" t="str">
        <f t="shared" si="14"/>
        <v>***</v>
      </c>
      <c r="AI59" s="11">
        <f t="shared" si="7"/>
        <v>35</v>
      </c>
      <c r="AJ59" s="11">
        <f t="shared" si="8"/>
        <v>35</v>
      </c>
      <c r="AK59" s="11">
        <f t="shared" si="5"/>
        <v>4.9124780889183242E-4</v>
      </c>
      <c r="AL59" s="42">
        <f t="shared" si="9"/>
        <v>4.9124780889183242E-4</v>
      </c>
      <c r="AM59" s="14" t="str">
        <f t="shared" si="10"/>
        <v>**</v>
      </c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</row>
    <row r="60" spans="1:56" ht="27" customHeight="1" x14ac:dyDescent="0.2">
      <c r="A60" s="10" t="s">
        <v>357</v>
      </c>
      <c r="B60" s="11">
        <v>662</v>
      </c>
      <c r="C60" s="2">
        <v>684.55403207889594</v>
      </c>
      <c r="D60" s="2">
        <v>9.0969022222221305</v>
      </c>
      <c r="E60" s="2">
        <v>1</v>
      </c>
      <c r="F60" s="12" t="s">
        <v>456</v>
      </c>
      <c r="G60" s="12" t="s">
        <v>404</v>
      </c>
      <c r="H60" s="5"/>
      <c r="I60" s="11">
        <v>2286</v>
      </c>
      <c r="J60" s="11">
        <v>2339</v>
      </c>
      <c r="K60" s="11">
        <v>3978</v>
      </c>
      <c r="L60" s="11">
        <v>1908</v>
      </c>
      <c r="M60" s="11">
        <v>2007</v>
      </c>
      <c r="N60" s="11">
        <v>3407</v>
      </c>
      <c r="O60" s="11">
        <v>3777</v>
      </c>
      <c r="P60" s="11"/>
      <c r="Q60" s="11">
        <v>813</v>
      </c>
      <c r="R60" s="11">
        <v>3309</v>
      </c>
      <c r="S60" s="11">
        <v>1716</v>
      </c>
      <c r="T60" s="11">
        <v>1551</v>
      </c>
      <c r="U60" s="11">
        <v>1971</v>
      </c>
      <c r="V60" s="11">
        <v>1077</v>
      </c>
      <c r="W60" s="11">
        <v>2823</v>
      </c>
      <c r="X60" s="11"/>
      <c r="Y60" s="11">
        <v>44</v>
      </c>
      <c r="Z60" s="11">
        <v>2204</v>
      </c>
      <c r="AA60" s="11">
        <v>1751</v>
      </c>
      <c r="AB60" s="11">
        <v>1807</v>
      </c>
      <c r="AC60" s="17">
        <f t="shared" si="11"/>
        <v>0.12858361307039412</v>
      </c>
      <c r="AD60" s="11">
        <f t="shared" si="12"/>
        <v>2814.5714285714284</v>
      </c>
      <c r="AE60" s="11">
        <f t="shared" si="13"/>
        <v>1894.2857142857142</v>
      </c>
      <c r="AF60" s="28">
        <f t="shared" si="6"/>
        <v>0.6730281189726931</v>
      </c>
      <c r="AG60" s="42">
        <f t="shared" si="3"/>
        <v>7.6474064761798813E-2</v>
      </c>
      <c r="AH60" s="14" t="str">
        <f t="shared" si="14"/>
        <v>-</v>
      </c>
      <c r="AI60" s="11">
        <f t="shared" si="7"/>
        <v>155</v>
      </c>
      <c r="AJ60" s="11">
        <f t="shared" si="8"/>
        <v>155</v>
      </c>
      <c r="AK60" s="11">
        <f t="shared" si="5"/>
        <v>0.10311664216268356</v>
      </c>
      <c r="AL60" s="42">
        <f t="shared" si="9"/>
        <v>0.10311664216268356</v>
      </c>
      <c r="AM60" s="14" t="str">
        <f t="shared" si="10"/>
        <v/>
      </c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</row>
    <row r="61" spans="1:56" ht="27" customHeight="1" x14ac:dyDescent="0.2">
      <c r="A61" s="10" t="s">
        <v>357</v>
      </c>
      <c r="B61" s="11">
        <v>718</v>
      </c>
      <c r="C61" s="2">
        <v>662.56991617339804</v>
      </c>
      <c r="D61" s="2">
        <v>10.258607692307599</v>
      </c>
      <c r="E61" s="2">
        <v>1</v>
      </c>
      <c r="F61" s="12" t="s">
        <v>463</v>
      </c>
      <c r="G61" s="12" t="s">
        <v>404</v>
      </c>
      <c r="H61" s="5"/>
      <c r="I61" s="11">
        <v>1671</v>
      </c>
      <c r="J61" s="11">
        <v>1588</v>
      </c>
      <c r="K61" s="11">
        <v>3037</v>
      </c>
      <c r="L61" s="11">
        <v>1706</v>
      </c>
      <c r="M61" s="11">
        <v>1378</v>
      </c>
      <c r="N61" s="11">
        <v>1932</v>
      </c>
      <c r="O61" s="11">
        <v>2028</v>
      </c>
      <c r="P61" s="11"/>
      <c r="Q61" s="11">
        <v>1615</v>
      </c>
      <c r="R61" s="11">
        <v>2233</v>
      </c>
      <c r="S61" s="11">
        <v>1485</v>
      </c>
      <c r="T61" s="11">
        <v>1944</v>
      </c>
      <c r="U61" s="11">
        <v>2362</v>
      </c>
      <c r="V61" s="11">
        <v>3544</v>
      </c>
      <c r="W61" s="11">
        <v>2248</v>
      </c>
      <c r="X61" s="11"/>
      <c r="Y61" s="11">
        <v>0</v>
      </c>
      <c r="Z61" s="11">
        <v>2192</v>
      </c>
      <c r="AA61" s="11">
        <v>1959</v>
      </c>
      <c r="AB61" s="11">
        <v>1665</v>
      </c>
      <c r="AC61" s="17">
        <f t="shared" si="11"/>
        <v>0.13622132287438443</v>
      </c>
      <c r="AD61" s="11">
        <f t="shared" si="12"/>
        <v>1905.7142857142858</v>
      </c>
      <c r="AE61" s="11">
        <f t="shared" si="13"/>
        <v>2204.4285714285716</v>
      </c>
      <c r="AF61" s="28">
        <f t="shared" si="6"/>
        <v>1.1567466266866566</v>
      </c>
      <c r="AG61" s="42">
        <f t="shared" si="3"/>
        <v>0.38152010776166434</v>
      </c>
      <c r="AH61" s="14" t="str">
        <f t="shared" si="14"/>
        <v>-</v>
      </c>
      <c r="AI61" s="11">
        <f t="shared" si="7"/>
        <v>183</v>
      </c>
      <c r="AJ61" s="11">
        <f t="shared" si="8"/>
        <v>183</v>
      </c>
      <c r="AK61" s="11">
        <f t="shared" si="5"/>
        <v>0.43572515039446907</v>
      </c>
      <c r="AL61" s="42">
        <f t="shared" si="9"/>
        <v>0.43572515039446907</v>
      </c>
      <c r="AM61" s="14" t="str">
        <f t="shared" si="10"/>
        <v/>
      </c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</row>
    <row r="62" spans="1:56" ht="27" customHeight="1" x14ac:dyDescent="0.2">
      <c r="A62" s="10" t="s">
        <v>357</v>
      </c>
      <c r="B62" s="11">
        <v>756</v>
      </c>
      <c r="C62" s="2">
        <v>660.55336957405598</v>
      </c>
      <c r="D62" s="2">
        <v>9.5252874999999992</v>
      </c>
      <c r="E62" s="2">
        <v>1</v>
      </c>
      <c r="F62" s="12" t="s">
        <v>471</v>
      </c>
      <c r="G62" s="12" t="s">
        <v>404</v>
      </c>
      <c r="H62" s="5"/>
      <c r="I62" s="11">
        <v>1380</v>
      </c>
      <c r="J62" s="11">
        <v>1402</v>
      </c>
      <c r="K62" s="11">
        <v>2212</v>
      </c>
      <c r="L62" s="11">
        <v>1208</v>
      </c>
      <c r="M62" s="11">
        <v>1229</v>
      </c>
      <c r="N62" s="11">
        <v>1970</v>
      </c>
      <c r="O62" s="11">
        <v>2280</v>
      </c>
      <c r="P62" s="11"/>
      <c r="Q62" s="11">
        <v>1087</v>
      </c>
      <c r="R62" s="11">
        <v>3261</v>
      </c>
      <c r="S62" s="11">
        <v>1370</v>
      </c>
      <c r="T62" s="11">
        <v>1211</v>
      </c>
      <c r="U62" s="11">
        <v>1762</v>
      </c>
      <c r="V62" s="11">
        <v>1316</v>
      </c>
      <c r="W62" s="11">
        <v>2557</v>
      </c>
      <c r="X62" s="11"/>
      <c r="Y62" s="11">
        <v>66</v>
      </c>
      <c r="Z62" s="11">
        <v>1450</v>
      </c>
      <c r="AA62" s="11">
        <v>1691</v>
      </c>
      <c r="AB62" s="11">
        <v>1104</v>
      </c>
      <c r="AC62" s="17">
        <f t="shared" si="11"/>
        <v>0.20852368243121733</v>
      </c>
      <c r="AD62" s="11">
        <f t="shared" si="12"/>
        <v>1668.7142857142858</v>
      </c>
      <c r="AE62" s="11">
        <f t="shared" si="13"/>
        <v>1794.8571428571429</v>
      </c>
      <c r="AF62" s="28">
        <f t="shared" si="6"/>
        <v>1.0755928430785036</v>
      </c>
      <c r="AG62" s="42">
        <f t="shared" si="3"/>
        <v>0.73027882847549208</v>
      </c>
      <c r="AH62" s="14" t="str">
        <f t="shared" si="14"/>
        <v>-</v>
      </c>
      <c r="AI62" s="11">
        <f t="shared" si="7"/>
        <v>198</v>
      </c>
      <c r="AJ62" s="11">
        <f t="shared" si="8"/>
        <v>198</v>
      </c>
      <c r="AK62" s="11">
        <f t="shared" si="5"/>
        <v>0.77084987450190823</v>
      </c>
      <c r="AL62" s="42">
        <f t="shared" si="9"/>
        <v>0.77084987450190823</v>
      </c>
      <c r="AM62" s="14" t="str">
        <f t="shared" si="10"/>
        <v/>
      </c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</row>
    <row r="63" spans="1:56" ht="27" customHeight="1" x14ac:dyDescent="0.2">
      <c r="A63" s="10" t="s">
        <v>357</v>
      </c>
      <c r="B63" s="11">
        <v>809</v>
      </c>
      <c r="C63" s="2">
        <v>586.53864277254002</v>
      </c>
      <c r="D63" s="2">
        <v>9.8608847222223304</v>
      </c>
      <c r="E63" s="2">
        <v>1</v>
      </c>
      <c r="F63" s="12" t="s">
        <v>449</v>
      </c>
      <c r="G63" s="12" t="s">
        <v>404</v>
      </c>
      <c r="H63" s="5"/>
      <c r="I63" s="11">
        <v>1228</v>
      </c>
      <c r="J63" s="11">
        <v>1222</v>
      </c>
      <c r="K63" s="11">
        <v>2268</v>
      </c>
      <c r="L63" s="11">
        <v>1419</v>
      </c>
      <c r="M63" s="11">
        <v>1078</v>
      </c>
      <c r="N63" s="11">
        <v>2074</v>
      </c>
      <c r="O63" s="11">
        <v>2291</v>
      </c>
      <c r="P63" s="11"/>
      <c r="Q63" s="11">
        <v>1280</v>
      </c>
      <c r="R63" s="11">
        <v>3001</v>
      </c>
      <c r="S63" s="11">
        <v>1691</v>
      </c>
      <c r="T63" s="11">
        <v>2171</v>
      </c>
      <c r="U63" s="11">
        <v>2926</v>
      </c>
      <c r="V63" s="11">
        <v>1823</v>
      </c>
      <c r="W63" s="11">
        <v>3153</v>
      </c>
      <c r="X63" s="11"/>
      <c r="Y63" s="11">
        <v>184</v>
      </c>
      <c r="Z63" s="11">
        <v>2157</v>
      </c>
      <c r="AA63" s="11">
        <v>2237</v>
      </c>
      <c r="AB63" s="11">
        <v>1721</v>
      </c>
      <c r="AC63" s="17">
        <f t="shared" si="11"/>
        <v>0.13624586182046194</v>
      </c>
      <c r="AD63" s="11">
        <f t="shared" si="12"/>
        <v>1654.2857142857142</v>
      </c>
      <c r="AE63" s="11">
        <f t="shared" si="13"/>
        <v>2292.1428571428573</v>
      </c>
      <c r="AF63" s="28">
        <f t="shared" si="6"/>
        <v>1.3855785837651124</v>
      </c>
      <c r="AG63" s="42">
        <f t="shared" si="3"/>
        <v>9.1128566082776793E-2</v>
      </c>
      <c r="AH63" s="14" t="str">
        <f t="shared" si="14"/>
        <v>-</v>
      </c>
      <c r="AI63" s="11">
        <f t="shared" si="7"/>
        <v>159</v>
      </c>
      <c r="AJ63" s="11">
        <f t="shared" si="8"/>
        <v>159</v>
      </c>
      <c r="AK63" s="11">
        <f t="shared" si="5"/>
        <v>0.11978534786981353</v>
      </c>
      <c r="AL63" s="42">
        <f t="shared" si="9"/>
        <v>0.11978534786981353</v>
      </c>
      <c r="AM63" s="14" t="str">
        <f t="shared" si="10"/>
        <v/>
      </c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</row>
    <row r="64" spans="1:56" ht="27" customHeight="1" x14ac:dyDescent="0.2">
      <c r="A64" s="10" t="s">
        <v>357</v>
      </c>
      <c r="B64" s="11">
        <v>831</v>
      </c>
      <c r="C64" s="2">
        <v>686.56973353867397</v>
      </c>
      <c r="D64" s="2">
        <v>10.1550333333333</v>
      </c>
      <c r="E64" s="2">
        <v>1</v>
      </c>
      <c r="F64" s="12" t="s">
        <v>474</v>
      </c>
      <c r="G64" s="12" t="s">
        <v>404</v>
      </c>
      <c r="H64" s="5"/>
      <c r="I64" s="11">
        <v>1104</v>
      </c>
      <c r="J64" s="11">
        <v>1073</v>
      </c>
      <c r="K64" s="11">
        <v>2275</v>
      </c>
      <c r="L64" s="11">
        <v>1179</v>
      </c>
      <c r="M64" s="11">
        <v>1293</v>
      </c>
      <c r="N64" s="11">
        <v>2091</v>
      </c>
      <c r="O64" s="11">
        <v>1844</v>
      </c>
      <c r="P64" s="11"/>
      <c r="Q64" s="11">
        <v>1263</v>
      </c>
      <c r="R64" s="11">
        <v>2876</v>
      </c>
      <c r="S64" s="11">
        <v>1614</v>
      </c>
      <c r="T64" s="11">
        <v>1776</v>
      </c>
      <c r="U64" s="11">
        <v>2595</v>
      </c>
      <c r="V64" s="11">
        <v>2143</v>
      </c>
      <c r="W64" s="11">
        <v>2469</v>
      </c>
      <c r="X64" s="11"/>
      <c r="Y64" s="11">
        <v>18</v>
      </c>
      <c r="Z64" s="11">
        <v>1844</v>
      </c>
      <c r="AA64" s="11">
        <v>1751</v>
      </c>
      <c r="AB64" s="11">
        <v>1704</v>
      </c>
      <c r="AC64" s="17">
        <f t="shared" si="11"/>
        <v>4.033688910816146E-2</v>
      </c>
      <c r="AD64" s="11">
        <f t="shared" si="12"/>
        <v>1551.2857142857142</v>
      </c>
      <c r="AE64" s="11">
        <f t="shared" si="13"/>
        <v>2105.1428571428573</v>
      </c>
      <c r="AF64" s="28">
        <f t="shared" si="6"/>
        <v>1.3570310341652088</v>
      </c>
      <c r="AG64" s="42">
        <f t="shared" si="3"/>
        <v>8.1916474750921453E-2</v>
      </c>
      <c r="AH64" s="14" t="str">
        <f t="shared" si="14"/>
        <v>-</v>
      </c>
      <c r="AI64" s="11">
        <f t="shared" si="7"/>
        <v>156</v>
      </c>
      <c r="AJ64" s="11">
        <f t="shared" si="8"/>
        <v>156</v>
      </c>
      <c r="AK64" s="11">
        <f t="shared" si="5"/>
        <v>0.10974707194193964</v>
      </c>
      <c r="AL64" s="42">
        <f t="shared" si="9"/>
        <v>0.10974707194193964</v>
      </c>
      <c r="AM64" s="14" t="str">
        <f t="shared" si="10"/>
        <v/>
      </c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</row>
    <row r="65" spans="1:56" ht="27" customHeight="1" x14ac:dyDescent="0.2">
      <c r="A65" s="10" t="s">
        <v>357</v>
      </c>
      <c r="B65" s="11">
        <v>924</v>
      </c>
      <c r="C65" s="2">
        <v>686.56871073544005</v>
      </c>
      <c r="D65" s="2">
        <v>9.6371718750000603</v>
      </c>
      <c r="E65" s="2">
        <v>1</v>
      </c>
      <c r="F65" s="12" t="s">
        <v>618</v>
      </c>
      <c r="G65" s="12" t="s">
        <v>404</v>
      </c>
      <c r="H65" s="5"/>
      <c r="I65" s="11">
        <v>1503</v>
      </c>
      <c r="J65" s="11">
        <v>1520</v>
      </c>
      <c r="K65" s="11">
        <v>2528</v>
      </c>
      <c r="L65" s="11">
        <v>974</v>
      </c>
      <c r="M65" s="11">
        <v>1213</v>
      </c>
      <c r="N65" s="11">
        <v>2139</v>
      </c>
      <c r="O65" s="11">
        <v>1903</v>
      </c>
      <c r="P65" s="11"/>
      <c r="Q65" s="11">
        <v>590</v>
      </c>
      <c r="R65" s="11">
        <v>2009</v>
      </c>
      <c r="S65" s="11">
        <v>979</v>
      </c>
      <c r="T65" s="11">
        <v>759</v>
      </c>
      <c r="U65" s="11">
        <v>1449</v>
      </c>
      <c r="V65" s="11">
        <v>793</v>
      </c>
      <c r="W65" s="11">
        <v>1306</v>
      </c>
      <c r="X65" s="11"/>
      <c r="Y65" s="11">
        <v>116</v>
      </c>
      <c r="Z65" s="11">
        <v>1166</v>
      </c>
      <c r="AA65" s="11">
        <v>1420</v>
      </c>
      <c r="AB65" s="11">
        <v>994</v>
      </c>
      <c r="AC65" s="17">
        <f t="shared" si="11"/>
        <v>0.17959047491047012</v>
      </c>
      <c r="AD65" s="11">
        <f t="shared" si="12"/>
        <v>1682.8571428571429</v>
      </c>
      <c r="AE65" s="11">
        <f t="shared" si="13"/>
        <v>1126.4285714285713</v>
      </c>
      <c r="AF65" s="28">
        <f t="shared" si="6"/>
        <v>0.66935483870967738</v>
      </c>
      <c r="AG65" s="42">
        <f t="shared" si="3"/>
        <v>6.7830712308940722E-2</v>
      </c>
      <c r="AH65" s="14" t="str">
        <f t="shared" si="14"/>
        <v>-</v>
      </c>
      <c r="AI65" s="11">
        <f t="shared" si="7"/>
        <v>151</v>
      </c>
      <c r="AJ65" s="11">
        <f t="shared" si="8"/>
        <v>151</v>
      </c>
      <c r="AK65" s="11">
        <f t="shared" si="5"/>
        <v>9.3884893195818608E-2</v>
      </c>
      <c r="AL65" s="42">
        <f t="shared" si="9"/>
        <v>9.3884893195818608E-2</v>
      </c>
      <c r="AM65" s="14" t="str">
        <f t="shared" si="10"/>
        <v>*</v>
      </c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</row>
    <row r="66" spans="1:56" ht="27" customHeight="1" x14ac:dyDescent="0.2">
      <c r="A66" s="10" t="s">
        <v>357</v>
      </c>
      <c r="B66" s="11">
        <v>1023</v>
      </c>
      <c r="C66" s="2">
        <v>712.58546671696797</v>
      </c>
      <c r="D66" s="2">
        <v>10.228143749999999</v>
      </c>
      <c r="E66" s="2">
        <v>1</v>
      </c>
      <c r="F66" s="12" t="s">
        <v>481</v>
      </c>
      <c r="G66" s="12" t="s">
        <v>404</v>
      </c>
      <c r="H66" s="5"/>
      <c r="I66" s="11">
        <v>1159</v>
      </c>
      <c r="J66" s="11">
        <v>1490</v>
      </c>
      <c r="K66" s="11">
        <v>2219</v>
      </c>
      <c r="L66" s="11">
        <v>850</v>
      </c>
      <c r="M66" s="11">
        <v>1262</v>
      </c>
      <c r="N66" s="11">
        <v>1714</v>
      </c>
      <c r="O66" s="11">
        <v>1517</v>
      </c>
      <c r="P66" s="11"/>
      <c r="Q66" s="11">
        <v>406</v>
      </c>
      <c r="R66" s="11">
        <v>1553</v>
      </c>
      <c r="S66" s="11">
        <v>742</v>
      </c>
      <c r="T66" s="11">
        <v>565</v>
      </c>
      <c r="U66" s="11">
        <v>915</v>
      </c>
      <c r="V66" s="11">
        <v>625</v>
      </c>
      <c r="W66" s="11">
        <v>1044</v>
      </c>
      <c r="X66" s="11"/>
      <c r="Y66" s="11">
        <v>0</v>
      </c>
      <c r="Z66" s="11">
        <v>1025</v>
      </c>
      <c r="AA66" s="11">
        <v>985</v>
      </c>
      <c r="AB66" s="11">
        <v>848</v>
      </c>
      <c r="AC66" s="17">
        <f t="shared" si="11"/>
        <v>9.7436186087826032E-2</v>
      </c>
      <c r="AD66" s="11">
        <f t="shared" si="12"/>
        <v>1458.7142857142858</v>
      </c>
      <c r="AE66" s="11">
        <f t="shared" si="13"/>
        <v>835.71428571428567</v>
      </c>
      <c r="AF66" s="28">
        <f t="shared" si="6"/>
        <v>0.57291156595828019</v>
      </c>
      <c r="AG66" s="42">
        <f t="shared" si="3"/>
        <v>1.5144955493656553E-2</v>
      </c>
      <c r="AH66" s="14" t="str">
        <f t="shared" si="14"/>
        <v>*</v>
      </c>
      <c r="AI66" s="11">
        <f t="shared" si="7"/>
        <v>133</v>
      </c>
      <c r="AJ66" s="11">
        <f t="shared" si="8"/>
        <v>133</v>
      </c>
      <c r="AK66" s="11">
        <f t="shared" si="5"/>
        <v>2.3799215775746015E-2</v>
      </c>
      <c r="AL66" s="42">
        <f t="shared" si="9"/>
        <v>2.3799215775746015E-2</v>
      </c>
      <c r="AM66" s="14" t="str">
        <f t="shared" si="10"/>
        <v>**</v>
      </c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</row>
    <row r="67" spans="1:56" ht="27" customHeight="1" x14ac:dyDescent="0.2">
      <c r="A67" s="10" t="s">
        <v>357</v>
      </c>
      <c r="B67" s="11">
        <v>1036</v>
      </c>
      <c r="C67" s="2">
        <v>692.61746481948603</v>
      </c>
      <c r="D67" s="2">
        <v>11.236397777777899</v>
      </c>
      <c r="E67" s="2">
        <v>1</v>
      </c>
      <c r="F67" s="12" t="s">
        <v>490</v>
      </c>
      <c r="G67" s="12" t="s">
        <v>404</v>
      </c>
      <c r="H67" s="5"/>
      <c r="I67" s="11">
        <v>1101</v>
      </c>
      <c r="J67" s="11">
        <v>1285</v>
      </c>
      <c r="K67" s="11">
        <v>2174</v>
      </c>
      <c r="L67" s="11">
        <v>784</v>
      </c>
      <c r="M67" s="11">
        <v>1056</v>
      </c>
      <c r="N67" s="11">
        <v>1410</v>
      </c>
      <c r="O67" s="11">
        <v>1152</v>
      </c>
      <c r="P67" s="11"/>
      <c r="Q67" s="11">
        <v>163</v>
      </c>
      <c r="R67" s="11">
        <v>907</v>
      </c>
      <c r="S67" s="11">
        <v>302</v>
      </c>
      <c r="T67" s="11">
        <v>366</v>
      </c>
      <c r="U67" s="11">
        <v>506</v>
      </c>
      <c r="V67" s="11">
        <v>175</v>
      </c>
      <c r="W67" s="11">
        <v>504</v>
      </c>
      <c r="X67" s="11"/>
      <c r="Y67" s="11">
        <v>0</v>
      </c>
      <c r="Z67" s="11">
        <v>784</v>
      </c>
      <c r="AA67" s="11">
        <v>621</v>
      </c>
      <c r="AB67" s="11">
        <v>576</v>
      </c>
      <c r="AC67" s="17">
        <f t="shared" si="11"/>
        <v>0.16572907894062294</v>
      </c>
      <c r="AD67" s="11">
        <f t="shared" si="12"/>
        <v>1280.2857142857142</v>
      </c>
      <c r="AE67" s="11">
        <f t="shared" si="13"/>
        <v>417.57142857142856</v>
      </c>
      <c r="AF67" s="28">
        <f t="shared" si="6"/>
        <v>0.32615487614371791</v>
      </c>
      <c r="AG67" s="42">
        <f t="shared" si="3"/>
        <v>1.2799416188897575E-3</v>
      </c>
      <c r="AH67" s="14" t="str">
        <f t="shared" si="14"/>
        <v>**</v>
      </c>
      <c r="AI67" s="11">
        <f t="shared" si="7"/>
        <v>86</v>
      </c>
      <c r="AJ67" s="11">
        <f t="shared" si="8"/>
        <v>86</v>
      </c>
      <c r="AK67" s="11">
        <f t="shared" si="5"/>
        <v>3.1105557947437132E-3</v>
      </c>
      <c r="AL67" s="42">
        <f t="shared" si="9"/>
        <v>3.1105557947437132E-3</v>
      </c>
      <c r="AM67" s="14" t="str">
        <f t="shared" si="10"/>
        <v>**</v>
      </c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</row>
    <row r="68" spans="1:56" ht="27" customHeight="1" x14ac:dyDescent="0.2">
      <c r="A68" s="10" t="s">
        <v>357</v>
      </c>
      <c r="B68" s="11">
        <v>1221</v>
      </c>
      <c r="C68" s="2">
        <v>658.53852772133905</v>
      </c>
      <c r="D68" s="2">
        <v>8.9756428571428497</v>
      </c>
      <c r="E68" s="2">
        <v>1</v>
      </c>
      <c r="F68" s="12" t="s">
        <v>477</v>
      </c>
      <c r="G68" s="12" t="s">
        <v>404</v>
      </c>
      <c r="H68" s="5"/>
      <c r="I68" s="11">
        <v>1425</v>
      </c>
      <c r="J68" s="11">
        <v>1319</v>
      </c>
      <c r="K68" s="11">
        <v>1698</v>
      </c>
      <c r="L68" s="11">
        <v>652</v>
      </c>
      <c r="M68" s="11">
        <v>753</v>
      </c>
      <c r="N68" s="11">
        <v>1220</v>
      </c>
      <c r="O68" s="11">
        <v>1731</v>
      </c>
      <c r="P68" s="11"/>
      <c r="Q68" s="11">
        <v>399</v>
      </c>
      <c r="R68" s="11">
        <v>1355</v>
      </c>
      <c r="S68" s="11">
        <v>704</v>
      </c>
      <c r="T68" s="11">
        <v>591</v>
      </c>
      <c r="U68" s="11">
        <v>866</v>
      </c>
      <c r="V68" s="11">
        <v>559</v>
      </c>
      <c r="W68" s="11">
        <v>929</v>
      </c>
      <c r="X68" s="11"/>
      <c r="Y68" s="11">
        <v>35</v>
      </c>
      <c r="Z68" s="11">
        <v>730</v>
      </c>
      <c r="AA68" s="11">
        <v>1040</v>
      </c>
      <c r="AB68" s="11">
        <v>724</v>
      </c>
      <c r="AC68" s="17">
        <f t="shared" si="11"/>
        <v>0.21740441166376018</v>
      </c>
      <c r="AD68" s="11">
        <f t="shared" si="12"/>
        <v>1256.8571428571429</v>
      </c>
      <c r="AE68" s="11">
        <f t="shared" si="13"/>
        <v>771.85714285714289</v>
      </c>
      <c r="AF68" s="28">
        <f t="shared" si="6"/>
        <v>0.61411684473744033</v>
      </c>
      <c r="AG68" s="42">
        <f t="shared" ref="AG68:AG131" si="15">TTEST(I68:O68,Q68:W68,2,3)</f>
        <v>3.3019894859107966E-2</v>
      </c>
      <c r="AH68" s="14" t="str">
        <f t="shared" si="14"/>
        <v>*</v>
      </c>
      <c r="AI68" s="11">
        <f t="shared" si="7"/>
        <v>143</v>
      </c>
      <c r="AJ68" s="11">
        <f t="shared" si="8"/>
        <v>143</v>
      </c>
      <c r="AK68" s="11">
        <f t="shared" ref="AK68:AK131" si="16">MIN(AG68*$AJ$3/AJ68,1)</f>
        <v>4.8259846332542412E-2</v>
      </c>
      <c r="AL68" s="42">
        <f t="shared" si="9"/>
        <v>4.8259846332542412E-2</v>
      </c>
      <c r="AM68" s="14" t="str">
        <f t="shared" si="10"/>
        <v>**</v>
      </c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</row>
    <row r="69" spans="1:56" ht="27" customHeight="1" x14ac:dyDescent="0.2">
      <c r="A69" s="10" t="s">
        <v>357</v>
      </c>
      <c r="B69" s="11">
        <v>1270</v>
      </c>
      <c r="C69" s="2">
        <v>608.52143106918504</v>
      </c>
      <c r="D69" s="2">
        <v>8.8321357142857106</v>
      </c>
      <c r="E69" s="2">
        <v>1</v>
      </c>
      <c r="F69" s="12" t="s">
        <v>624</v>
      </c>
      <c r="G69" s="12" t="s">
        <v>404</v>
      </c>
      <c r="H69" s="5"/>
      <c r="I69" s="11">
        <v>503</v>
      </c>
      <c r="J69" s="11">
        <v>473</v>
      </c>
      <c r="K69" s="11">
        <v>1319</v>
      </c>
      <c r="L69" s="11">
        <v>610</v>
      </c>
      <c r="M69" s="11">
        <v>576</v>
      </c>
      <c r="N69" s="11">
        <v>860</v>
      </c>
      <c r="O69" s="11">
        <v>739</v>
      </c>
      <c r="P69" s="11"/>
      <c r="Q69" s="11">
        <v>619</v>
      </c>
      <c r="R69" s="11">
        <v>1621</v>
      </c>
      <c r="S69" s="11">
        <v>626</v>
      </c>
      <c r="T69" s="11">
        <v>996</v>
      </c>
      <c r="U69" s="11">
        <v>778</v>
      </c>
      <c r="V69" s="11">
        <v>622</v>
      </c>
      <c r="W69" s="11">
        <v>1284</v>
      </c>
      <c r="X69" s="11"/>
      <c r="Y69" s="11">
        <v>0</v>
      </c>
      <c r="Z69" s="11">
        <v>753</v>
      </c>
      <c r="AA69" s="11">
        <v>793</v>
      </c>
      <c r="AB69" s="11">
        <v>499</v>
      </c>
      <c r="AC69" s="17">
        <f t="shared" si="11"/>
        <v>0.23391672239560385</v>
      </c>
      <c r="AD69" s="11">
        <f t="shared" si="12"/>
        <v>725.71428571428567</v>
      </c>
      <c r="AE69" s="11">
        <f t="shared" si="13"/>
        <v>935.14285714285711</v>
      </c>
      <c r="AF69" s="28">
        <f t="shared" ref="AF69:AF132" si="17">AE69/AD69</f>
        <v>1.2885826771653544</v>
      </c>
      <c r="AG69" s="42">
        <f t="shared" si="15"/>
        <v>0.28074267600916442</v>
      </c>
      <c r="AH69" s="14" t="str">
        <f t="shared" si="14"/>
        <v>-</v>
      </c>
      <c r="AI69" s="11">
        <f t="shared" ref="AI69:AI132" si="18">_xlfn.RANK.EQ(AG69,$AG$4:$AG$212,1)</f>
        <v>178</v>
      </c>
      <c r="AJ69" s="11">
        <f t="shared" ref="AJ69:AJ132" si="19">COUNTIF($AI$4:$AI$212,AI69)+AI69-1</f>
        <v>178</v>
      </c>
      <c r="AK69" s="11">
        <f t="shared" si="16"/>
        <v>0.32963606340401891</v>
      </c>
      <c r="AL69" s="42">
        <f t="shared" ref="AL69:AL132" si="20">MIN(AK69,IFERROR(VLOOKUP(AJ69+1,$AJ$4:$AL$212,3,FALSE),1))</f>
        <v>0.32963606340401891</v>
      </c>
      <c r="AM69" s="14" t="str">
        <f t="shared" ref="AM69:AM132" si="21">IF(AL69&lt;0.05,"**",IF(AL69&lt;0.1,"*",""))</f>
        <v/>
      </c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</row>
    <row r="70" spans="1:56" ht="27" customHeight="1" x14ac:dyDescent="0.2">
      <c r="A70" s="10" t="s">
        <v>357</v>
      </c>
      <c r="B70" s="11">
        <v>1402</v>
      </c>
      <c r="C70" s="2">
        <v>706.53747782947403</v>
      </c>
      <c r="D70" s="2">
        <v>8.8226653846153802</v>
      </c>
      <c r="E70" s="2">
        <v>1</v>
      </c>
      <c r="F70" s="12" t="s">
        <v>493</v>
      </c>
      <c r="G70" s="12" t="s">
        <v>404</v>
      </c>
      <c r="H70" s="5"/>
      <c r="I70" s="11">
        <v>356</v>
      </c>
      <c r="J70" s="11">
        <v>610</v>
      </c>
      <c r="K70" s="11">
        <v>995</v>
      </c>
      <c r="L70" s="11">
        <v>384</v>
      </c>
      <c r="M70" s="11">
        <v>374</v>
      </c>
      <c r="N70" s="11">
        <v>683</v>
      </c>
      <c r="O70" s="11">
        <v>931</v>
      </c>
      <c r="P70" s="11"/>
      <c r="Q70" s="11">
        <v>462</v>
      </c>
      <c r="R70" s="11">
        <v>1434</v>
      </c>
      <c r="S70" s="11">
        <v>748</v>
      </c>
      <c r="T70" s="11">
        <v>757</v>
      </c>
      <c r="U70" s="11">
        <v>683</v>
      </c>
      <c r="V70" s="11">
        <v>667</v>
      </c>
      <c r="W70" s="11">
        <v>1257</v>
      </c>
      <c r="X70" s="11"/>
      <c r="Y70" s="11">
        <v>0</v>
      </c>
      <c r="Z70" s="11">
        <v>621</v>
      </c>
      <c r="AA70" s="11">
        <v>576</v>
      </c>
      <c r="AB70" s="11">
        <v>490</v>
      </c>
      <c r="AC70" s="17">
        <f t="shared" si="11"/>
        <v>0.11836529198785094</v>
      </c>
      <c r="AD70" s="11">
        <f t="shared" si="12"/>
        <v>619</v>
      </c>
      <c r="AE70" s="11">
        <f t="shared" si="13"/>
        <v>858.28571428571433</v>
      </c>
      <c r="AF70" s="28">
        <f t="shared" si="17"/>
        <v>1.3865681975536581</v>
      </c>
      <c r="AG70" s="42">
        <f t="shared" si="15"/>
        <v>0.1780347191895692</v>
      </c>
      <c r="AH70" s="14" t="str">
        <f t="shared" si="14"/>
        <v>-</v>
      </c>
      <c r="AI70" s="11">
        <f t="shared" si="18"/>
        <v>169</v>
      </c>
      <c r="AJ70" s="11">
        <f t="shared" si="19"/>
        <v>169</v>
      </c>
      <c r="AK70" s="11">
        <f t="shared" si="16"/>
        <v>0.22017311426402345</v>
      </c>
      <c r="AL70" s="42">
        <f t="shared" si="20"/>
        <v>0.22017311426402345</v>
      </c>
      <c r="AM70" s="14" t="str">
        <f t="shared" si="21"/>
        <v/>
      </c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</row>
    <row r="71" spans="1:56" ht="27" customHeight="1" x14ac:dyDescent="0.2">
      <c r="A71" s="10" t="s">
        <v>357</v>
      </c>
      <c r="B71" s="11">
        <v>1436</v>
      </c>
      <c r="C71" s="2">
        <v>662.56852469128</v>
      </c>
      <c r="D71" s="2">
        <v>9.8164428571429294</v>
      </c>
      <c r="E71" s="2">
        <v>1</v>
      </c>
      <c r="F71" s="12" t="s">
        <v>734</v>
      </c>
      <c r="G71" s="12" t="s">
        <v>404</v>
      </c>
      <c r="H71" s="5"/>
      <c r="I71" s="11">
        <v>734</v>
      </c>
      <c r="J71" s="11">
        <v>494</v>
      </c>
      <c r="K71" s="11">
        <v>1391</v>
      </c>
      <c r="L71" s="11">
        <v>453</v>
      </c>
      <c r="M71" s="11">
        <v>538</v>
      </c>
      <c r="N71" s="11">
        <v>699</v>
      </c>
      <c r="O71" s="11">
        <v>744</v>
      </c>
      <c r="P71" s="11"/>
      <c r="Q71" s="11">
        <v>162</v>
      </c>
      <c r="R71" s="11">
        <v>882</v>
      </c>
      <c r="S71" s="11">
        <v>370</v>
      </c>
      <c r="T71" s="11">
        <v>348</v>
      </c>
      <c r="U71" s="11">
        <v>407</v>
      </c>
      <c r="V71" s="11">
        <v>270</v>
      </c>
      <c r="W71" s="11">
        <v>536</v>
      </c>
      <c r="X71" s="11"/>
      <c r="Y71" s="11">
        <v>52</v>
      </c>
      <c r="Z71" s="11">
        <v>518</v>
      </c>
      <c r="AA71" s="11">
        <v>594</v>
      </c>
      <c r="AB71" s="11">
        <v>390</v>
      </c>
      <c r="AC71" s="17">
        <f t="shared" si="11"/>
        <v>0.20592275283327072</v>
      </c>
      <c r="AD71" s="11">
        <f t="shared" si="12"/>
        <v>721.85714285714289</v>
      </c>
      <c r="AE71" s="11">
        <f t="shared" si="13"/>
        <v>425</v>
      </c>
      <c r="AF71" s="28">
        <f t="shared" si="17"/>
        <v>0.58875915297842862</v>
      </c>
      <c r="AG71" s="42">
        <f t="shared" si="15"/>
        <v>7.1535091209781618E-2</v>
      </c>
      <c r="AH71" s="14" t="str">
        <f t="shared" si="14"/>
        <v>-</v>
      </c>
      <c r="AI71" s="11">
        <f t="shared" si="18"/>
        <v>152</v>
      </c>
      <c r="AJ71" s="11">
        <f t="shared" si="19"/>
        <v>152</v>
      </c>
      <c r="AK71" s="11">
        <f t="shared" si="16"/>
        <v>9.8360750413449716E-2</v>
      </c>
      <c r="AL71" s="42">
        <f t="shared" si="20"/>
        <v>9.8360750413449716E-2</v>
      </c>
      <c r="AM71" s="14" t="str">
        <f t="shared" si="21"/>
        <v>*</v>
      </c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</row>
    <row r="72" spans="1:56" ht="27" customHeight="1" x14ac:dyDescent="0.2">
      <c r="A72" s="10" t="s">
        <v>357</v>
      </c>
      <c r="B72" s="11">
        <v>1506</v>
      </c>
      <c r="C72" s="2">
        <v>708.55394097114197</v>
      </c>
      <c r="D72" s="2">
        <v>9.1304666666665799</v>
      </c>
      <c r="E72" s="2">
        <v>1</v>
      </c>
      <c r="F72" s="12" t="s">
        <v>491</v>
      </c>
      <c r="G72" s="12" t="s">
        <v>404</v>
      </c>
      <c r="H72" s="5"/>
      <c r="I72" s="11">
        <v>286</v>
      </c>
      <c r="J72" s="11">
        <v>616</v>
      </c>
      <c r="K72" s="11">
        <v>723</v>
      </c>
      <c r="L72" s="11">
        <v>389</v>
      </c>
      <c r="M72" s="11">
        <v>421</v>
      </c>
      <c r="N72" s="11">
        <v>595</v>
      </c>
      <c r="O72" s="11">
        <v>687</v>
      </c>
      <c r="P72" s="11"/>
      <c r="Q72" s="11">
        <v>306</v>
      </c>
      <c r="R72" s="11">
        <v>1303</v>
      </c>
      <c r="S72" s="11">
        <v>594</v>
      </c>
      <c r="T72" s="11">
        <v>406</v>
      </c>
      <c r="U72" s="11">
        <v>384</v>
      </c>
      <c r="V72" s="11">
        <v>532</v>
      </c>
      <c r="W72" s="11">
        <v>994</v>
      </c>
      <c r="X72" s="11"/>
      <c r="Y72" s="11">
        <v>62</v>
      </c>
      <c r="Z72" s="11">
        <v>557</v>
      </c>
      <c r="AA72" s="11">
        <v>469</v>
      </c>
      <c r="AB72" s="11">
        <v>579</v>
      </c>
      <c r="AC72" s="17">
        <f t="shared" si="11"/>
        <v>0.10879725017461868</v>
      </c>
      <c r="AD72" s="11">
        <f t="shared" si="12"/>
        <v>531</v>
      </c>
      <c r="AE72" s="11">
        <f t="shared" si="13"/>
        <v>645.57142857142856</v>
      </c>
      <c r="AF72" s="28">
        <f t="shared" si="17"/>
        <v>1.2157654022060802</v>
      </c>
      <c r="AG72" s="42">
        <f t="shared" si="15"/>
        <v>0.47277138457527601</v>
      </c>
      <c r="AH72" s="14" t="str">
        <f t="shared" si="14"/>
        <v>-</v>
      </c>
      <c r="AI72" s="11">
        <f t="shared" si="18"/>
        <v>188</v>
      </c>
      <c r="AJ72" s="11">
        <f t="shared" si="19"/>
        <v>188</v>
      </c>
      <c r="AK72" s="11">
        <f t="shared" si="16"/>
        <v>0.52558095412889727</v>
      </c>
      <c r="AL72" s="42">
        <f t="shared" si="20"/>
        <v>0.52558095412889727</v>
      </c>
      <c r="AM72" s="14" t="str">
        <f t="shared" si="21"/>
        <v/>
      </c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</row>
    <row r="73" spans="1:56" ht="27" customHeight="1" x14ac:dyDescent="0.2">
      <c r="A73" s="10" t="s">
        <v>357</v>
      </c>
      <c r="B73" s="11">
        <v>1546</v>
      </c>
      <c r="C73" s="2">
        <v>640.58557925090895</v>
      </c>
      <c r="D73" s="2">
        <v>10.8768452380951</v>
      </c>
      <c r="E73" s="2">
        <v>1</v>
      </c>
      <c r="F73" s="12" t="s">
        <v>469</v>
      </c>
      <c r="G73" s="12" t="s">
        <v>404</v>
      </c>
      <c r="H73" s="5"/>
      <c r="I73" s="11">
        <v>1021</v>
      </c>
      <c r="J73" s="11">
        <v>723</v>
      </c>
      <c r="K73" s="11">
        <v>1422</v>
      </c>
      <c r="L73" s="11">
        <v>649</v>
      </c>
      <c r="M73" s="11">
        <v>596</v>
      </c>
      <c r="N73" s="11">
        <v>977</v>
      </c>
      <c r="O73" s="11">
        <v>985</v>
      </c>
      <c r="P73" s="11"/>
      <c r="Q73" s="11">
        <v>424</v>
      </c>
      <c r="R73" s="11">
        <v>1268</v>
      </c>
      <c r="S73" s="11">
        <v>648</v>
      </c>
      <c r="T73" s="11">
        <v>828</v>
      </c>
      <c r="U73" s="11">
        <v>1099</v>
      </c>
      <c r="V73" s="11">
        <v>693</v>
      </c>
      <c r="W73" s="11">
        <v>980</v>
      </c>
      <c r="X73" s="11"/>
      <c r="Y73" s="11">
        <v>0</v>
      </c>
      <c r="Z73" s="11">
        <v>760</v>
      </c>
      <c r="AA73" s="11">
        <v>770</v>
      </c>
      <c r="AB73" s="11">
        <v>628</v>
      </c>
      <c r="AC73" s="17">
        <f t="shared" si="11"/>
        <v>0.11017821568939941</v>
      </c>
      <c r="AD73" s="11">
        <f t="shared" si="12"/>
        <v>910.42857142857144</v>
      </c>
      <c r="AE73" s="11">
        <f t="shared" si="13"/>
        <v>848.57142857142856</v>
      </c>
      <c r="AF73" s="28">
        <f t="shared" si="17"/>
        <v>0.9320571159579476</v>
      </c>
      <c r="AG73" s="42">
        <f t="shared" si="15"/>
        <v>0.69371310544164166</v>
      </c>
      <c r="AH73" s="14" t="str">
        <f t="shared" si="14"/>
        <v>-</v>
      </c>
      <c r="AI73" s="11">
        <f t="shared" si="18"/>
        <v>197</v>
      </c>
      <c r="AJ73" s="11">
        <f t="shared" si="19"/>
        <v>197</v>
      </c>
      <c r="AK73" s="11">
        <f t="shared" si="16"/>
        <v>0.73596974130610715</v>
      </c>
      <c r="AL73" s="42">
        <f t="shared" si="20"/>
        <v>0.73596974130610715</v>
      </c>
      <c r="AM73" s="14" t="str">
        <f t="shared" si="21"/>
        <v/>
      </c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</row>
    <row r="74" spans="1:56" ht="27" customHeight="1" x14ac:dyDescent="0.2">
      <c r="A74" s="10" t="s">
        <v>357</v>
      </c>
      <c r="B74" s="11">
        <v>1587</v>
      </c>
      <c r="C74" s="2">
        <v>584.52212079077594</v>
      </c>
      <c r="D74" s="2">
        <v>9.1953115384616098</v>
      </c>
      <c r="E74" s="2">
        <v>1</v>
      </c>
      <c r="F74" s="12" t="s">
        <v>457</v>
      </c>
      <c r="G74" s="12" t="s">
        <v>404</v>
      </c>
      <c r="H74" s="5"/>
      <c r="I74" s="11">
        <v>448</v>
      </c>
      <c r="J74" s="11">
        <v>323</v>
      </c>
      <c r="K74" s="11">
        <v>746</v>
      </c>
      <c r="L74" s="11">
        <v>411</v>
      </c>
      <c r="M74" s="11">
        <v>264</v>
      </c>
      <c r="N74" s="11">
        <v>571</v>
      </c>
      <c r="O74" s="11">
        <v>492</v>
      </c>
      <c r="P74" s="11"/>
      <c r="Q74" s="11">
        <v>712</v>
      </c>
      <c r="R74" s="11">
        <v>1227</v>
      </c>
      <c r="S74" s="11">
        <v>732</v>
      </c>
      <c r="T74" s="11">
        <v>647</v>
      </c>
      <c r="U74" s="11">
        <v>573</v>
      </c>
      <c r="V74" s="11">
        <v>468</v>
      </c>
      <c r="W74" s="11">
        <v>1030</v>
      </c>
      <c r="X74" s="11"/>
      <c r="Y74" s="11">
        <v>41</v>
      </c>
      <c r="Z74" s="11">
        <v>645</v>
      </c>
      <c r="AA74" s="11">
        <v>750</v>
      </c>
      <c r="AB74" s="11">
        <v>494</v>
      </c>
      <c r="AC74" s="17">
        <f t="shared" si="11"/>
        <v>0.20437314771235532</v>
      </c>
      <c r="AD74" s="11">
        <f t="shared" si="12"/>
        <v>465</v>
      </c>
      <c r="AE74" s="11">
        <f t="shared" si="13"/>
        <v>769.85714285714289</v>
      </c>
      <c r="AF74" s="28">
        <f t="shared" si="17"/>
        <v>1.6556067588325654</v>
      </c>
      <c r="AG74" s="42">
        <f t="shared" si="15"/>
        <v>2.718049824278191E-2</v>
      </c>
      <c r="AH74" s="14" t="str">
        <f t="shared" si="14"/>
        <v>*</v>
      </c>
      <c r="AI74" s="11">
        <f t="shared" si="18"/>
        <v>140</v>
      </c>
      <c r="AJ74" s="11">
        <f t="shared" si="19"/>
        <v>140</v>
      </c>
      <c r="AK74" s="11">
        <f t="shared" si="16"/>
        <v>4.0576600948152998E-2</v>
      </c>
      <c r="AL74" s="42">
        <f t="shared" si="20"/>
        <v>4.0576600948152998E-2</v>
      </c>
      <c r="AM74" s="14" t="str">
        <f t="shared" si="21"/>
        <v>**</v>
      </c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</row>
    <row r="75" spans="1:56" ht="27" customHeight="1" x14ac:dyDescent="0.2">
      <c r="A75" s="10" t="s">
        <v>357</v>
      </c>
      <c r="B75" s="11">
        <v>1775</v>
      </c>
      <c r="C75" s="2">
        <v>656.52193128119302</v>
      </c>
      <c r="D75" s="2">
        <v>8.6787875000000003</v>
      </c>
      <c r="E75" s="2">
        <v>1</v>
      </c>
      <c r="F75" s="12" t="s">
        <v>500</v>
      </c>
      <c r="G75" s="12" t="s">
        <v>404</v>
      </c>
      <c r="H75" s="5"/>
      <c r="I75" s="11">
        <v>701</v>
      </c>
      <c r="J75" s="11">
        <v>257</v>
      </c>
      <c r="K75" s="11">
        <v>739</v>
      </c>
      <c r="L75" s="11">
        <v>449</v>
      </c>
      <c r="M75" s="11">
        <v>263</v>
      </c>
      <c r="N75" s="11">
        <v>483</v>
      </c>
      <c r="O75" s="11">
        <v>708</v>
      </c>
      <c r="P75" s="11"/>
      <c r="Q75" s="11">
        <v>383</v>
      </c>
      <c r="R75" s="11">
        <v>1071</v>
      </c>
      <c r="S75" s="11">
        <v>375</v>
      </c>
      <c r="T75" s="11">
        <v>567</v>
      </c>
      <c r="U75" s="11">
        <v>358</v>
      </c>
      <c r="V75" s="11">
        <v>480</v>
      </c>
      <c r="W75" s="11">
        <v>768</v>
      </c>
      <c r="X75" s="11"/>
      <c r="Y75" s="11">
        <v>0</v>
      </c>
      <c r="Z75" s="11">
        <v>494</v>
      </c>
      <c r="AA75" s="11">
        <v>459</v>
      </c>
      <c r="AB75" s="11">
        <v>472</v>
      </c>
      <c r="AC75" s="17">
        <f t="shared" si="11"/>
        <v>3.7245907395692911E-2</v>
      </c>
      <c r="AD75" s="11">
        <f t="shared" si="12"/>
        <v>514.28571428571433</v>
      </c>
      <c r="AE75" s="11">
        <f t="shared" si="13"/>
        <v>571.71428571428567</v>
      </c>
      <c r="AF75" s="28">
        <f t="shared" si="17"/>
        <v>1.1116666666666664</v>
      </c>
      <c r="AG75" s="42">
        <f t="shared" si="15"/>
        <v>0.65876461951419896</v>
      </c>
      <c r="AH75" s="14" t="str">
        <f t="shared" si="14"/>
        <v>-</v>
      </c>
      <c r="AI75" s="11">
        <f t="shared" si="18"/>
        <v>195</v>
      </c>
      <c r="AJ75" s="11">
        <f t="shared" si="19"/>
        <v>195</v>
      </c>
      <c r="AK75" s="11">
        <f t="shared" si="16"/>
        <v>0.70606054091521842</v>
      </c>
      <c r="AL75" s="42">
        <f t="shared" si="20"/>
        <v>0.70606054091521842</v>
      </c>
      <c r="AM75" s="14" t="str">
        <f t="shared" si="21"/>
        <v/>
      </c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</row>
    <row r="76" spans="1:56" ht="27" customHeight="1" x14ac:dyDescent="0.2">
      <c r="A76" s="10" t="s">
        <v>357</v>
      </c>
      <c r="B76" s="11">
        <v>1889</v>
      </c>
      <c r="C76" s="2">
        <v>632.52424224974698</v>
      </c>
      <c r="D76" s="2">
        <v>8.6243104166667397</v>
      </c>
      <c r="E76" s="2">
        <v>1</v>
      </c>
      <c r="F76" s="12" t="s">
        <v>476</v>
      </c>
      <c r="G76" s="12" t="s">
        <v>404</v>
      </c>
      <c r="H76" s="5"/>
      <c r="I76" s="11">
        <v>997</v>
      </c>
      <c r="J76" s="11">
        <v>480</v>
      </c>
      <c r="K76" s="11">
        <v>927</v>
      </c>
      <c r="L76" s="11">
        <v>351</v>
      </c>
      <c r="M76" s="11">
        <v>220</v>
      </c>
      <c r="N76" s="11">
        <v>795</v>
      </c>
      <c r="O76" s="11">
        <v>849</v>
      </c>
      <c r="P76" s="11"/>
      <c r="Q76" s="11">
        <v>330</v>
      </c>
      <c r="R76" s="11">
        <v>898</v>
      </c>
      <c r="S76" s="11">
        <v>558</v>
      </c>
      <c r="T76" s="11">
        <v>948</v>
      </c>
      <c r="U76" s="11">
        <v>1077</v>
      </c>
      <c r="V76" s="11">
        <v>162</v>
      </c>
      <c r="W76" s="11">
        <v>378</v>
      </c>
      <c r="X76" s="11"/>
      <c r="Y76" s="11">
        <v>0</v>
      </c>
      <c r="Z76" s="11">
        <v>516</v>
      </c>
      <c r="AA76" s="11">
        <v>510</v>
      </c>
      <c r="AB76" s="11">
        <v>405</v>
      </c>
      <c r="AC76" s="17">
        <f t="shared" si="11"/>
        <v>0.13087202545084786</v>
      </c>
      <c r="AD76" s="11">
        <f t="shared" si="12"/>
        <v>659.85714285714289</v>
      </c>
      <c r="AE76" s="11">
        <f t="shared" si="13"/>
        <v>621.57142857142856</v>
      </c>
      <c r="AF76" s="28">
        <f t="shared" si="17"/>
        <v>0.94197878328642559</v>
      </c>
      <c r="AG76" s="42">
        <f t="shared" si="15"/>
        <v>0.8321105110437601</v>
      </c>
      <c r="AH76" s="14" t="str">
        <f t="shared" si="14"/>
        <v>-</v>
      </c>
      <c r="AI76" s="11">
        <f t="shared" si="18"/>
        <v>203</v>
      </c>
      <c r="AJ76" s="11">
        <f t="shared" si="19"/>
        <v>203</v>
      </c>
      <c r="AK76" s="11">
        <f t="shared" si="16"/>
        <v>0.856704910384955</v>
      </c>
      <c r="AL76" s="42">
        <f t="shared" si="20"/>
        <v>0.856704910384955</v>
      </c>
      <c r="AM76" s="14" t="str">
        <f t="shared" si="21"/>
        <v/>
      </c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</row>
    <row r="77" spans="1:56" ht="27" customHeight="1" x14ac:dyDescent="0.2">
      <c r="A77" s="10" t="s">
        <v>357</v>
      </c>
      <c r="B77" s="11">
        <v>1956</v>
      </c>
      <c r="C77" s="2">
        <v>582.50646418915505</v>
      </c>
      <c r="D77" s="2">
        <v>8.6750346153846092</v>
      </c>
      <c r="E77" s="2">
        <v>1</v>
      </c>
      <c r="F77" s="12" t="s">
        <v>468</v>
      </c>
      <c r="G77" s="12" t="s">
        <v>404</v>
      </c>
      <c r="H77" s="5"/>
      <c r="I77" s="11">
        <v>444</v>
      </c>
      <c r="J77" s="11">
        <v>521</v>
      </c>
      <c r="K77" s="11">
        <v>573</v>
      </c>
      <c r="L77" s="11">
        <v>519</v>
      </c>
      <c r="M77" s="11">
        <v>423</v>
      </c>
      <c r="N77" s="11">
        <v>639</v>
      </c>
      <c r="O77" s="11">
        <v>740</v>
      </c>
      <c r="P77" s="11"/>
      <c r="Q77" s="11">
        <v>597</v>
      </c>
      <c r="R77" s="11">
        <v>935</v>
      </c>
      <c r="S77" s="11">
        <v>567</v>
      </c>
      <c r="T77" s="11">
        <v>795</v>
      </c>
      <c r="U77" s="11">
        <v>748</v>
      </c>
      <c r="V77" s="11">
        <v>479</v>
      </c>
      <c r="W77" s="11">
        <v>957</v>
      </c>
      <c r="X77" s="11"/>
      <c r="Y77" s="11">
        <v>0</v>
      </c>
      <c r="Z77" s="11">
        <v>418</v>
      </c>
      <c r="AA77" s="11">
        <v>429</v>
      </c>
      <c r="AB77" s="11">
        <v>336</v>
      </c>
      <c r="AC77" s="17">
        <f t="shared" si="11"/>
        <v>0.12886727962856334</v>
      </c>
      <c r="AD77" s="11">
        <f t="shared" si="12"/>
        <v>551.28571428571433</v>
      </c>
      <c r="AE77" s="11">
        <f t="shared" si="13"/>
        <v>725.42857142857144</v>
      </c>
      <c r="AF77" s="28">
        <f t="shared" si="17"/>
        <v>1.3158849442860845</v>
      </c>
      <c r="AG77" s="42">
        <f t="shared" si="15"/>
        <v>5.8835580197442013E-2</v>
      </c>
      <c r="AH77" s="14" t="str">
        <f t="shared" si="14"/>
        <v>-</v>
      </c>
      <c r="AI77" s="11">
        <f t="shared" si="18"/>
        <v>148</v>
      </c>
      <c r="AJ77" s="11">
        <f t="shared" si="19"/>
        <v>148</v>
      </c>
      <c r="AK77" s="11">
        <f t="shared" si="16"/>
        <v>8.3085380143685009E-2</v>
      </c>
      <c r="AL77" s="42">
        <f t="shared" si="20"/>
        <v>8.3085380143685009E-2</v>
      </c>
      <c r="AM77" s="14" t="str">
        <f t="shared" si="21"/>
        <v>*</v>
      </c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</row>
    <row r="78" spans="1:56" ht="27" customHeight="1" x14ac:dyDescent="0.2">
      <c r="A78" s="10" t="s">
        <v>357</v>
      </c>
      <c r="B78" s="11">
        <v>2251</v>
      </c>
      <c r="C78" s="2">
        <v>634.54005097280105</v>
      </c>
      <c r="D78" s="2">
        <v>9.4106714285714297</v>
      </c>
      <c r="E78" s="2">
        <v>1</v>
      </c>
      <c r="F78" s="12" t="s">
        <v>644</v>
      </c>
      <c r="G78" s="12" t="s">
        <v>404</v>
      </c>
      <c r="H78" s="5"/>
      <c r="I78" s="11">
        <v>365</v>
      </c>
      <c r="J78" s="11">
        <v>320</v>
      </c>
      <c r="K78" s="11">
        <v>603</v>
      </c>
      <c r="L78" s="11">
        <v>505</v>
      </c>
      <c r="M78" s="11">
        <v>338</v>
      </c>
      <c r="N78" s="11">
        <v>384</v>
      </c>
      <c r="O78" s="11">
        <v>539</v>
      </c>
      <c r="P78" s="11"/>
      <c r="Q78" s="11">
        <v>325</v>
      </c>
      <c r="R78" s="11">
        <v>790</v>
      </c>
      <c r="S78" s="11">
        <v>502</v>
      </c>
      <c r="T78" s="11">
        <v>566</v>
      </c>
      <c r="U78" s="11">
        <v>672</v>
      </c>
      <c r="V78" s="11">
        <v>645</v>
      </c>
      <c r="W78" s="11">
        <v>668</v>
      </c>
      <c r="X78" s="11"/>
      <c r="Y78" s="11">
        <v>83</v>
      </c>
      <c r="Z78" s="11">
        <v>569</v>
      </c>
      <c r="AA78" s="11">
        <v>482</v>
      </c>
      <c r="AB78" s="11">
        <v>371</v>
      </c>
      <c r="AC78" s="17">
        <f t="shared" si="11"/>
        <v>0.20937157837828013</v>
      </c>
      <c r="AD78" s="11">
        <f t="shared" si="12"/>
        <v>436.28571428571428</v>
      </c>
      <c r="AE78" s="11">
        <f t="shared" si="13"/>
        <v>595.42857142857144</v>
      </c>
      <c r="AF78" s="28">
        <f t="shared" si="17"/>
        <v>1.3647675180091683</v>
      </c>
      <c r="AG78" s="42">
        <f t="shared" si="15"/>
        <v>4.4923672960130806E-2</v>
      </c>
      <c r="AH78" s="14" t="str">
        <f t="shared" si="14"/>
        <v>*</v>
      </c>
      <c r="AI78" s="11">
        <f t="shared" si="18"/>
        <v>145</v>
      </c>
      <c r="AJ78" s="11">
        <f t="shared" si="19"/>
        <v>145</v>
      </c>
      <c r="AK78" s="11">
        <f t="shared" si="16"/>
        <v>6.4752052749429925E-2</v>
      </c>
      <c r="AL78" s="42">
        <f t="shared" si="20"/>
        <v>6.4752052749429925E-2</v>
      </c>
      <c r="AM78" s="14" t="str">
        <f t="shared" si="21"/>
        <v>*</v>
      </c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</row>
    <row r="79" spans="1:56" ht="27" customHeight="1" x14ac:dyDescent="0.2">
      <c r="A79" s="10" t="s">
        <v>357</v>
      </c>
      <c r="B79" s="11">
        <v>2299</v>
      </c>
      <c r="C79" s="2">
        <v>740.61631507067</v>
      </c>
      <c r="D79" s="2">
        <v>11.099303571428599</v>
      </c>
      <c r="E79" s="2">
        <v>1</v>
      </c>
      <c r="F79" s="12" t="s">
        <v>498</v>
      </c>
      <c r="G79" s="12" t="s">
        <v>404</v>
      </c>
      <c r="H79" s="5"/>
      <c r="I79" s="11">
        <v>357</v>
      </c>
      <c r="J79" s="11">
        <v>537</v>
      </c>
      <c r="K79" s="11">
        <v>772</v>
      </c>
      <c r="L79" s="11">
        <v>302</v>
      </c>
      <c r="M79" s="11">
        <v>378</v>
      </c>
      <c r="N79" s="11">
        <v>607</v>
      </c>
      <c r="O79" s="11">
        <v>622</v>
      </c>
      <c r="P79" s="11"/>
      <c r="Q79" s="11">
        <v>165</v>
      </c>
      <c r="R79" s="11">
        <v>598</v>
      </c>
      <c r="S79" s="11">
        <v>339</v>
      </c>
      <c r="T79" s="11">
        <v>375</v>
      </c>
      <c r="U79" s="11">
        <v>525</v>
      </c>
      <c r="V79" s="11">
        <v>274</v>
      </c>
      <c r="W79" s="11">
        <v>578</v>
      </c>
      <c r="X79" s="11"/>
      <c r="Y79" s="11">
        <v>102</v>
      </c>
      <c r="Z79" s="11">
        <v>435</v>
      </c>
      <c r="AA79" s="11">
        <v>434</v>
      </c>
      <c r="AB79" s="11">
        <v>394</v>
      </c>
      <c r="AC79" s="17">
        <f t="shared" si="11"/>
        <v>5.5553518116515439E-2</v>
      </c>
      <c r="AD79" s="11">
        <f t="shared" si="12"/>
        <v>510.71428571428572</v>
      </c>
      <c r="AE79" s="11">
        <f t="shared" si="13"/>
        <v>407.71428571428572</v>
      </c>
      <c r="AF79" s="28">
        <f t="shared" si="17"/>
        <v>0.79832167832167833</v>
      </c>
      <c r="AG79" s="42">
        <f t="shared" si="15"/>
        <v>0.27261224586175842</v>
      </c>
      <c r="AH79" s="14" t="str">
        <f t="shared" si="14"/>
        <v>-</v>
      </c>
      <c r="AI79" s="11">
        <f t="shared" si="18"/>
        <v>177</v>
      </c>
      <c r="AJ79" s="11">
        <f t="shared" si="19"/>
        <v>177</v>
      </c>
      <c r="AK79" s="11">
        <f t="shared" si="16"/>
        <v>0.32189807562207634</v>
      </c>
      <c r="AL79" s="42">
        <f t="shared" si="20"/>
        <v>0.32189807562207634</v>
      </c>
      <c r="AM79" s="14" t="str">
        <f t="shared" si="21"/>
        <v/>
      </c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</row>
    <row r="80" spans="1:56" ht="27" customHeight="1" x14ac:dyDescent="0.2">
      <c r="A80" s="10" t="s">
        <v>357</v>
      </c>
      <c r="B80" s="11">
        <v>2339</v>
      </c>
      <c r="C80" s="2">
        <v>722.66282033946004</v>
      </c>
      <c r="D80" s="2">
        <v>12.7729333333334</v>
      </c>
      <c r="E80" s="2">
        <v>1</v>
      </c>
      <c r="F80" s="12" t="s">
        <v>501</v>
      </c>
      <c r="G80" s="12" t="s">
        <v>404</v>
      </c>
      <c r="H80" s="5"/>
      <c r="I80" s="11">
        <v>408</v>
      </c>
      <c r="J80" s="11">
        <v>540</v>
      </c>
      <c r="K80" s="11">
        <v>757</v>
      </c>
      <c r="L80" s="11">
        <v>229</v>
      </c>
      <c r="M80" s="11">
        <v>536</v>
      </c>
      <c r="N80" s="11">
        <v>625</v>
      </c>
      <c r="O80" s="11">
        <v>632</v>
      </c>
      <c r="P80" s="11"/>
      <c r="Q80" s="11">
        <v>96</v>
      </c>
      <c r="R80" s="11">
        <v>343</v>
      </c>
      <c r="S80" s="11">
        <v>96</v>
      </c>
      <c r="T80" s="11">
        <v>76</v>
      </c>
      <c r="U80" s="11">
        <v>111</v>
      </c>
      <c r="V80" s="11">
        <v>60</v>
      </c>
      <c r="W80" s="11">
        <v>250</v>
      </c>
      <c r="X80" s="11"/>
      <c r="Y80" s="11">
        <v>0</v>
      </c>
      <c r="Z80" s="11">
        <v>340</v>
      </c>
      <c r="AA80" s="11">
        <v>315</v>
      </c>
      <c r="AB80" s="11">
        <v>236</v>
      </c>
      <c r="AC80" s="17">
        <f t="shared" si="11"/>
        <v>0.18278208145643049</v>
      </c>
      <c r="AD80" s="11">
        <f t="shared" si="12"/>
        <v>532.42857142857144</v>
      </c>
      <c r="AE80" s="11">
        <f t="shared" si="13"/>
        <v>147.42857142857142</v>
      </c>
      <c r="AF80" s="28">
        <f t="shared" si="17"/>
        <v>0.27689830963241208</v>
      </c>
      <c r="AG80" s="42">
        <f t="shared" si="15"/>
        <v>4.9874121661525668E-4</v>
      </c>
      <c r="AH80" s="14" t="str">
        <f t="shared" si="14"/>
        <v>***</v>
      </c>
      <c r="AI80" s="11">
        <f t="shared" si="18"/>
        <v>71</v>
      </c>
      <c r="AJ80" s="11">
        <f t="shared" si="19"/>
        <v>71</v>
      </c>
      <c r="AK80" s="11">
        <f t="shared" si="16"/>
        <v>1.4681255531350512E-3</v>
      </c>
      <c r="AL80" s="42">
        <f t="shared" si="20"/>
        <v>1.4681255531350512E-3</v>
      </c>
      <c r="AM80" s="14" t="str">
        <f t="shared" si="21"/>
        <v>**</v>
      </c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</row>
    <row r="81" spans="1:56" ht="27" customHeight="1" x14ac:dyDescent="0.2">
      <c r="A81" s="10" t="s">
        <v>357</v>
      </c>
      <c r="B81" s="11">
        <v>2394</v>
      </c>
      <c r="C81" s="2">
        <v>614.56941760621999</v>
      </c>
      <c r="D81" s="2">
        <v>10.736868749999999</v>
      </c>
      <c r="E81" s="2">
        <v>1</v>
      </c>
      <c r="F81" s="12" t="s">
        <v>480</v>
      </c>
      <c r="G81" s="12" t="s">
        <v>404</v>
      </c>
      <c r="H81" s="5"/>
      <c r="I81" s="11">
        <v>355</v>
      </c>
      <c r="J81" s="11">
        <v>390</v>
      </c>
      <c r="K81" s="11">
        <v>542</v>
      </c>
      <c r="L81" s="11">
        <v>335</v>
      </c>
      <c r="M81" s="11">
        <v>309</v>
      </c>
      <c r="N81" s="11">
        <v>343</v>
      </c>
      <c r="O81" s="11">
        <v>387</v>
      </c>
      <c r="P81" s="11"/>
      <c r="Q81" s="11">
        <v>339</v>
      </c>
      <c r="R81" s="11">
        <v>715</v>
      </c>
      <c r="S81" s="11">
        <v>441</v>
      </c>
      <c r="T81" s="11">
        <v>565</v>
      </c>
      <c r="U81" s="11">
        <v>738</v>
      </c>
      <c r="V81" s="11">
        <v>375</v>
      </c>
      <c r="W81" s="11">
        <v>700</v>
      </c>
      <c r="X81" s="11"/>
      <c r="Y81" s="11">
        <v>92</v>
      </c>
      <c r="Z81" s="11">
        <v>380</v>
      </c>
      <c r="AA81" s="11">
        <v>477</v>
      </c>
      <c r="AB81" s="11">
        <v>496</v>
      </c>
      <c r="AC81" s="17">
        <f t="shared" si="11"/>
        <v>0.13795423707585172</v>
      </c>
      <c r="AD81" s="11">
        <f t="shared" si="12"/>
        <v>380.14285714285717</v>
      </c>
      <c r="AE81" s="11">
        <f t="shared" si="13"/>
        <v>553.28571428571433</v>
      </c>
      <c r="AF81" s="28">
        <f t="shared" si="17"/>
        <v>1.455467869222097</v>
      </c>
      <c r="AG81" s="42">
        <f t="shared" si="15"/>
        <v>3.7926413185337723E-2</v>
      </c>
      <c r="AH81" s="14" t="str">
        <f t="shared" si="14"/>
        <v>*</v>
      </c>
      <c r="AI81" s="11">
        <f t="shared" si="18"/>
        <v>144</v>
      </c>
      <c r="AJ81" s="11">
        <f t="shared" si="19"/>
        <v>144</v>
      </c>
      <c r="AK81" s="11">
        <f t="shared" si="16"/>
        <v>5.5045974692608218E-2</v>
      </c>
      <c r="AL81" s="42">
        <f t="shared" si="20"/>
        <v>5.5045974692608218E-2</v>
      </c>
      <c r="AM81" s="14" t="str">
        <f t="shared" si="21"/>
        <v>*</v>
      </c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</row>
    <row r="82" spans="1:56" ht="27" customHeight="1" x14ac:dyDescent="0.2">
      <c r="A82" s="10" t="s">
        <v>357</v>
      </c>
      <c r="B82" s="11">
        <v>2505</v>
      </c>
      <c r="C82" s="2">
        <v>688.58291273145005</v>
      </c>
      <c r="D82" s="2">
        <v>10.3781055555555</v>
      </c>
      <c r="E82" s="2">
        <v>1</v>
      </c>
      <c r="F82" s="12" t="s">
        <v>646</v>
      </c>
      <c r="G82" s="12" t="s">
        <v>404</v>
      </c>
      <c r="H82" s="5"/>
      <c r="I82" s="11">
        <v>223</v>
      </c>
      <c r="J82" s="11">
        <v>350</v>
      </c>
      <c r="K82" s="11">
        <v>628</v>
      </c>
      <c r="L82" s="11">
        <v>276</v>
      </c>
      <c r="M82" s="11">
        <v>256</v>
      </c>
      <c r="N82" s="11">
        <v>510</v>
      </c>
      <c r="O82" s="11">
        <v>492</v>
      </c>
      <c r="P82" s="11"/>
      <c r="Q82" s="11">
        <v>219</v>
      </c>
      <c r="R82" s="11">
        <v>690</v>
      </c>
      <c r="S82" s="11">
        <v>296</v>
      </c>
      <c r="T82" s="11">
        <v>321</v>
      </c>
      <c r="U82" s="11">
        <v>583</v>
      </c>
      <c r="V82" s="11">
        <v>483</v>
      </c>
      <c r="W82" s="11">
        <v>418</v>
      </c>
      <c r="X82" s="11"/>
      <c r="Y82" s="11">
        <v>0</v>
      </c>
      <c r="Z82" s="11">
        <v>410</v>
      </c>
      <c r="AA82" s="11">
        <v>376</v>
      </c>
      <c r="AB82" s="11">
        <v>303</v>
      </c>
      <c r="AC82" s="17">
        <f t="shared" si="11"/>
        <v>0.15061087529296577</v>
      </c>
      <c r="AD82" s="11">
        <f t="shared" si="12"/>
        <v>390.71428571428572</v>
      </c>
      <c r="AE82" s="11">
        <f t="shared" si="13"/>
        <v>430</v>
      </c>
      <c r="AF82" s="28">
        <f t="shared" si="17"/>
        <v>1.1005484460694699</v>
      </c>
      <c r="AG82" s="42">
        <f t="shared" si="15"/>
        <v>0.65580492783221489</v>
      </c>
      <c r="AH82" s="14" t="str">
        <f t="shared" si="14"/>
        <v>-</v>
      </c>
      <c r="AI82" s="11">
        <f t="shared" si="18"/>
        <v>194</v>
      </c>
      <c r="AJ82" s="11">
        <f t="shared" si="19"/>
        <v>194</v>
      </c>
      <c r="AK82" s="11">
        <f t="shared" si="16"/>
        <v>0.70651149441717997</v>
      </c>
      <c r="AL82" s="42">
        <f t="shared" si="20"/>
        <v>0.70606054091521842</v>
      </c>
      <c r="AM82" s="14" t="str">
        <f t="shared" si="21"/>
        <v/>
      </c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</row>
    <row r="83" spans="1:56" ht="27" customHeight="1" x14ac:dyDescent="0.2">
      <c r="A83" s="10" t="s">
        <v>357</v>
      </c>
      <c r="B83" s="11">
        <v>3034</v>
      </c>
      <c r="C83" s="2">
        <v>710.57041963799804</v>
      </c>
      <c r="D83" s="2">
        <v>9.6112888888887493</v>
      </c>
      <c r="E83" s="2">
        <v>1</v>
      </c>
      <c r="F83" s="12" t="s">
        <v>650</v>
      </c>
      <c r="G83" s="12" t="s">
        <v>404</v>
      </c>
      <c r="H83" s="5"/>
      <c r="I83" s="11">
        <v>164</v>
      </c>
      <c r="J83" s="11">
        <v>192</v>
      </c>
      <c r="K83" s="11">
        <v>271</v>
      </c>
      <c r="L83" s="11">
        <v>124</v>
      </c>
      <c r="M83" s="11">
        <v>112</v>
      </c>
      <c r="N83" s="11">
        <v>181</v>
      </c>
      <c r="O83" s="11">
        <v>189</v>
      </c>
      <c r="P83" s="11"/>
      <c r="Q83" s="11">
        <v>130</v>
      </c>
      <c r="R83" s="11">
        <v>535</v>
      </c>
      <c r="S83" s="11">
        <v>135</v>
      </c>
      <c r="T83" s="11">
        <v>241</v>
      </c>
      <c r="U83" s="11">
        <v>178</v>
      </c>
      <c r="V83" s="11">
        <v>191</v>
      </c>
      <c r="W83" s="11">
        <v>301</v>
      </c>
      <c r="X83" s="11"/>
      <c r="Y83" s="11">
        <v>0</v>
      </c>
      <c r="Z83" s="11">
        <v>298</v>
      </c>
      <c r="AA83" s="11">
        <v>204</v>
      </c>
      <c r="AB83" s="11">
        <v>220</v>
      </c>
      <c r="AC83" s="17">
        <f t="shared" si="11"/>
        <v>0.20897151482041307</v>
      </c>
      <c r="AD83" s="11">
        <f t="shared" si="12"/>
        <v>176.14285714285714</v>
      </c>
      <c r="AE83" s="11">
        <f t="shared" si="13"/>
        <v>244.42857142857142</v>
      </c>
      <c r="AF83" s="28">
        <f t="shared" si="17"/>
        <v>1.3876723438767233</v>
      </c>
      <c r="AG83" s="42">
        <f t="shared" si="15"/>
        <v>0.26679096331876556</v>
      </c>
      <c r="AH83" s="14" t="str">
        <f t="shared" si="14"/>
        <v>-</v>
      </c>
      <c r="AI83" s="11">
        <f t="shared" si="18"/>
        <v>176</v>
      </c>
      <c r="AJ83" s="11">
        <f t="shared" si="19"/>
        <v>176</v>
      </c>
      <c r="AK83" s="11">
        <f t="shared" si="16"/>
        <v>0.31681426894103409</v>
      </c>
      <c r="AL83" s="42">
        <f t="shared" si="20"/>
        <v>0.31681426894103409</v>
      </c>
      <c r="AM83" s="14" t="str">
        <f t="shared" si="21"/>
        <v/>
      </c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</row>
    <row r="84" spans="1:56" ht="27" customHeight="1" x14ac:dyDescent="0.2">
      <c r="A84" s="10" t="s">
        <v>357</v>
      </c>
      <c r="B84" s="11">
        <v>4588</v>
      </c>
      <c r="C84" s="2">
        <v>720.64812034641795</v>
      </c>
      <c r="D84" s="2">
        <v>12.123876190476199</v>
      </c>
      <c r="E84" s="2">
        <v>1</v>
      </c>
      <c r="F84" s="12" t="s">
        <v>502</v>
      </c>
      <c r="G84" s="12" t="s">
        <v>404</v>
      </c>
      <c r="H84" s="5"/>
      <c r="I84" s="11">
        <v>94</v>
      </c>
      <c r="J84" s="11">
        <v>180</v>
      </c>
      <c r="K84" s="11">
        <v>334</v>
      </c>
      <c r="L84" s="11">
        <v>132</v>
      </c>
      <c r="M84" s="11">
        <v>141</v>
      </c>
      <c r="N84" s="11">
        <v>139</v>
      </c>
      <c r="O84" s="11">
        <v>222</v>
      </c>
      <c r="P84" s="11"/>
      <c r="Q84" s="11">
        <v>0</v>
      </c>
      <c r="R84" s="11">
        <v>158</v>
      </c>
      <c r="S84" s="11">
        <v>83</v>
      </c>
      <c r="T84" s="11">
        <v>164</v>
      </c>
      <c r="U84" s="11">
        <v>97</v>
      </c>
      <c r="V84" s="11">
        <v>19</v>
      </c>
      <c r="W84" s="11">
        <v>149</v>
      </c>
      <c r="X84" s="11"/>
      <c r="Y84" s="11">
        <v>0</v>
      </c>
      <c r="Z84" s="11">
        <v>117</v>
      </c>
      <c r="AA84" s="11">
        <v>113</v>
      </c>
      <c r="AB84" s="11">
        <v>163</v>
      </c>
      <c r="AC84" s="17">
        <f t="shared" si="11"/>
        <v>0.21209838151831761</v>
      </c>
      <c r="AD84" s="11">
        <f t="shared" si="12"/>
        <v>177.42857142857142</v>
      </c>
      <c r="AE84" s="11">
        <f t="shared" si="13"/>
        <v>95.714285714285708</v>
      </c>
      <c r="AF84" s="28">
        <f t="shared" si="17"/>
        <v>0.53945249597423506</v>
      </c>
      <c r="AG84" s="42">
        <f t="shared" si="15"/>
        <v>6.054871897466324E-2</v>
      </c>
      <c r="AH84" s="14" t="str">
        <f t="shared" si="14"/>
        <v>-</v>
      </c>
      <c r="AI84" s="11">
        <f t="shared" si="18"/>
        <v>149</v>
      </c>
      <c r="AJ84" s="11">
        <f t="shared" si="19"/>
        <v>149</v>
      </c>
      <c r="AK84" s="11">
        <f t="shared" si="16"/>
        <v>8.4930753461104805E-2</v>
      </c>
      <c r="AL84" s="42">
        <f t="shared" si="20"/>
        <v>8.4930753461104805E-2</v>
      </c>
      <c r="AM84" s="14" t="str">
        <f t="shared" si="21"/>
        <v>*</v>
      </c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</row>
    <row r="85" spans="1:56" ht="27" customHeight="1" x14ac:dyDescent="0.2">
      <c r="A85" s="10" t="s">
        <v>357</v>
      </c>
      <c r="B85" s="11">
        <v>5067</v>
      </c>
      <c r="C85" s="2">
        <v>742.63394572717698</v>
      </c>
      <c r="D85" s="2">
        <v>11.333021428571399</v>
      </c>
      <c r="E85" s="2">
        <v>1</v>
      </c>
      <c r="F85" s="12" t="s">
        <v>503</v>
      </c>
      <c r="G85" s="12" t="s">
        <v>404</v>
      </c>
      <c r="H85" s="5"/>
      <c r="I85" s="11">
        <v>107</v>
      </c>
      <c r="J85" s="11">
        <v>156</v>
      </c>
      <c r="K85" s="11">
        <v>303</v>
      </c>
      <c r="L85" s="11">
        <v>112</v>
      </c>
      <c r="M85" s="11">
        <v>159</v>
      </c>
      <c r="N85" s="11">
        <v>212</v>
      </c>
      <c r="O85" s="11">
        <v>175</v>
      </c>
      <c r="P85" s="11"/>
      <c r="Q85" s="11">
        <v>34</v>
      </c>
      <c r="R85" s="11">
        <v>159</v>
      </c>
      <c r="S85" s="11">
        <v>90</v>
      </c>
      <c r="T85" s="11">
        <v>74</v>
      </c>
      <c r="U85" s="11">
        <v>104</v>
      </c>
      <c r="V85" s="11">
        <v>64</v>
      </c>
      <c r="W85" s="11">
        <v>120</v>
      </c>
      <c r="X85" s="11"/>
      <c r="Y85" s="11">
        <v>0</v>
      </c>
      <c r="Z85" s="11">
        <v>164</v>
      </c>
      <c r="AA85" s="11">
        <v>119</v>
      </c>
      <c r="AB85" s="11">
        <v>113</v>
      </c>
      <c r="AC85" s="17">
        <f t="shared" si="11"/>
        <v>0.21117211916312656</v>
      </c>
      <c r="AD85" s="11">
        <f t="shared" si="12"/>
        <v>174.85714285714286</v>
      </c>
      <c r="AE85" s="11">
        <f t="shared" si="13"/>
        <v>92.142857142857139</v>
      </c>
      <c r="AF85" s="28">
        <f t="shared" si="17"/>
        <v>0.52696078431372551</v>
      </c>
      <c r="AG85" s="42">
        <f t="shared" si="15"/>
        <v>1.9253439297230508E-2</v>
      </c>
      <c r="AH85" s="14" t="str">
        <f t="shared" si="14"/>
        <v>*</v>
      </c>
      <c r="AI85" s="11">
        <f t="shared" si="18"/>
        <v>136</v>
      </c>
      <c r="AJ85" s="11">
        <f t="shared" si="19"/>
        <v>136</v>
      </c>
      <c r="AK85" s="11">
        <f t="shared" si="16"/>
        <v>2.9588005978832183E-2</v>
      </c>
      <c r="AL85" s="42">
        <f t="shared" si="20"/>
        <v>2.9588005978832183E-2</v>
      </c>
      <c r="AM85" s="14" t="str">
        <f t="shared" si="21"/>
        <v>**</v>
      </c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</row>
    <row r="86" spans="1:56" ht="27" customHeight="1" x14ac:dyDescent="0.2">
      <c r="A86" s="10" t="s">
        <v>357</v>
      </c>
      <c r="B86" s="11">
        <v>6909</v>
      </c>
      <c r="C86" s="2">
        <v>624.55389147230005</v>
      </c>
      <c r="D86" s="2">
        <v>9.8519466666665991</v>
      </c>
      <c r="E86" s="2">
        <v>2</v>
      </c>
      <c r="F86" s="12" t="s">
        <v>499</v>
      </c>
      <c r="G86" s="12" t="s">
        <v>404</v>
      </c>
      <c r="H86" s="5"/>
      <c r="I86" s="11">
        <v>220</v>
      </c>
      <c r="J86" s="11">
        <v>160</v>
      </c>
      <c r="K86" s="11">
        <v>119</v>
      </c>
      <c r="L86" s="11">
        <v>136</v>
      </c>
      <c r="M86" s="11">
        <v>156</v>
      </c>
      <c r="N86" s="11">
        <v>163</v>
      </c>
      <c r="O86" s="11">
        <v>225</v>
      </c>
      <c r="P86" s="11"/>
      <c r="Q86" s="11">
        <v>117</v>
      </c>
      <c r="R86" s="11">
        <v>256</v>
      </c>
      <c r="S86" s="11">
        <v>92</v>
      </c>
      <c r="T86" s="11">
        <v>141</v>
      </c>
      <c r="U86" s="11">
        <v>186</v>
      </c>
      <c r="V86" s="11">
        <v>165</v>
      </c>
      <c r="W86" s="11">
        <v>164</v>
      </c>
      <c r="X86" s="11"/>
      <c r="Y86" s="11">
        <v>0</v>
      </c>
      <c r="Z86" s="11">
        <v>130</v>
      </c>
      <c r="AA86" s="11">
        <v>132</v>
      </c>
      <c r="AB86" s="11">
        <v>127</v>
      </c>
      <c r="AC86" s="17">
        <f t="shared" si="11"/>
        <v>1.9408314743626611E-2</v>
      </c>
      <c r="AD86" s="11">
        <f t="shared" si="12"/>
        <v>168.42857142857142</v>
      </c>
      <c r="AE86" s="11">
        <f t="shared" si="13"/>
        <v>160.14285714285714</v>
      </c>
      <c r="AF86" s="28">
        <f t="shared" si="17"/>
        <v>0.95080576759966073</v>
      </c>
      <c r="AG86" s="42">
        <f t="shared" si="15"/>
        <v>0.74703727727273439</v>
      </c>
      <c r="AH86" s="14" t="str">
        <f t="shared" si="14"/>
        <v>-</v>
      </c>
      <c r="AI86" s="11">
        <f t="shared" si="18"/>
        <v>199</v>
      </c>
      <c r="AJ86" s="11">
        <f t="shared" si="19"/>
        <v>199</v>
      </c>
      <c r="AK86" s="11">
        <f t="shared" si="16"/>
        <v>0.78457683894473107</v>
      </c>
      <c r="AL86" s="42">
        <f t="shared" si="20"/>
        <v>0.78457683894473107</v>
      </c>
      <c r="AM86" s="14" t="str">
        <f t="shared" si="21"/>
        <v/>
      </c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</row>
    <row r="87" spans="1:56" ht="27" customHeight="1" x14ac:dyDescent="0.2">
      <c r="A87" s="10" t="s">
        <v>357</v>
      </c>
      <c r="B87" s="11">
        <v>35</v>
      </c>
      <c r="C87" s="2">
        <v>898.78566811046505</v>
      </c>
      <c r="D87" s="2">
        <v>15.5031901960783</v>
      </c>
      <c r="E87" s="2">
        <v>1</v>
      </c>
      <c r="F87" s="12" t="s">
        <v>364</v>
      </c>
      <c r="G87" s="12" t="s">
        <v>359</v>
      </c>
      <c r="H87" s="5"/>
      <c r="I87" s="11">
        <v>190480</v>
      </c>
      <c r="J87" s="11">
        <v>72790</v>
      </c>
      <c r="K87" s="11">
        <v>134039</v>
      </c>
      <c r="L87" s="11">
        <v>151217</v>
      </c>
      <c r="M87" s="11">
        <v>83140</v>
      </c>
      <c r="N87" s="11">
        <v>205358</v>
      </c>
      <c r="O87" s="11">
        <v>165123</v>
      </c>
      <c r="P87" s="11"/>
      <c r="Q87" s="11">
        <v>10574</v>
      </c>
      <c r="R87" s="11">
        <v>27401</v>
      </c>
      <c r="S87" s="11">
        <v>9596</v>
      </c>
      <c r="T87" s="11">
        <v>13476</v>
      </c>
      <c r="U87" s="11">
        <v>33245</v>
      </c>
      <c r="V87" s="11">
        <v>12103</v>
      </c>
      <c r="W87" s="11">
        <v>22544</v>
      </c>
      <c r="X87" s="11"/>
      <c r="Y87" s="11">
        <v>194</v>
      </c>
      <c r="Z87" s="11">
        <v>72621</v>
      </c>
      <c r="AA87" s="11">
        <v>71055</v>
      </c>
      <c r="AB87" s="11">
        <v>53939</v>
      </c>
      <c r="AC87" s="17">
        <f t="shared" si="11"/>
        <v>0.15733037046487044</v>
      </c>
      <c r="AD87" s="11">
        <f t="shared" si="12"/>
        <v>143163.85714285713</v>
      </c>
      <c r="AE87" s="11">
        <f t="shared" si="13"/>
        <v>18419.857142857141</v>
      </c>
      <c r="AF87" s="28">
        <f t="shared" si="17"/>
        <v>0.12866276105202132</v>
      </c>
      <c r="AG87" s="42">
        <f t="shared" si="15"/>
        <v>5.1382338481666633E-4</v>
      </c>
      <c r="AH87" s="14" t="str">
        <f t="shared" si="14"/>
        <v>***</v>
      </c>
      <c r="AI87" s="11">
        <f t="shared" si="18"/>
        <v>72</v>
      </c>
      <c r="AJ87" s="11">
        <f t="shared" si="19"/>
        <v>72</v>
      </c>
      <c r="AK87" s="11">
        <f t="shared" si="16"/>
        <v>1.4915151031483786E-3</v>
      </c>
      <c r="AL87" s="42">
        <f t="shared" si="20"/>
        <v>1.4915151031483786E-3</v>
      </c>
      <c r="AM87" s="14" t="str">
        <f t="shared" si="21"/>
        <v>**</v>
      </c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</row>
    <row r="88" spans="1:56" ht="27" customHeight="1" x14ac:dyDescent="0.2">
      <c r="A88" s="10" t="s">
        <v>357</v>
      </c>
      <c r="B88" s="11">
        <v>46</v>
      </c>
      <c r="C88" s="2">
        <v>874.78515619011603</v>
      </c>
      <c r="D88" s="2">
        <v>15.7684046296294</v>
      </c>
      <c r="E88" s="2">
        <v>1</v>
      </c>
      <c r="F88" s="12" t="s">
        <v>358</v>
      </c>
      <c r="G88" s="12" t="s">
        <v>359</v>
      </c>
      <c r="H88" s="5"/>
      <c r="I88" s="11">
        <v>106238</v>
      </c>
      <c r="J88" s="11">
        <v>52709</v>
      </c>
      <c r="K88" s="11">
        <v>108162</v>
      </c>
      <c r="L88" s="11">
        <v>98085</v>
      </c>
      <c r="M88" s="11">
        <v>64370</v>
      </c>
      <c r="N88" s="11">
        <v>164505</v>
      </c>
      <c r="O88" s="11">
        <v>164309</v>
      </c>
      <c r="P88" s="11"/>
      <c r="Q88" s="11">
        <v>22102</v>
      </c>
      <c r="R88" s="11">
        <v>49669</v>
      </c>
      <c r="S88" s="11">
        <v>19529</v>
      </c>
      <c r="T88" s="11">
        <v>23440</v>
      </c>
      <c r="U88" s="11">
        <v>46714</v>
      </c>
      <c r="V88" s="11">
        <v>24678</v>
      </c>
      <c r="W88" s="11">
        <v>41227</v>
      </c>
      <c r="X88" s="11"/>
      <c r="Y88" s="11">
        <v>262</v>
      </c>
      <c r="Z88" s="11">
        <v>64091</v>
      </c>
      <c r="AA88" s="11">
        <v>70994</v>
      </c>
      <c r="AB88" s="11">
        <v>51301</v>
      </c>
      <c r="AC88" s="17">
        <f t="shared" si="11"/>
        <v>0.1608287883033733</v>
      </c>
      <c r="AD88" s="11">
        <f t="shared" si="12"/>
        <v>108339.71428571429</v>
      </c>
      <c r="AE88" s="11">
        <f t="shared" si="13"/>
        <v>32479.857142857141</v>
      </c>
      <c r="AF88" s="28">
        <f t="shared" si="17"/>
        <v>0.2997964075962119</v>
      </c>
      <c r="AG88" s="42">
        <f t="shared" si="15"/>
        <v>3.0747386937721903E-3</v>
      </c>
      <c r="AH88" s="14" t="str">
        <f t="shared" si="14"/>
        <v>**</v>
      </c>
      <c r="AI88" s="11">
        <f t="shared" si="18"/>
        <v>99</v>
      </c>
      <c r="AJ88" s="11">
        <f t="shared" si="19"/>
        <v>99</v>
      </c>
      <c r="AK88" s="11">
        <f t="shared" si="16"/>
        <v>6.4911150201857346E-3</v>
      </c>
      <c r="AL88" s="42">
        <f t="shared" si="20"/>
        <v>6.4911150201857346E-3</v>
      </c>
      <c r="AM88" s="14" t="str">
        <f t="shared" si="21"/>
        <v>**</v>
      </c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</row>
    <row r="89" spans="1:56" ht="27" customHeight="1" x14ac:dyDescent="0.2">
      <c r="A89" s="10" t="s">
        <v>357</v>
      </c>
      <c r="B89" s="11">
        <v>54</v>
      </c>
      <c r="C89" s="2">
        <v>900.80171445553901</v>
      </c>
      <c r="D89" s="2">
        <v>15.820537499999901</v>
      </c>
      <c r="E89" s="2">
        <v>1</v>
      </c>
      <c r="F89" s="12" t="s">
        <v>360</v>
      </c>
      <c r="G89" s="12" t="s">
        <v>359</v>
      </c>
      <c r="H89" s="5"/>
      <c r="I89" s="11">
        <v>121386</v>
      </c>
      <c r="J89" s="11">
        <v>55355</v>
      </c>
      <c r="K89" s="11">
        <v>96050</v>
      </c>
      <c r="L89" s="11">
        <v>98325</v>
      </c>
      <c r="M89" s="11">
        <v>58710</v>
      </c>
      <c r="N89" s="11">
        <v>141063</v>
      </c>
      <c r="O89" s="11">
        <v>111919</v>
      </c>
      <c r="P89" s="11"/>
      <c r="Q89" s="11">
        <v>12446</v>
      </c>
      <c r="R89" s="11">
        <v>28880</v>
      </c>
      <c r="S89" s="11">
        <v>9445</v>
      </c>
      <c r="T89" s="11">
        <v>11607</v>
      </c>
      <c r="U89" s="11">
        <v>25036</v>
      </c>
      <c r="V89" s="11">
        <v>11342</v>
      </c>
      <c r="W89" s="11">
        <v>18887</v>
      </c>
      <c r="X89" s="11"/>
      <c r="Y89" s="11">
        <v>159</v>
      </c>
      <c r="Z89" s="11">
        <v>51029</v>
      </c>
      <c r="AA89" s="11">
        <v>52815</v>
      </c>
      <c r="AB89" s="11">
        <v>42896</v>
      </c>
      <c r="AC89" s="17">
        <f t="shared" ref="AC89:AC152" si="22">IFERROR(STDEV(Z89:AB89)/AVERAGE(Z89:AB89),0)</f>
        <v>0.10809166101966507</v>
      </c>
      <c r="AD89" s="11">
        <f t="shared" ref="AD89:AD152" si="23">AVERAGE(I89:O89)</f>
        <v>97544</v>
      </c>
      <c r="AE89" s="11">
        <f t="shared" ref="AE89:AE152" si="24">AVERAGE(Q89:W89)</f>
        <v>16806.142857142859</v>
      </c>
      <c r="AF89" s="28">
        <f t="shared" si="17"/>
        <v>0.17229294325784117</v>
      </c>
      <c r="AG89" s="42">
        <f t="shared" si="15"/>
        <v>3.7132694011405936E-4</v>
      </c>
      <c r="AH89" s="14" t="str">
        <f t="shared" ref="AH89:AH152" si="25">IF(AG89&lt;0.001,"***",IF(AG89&lt;0.01,"**",IF(AG89&lt;0.05,"*","-")))</f>
        <v>***</v>
      </c>
      <c r="AI89" s="11">
        <f t="shared" si="18"/>
        <v>65</v>
      </c>
      <c r="AJ89" s="11">
        <f t="shared" si="19"/>
        <v>65</v>
      </c>
      <c r="AK89" s="11">
        <f t="shared" si="16"/>
        <v>1.1939589305205909E-3</v>
      </c>
      <c r="AL89" s="42">
        <f t="shared" si="20"/>
        <v>1.1939589305205909E-3</v>
      </c>
      <c r="AM89" s="14" t="str">
        <f t="shared" si="21"/>
        <v>**</v>
      </c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</row>
    <row r="90" spans="1:56" ht="27" customHeight="1" x14ac:dyDescent="0.2">
      <c r="A90" s="10" t="s">
        <v>357</v>
      </c>
      <c r="B90" s="11">
        <v>55</v>
      </c>
      <c r="C90" s="2">
        <v>872.76963817144497</v>
      </c>
      <c r="D90" s="2">
        <v>15.4436901960784</v>
      </c>
      <c r="E90" s="2">
        <v>1</v>
      </c>
      <c r="F90" s="12" t="s">
        <v>362</v>
      </c>
      <c r="G90" s="12" t="s">
        <v>359</v>
      </c>
      <c r="H90" s="5"/>
      <c r="I90" s="11">
        <v>77958</v>
      </c>
      <c r="J90" s="11">
        <v>38695</v>
      </c>
      <c r="K90" s="11">
        <v>69652</v>
      </c>
      <c r="L90" s="11">
        <v>68090</v>
      </c>
      <c r="M90" s="11">
        <v>41641</v>
      </c>
      <c r="N90" s="11">
        <v>105304</v>
      </c>
      <c r="O90" s="11">
        <v>120725</v>
      </c>
      <c r="P90" s="11"/>
      <c r="Q90" s="11">
        <v>10381</v>
      </c>
      <c r="R90" s="11">
        <v>26343</v>
      </c>
      <c r="S90" s="11">
        <v>9841</v>
      </c>
      <c r="T90" s="11">
        <v>15712</v>
      </c>
      <c r="U90" s="11">
        <v>35175</v>
      </c>
      <c r="V90" s="11">
        <v>16317</v>
      </c>
      <c r="W90" s="11">
        <v>25138</v>
      </c>
      <c r="X90" s="11"/>
      <c r="Y90" s="11">
        <v>115</v>
      </c>
      <c r="Z90" s="11">
        <v>41014</v>
      </c>
      <c r="AA90" s="11">
        <v>47804</v>
      </c>
      <c r="AB90" s="11">
        <v>35004</v>
      </c>
      <c r="AC90" s="17">
        <f t="shared" si="22"/>
        <v>0.15515723488280397</v>
      </c>
      <c r="AD90" s="11">
        <f t="shared" si="23"/>
        <v>74580.71428571429</v>
      </c>
      <c r="AE90" s="11">
        <f t="shared" si="24"/>
        <v>19843.857142857141</v>
      </c>
      <c r="AF90" s="28">
        <f t="shared" si="17"/>
        <v>0.26607223238485628</v>
      </c>
      <c r="AG90" s="42">
        <f t="shared" si="15"/>
        <v>2.4822052947658176E-3</v>
      </c>
      <c r="AH90" s="14" t="str">
        <f t="shared" si="25"/>
        <v>**</v>
      </c>
      <c r="AI90" s="11">
        <f t="shared" si="18"/>
        <v>97</v>
      </c>
      <c r="AJ90" s="11">
        <f t="shared" si="19"/>
        <v>97</v>
      </c>
      <c r="AK90" s="11">
        <f t="shared" si="16"/>
        <v>5.3482567691345972E-3</v>
      </c>
      <c r="AL90" s="42">
        <f t="shared" si="20"/>
        <v>5.3482567691345972E-3</v>
      </c>
      <c r="AM90" s="14" t="str">
        <f t="shared" si="21"/>
        <v>**</v>
      </c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</row>
    <row r="91" spans="1:56" ht="27" customHeight="1" x14ac:dyDescent="0.2">
      <c r="A91" s="10" t="s">
        <v>357</v>
      </c>
      <c r="B91" s="11">
        <v>60</v>
      </c>
      <c r="C91" s="2">
        <v>928.83252452611703</v>
      </c>
      <c r="D91" s="2">
        <v>16.174200980392001</v>
      </c>
      <c r="E91" s="2">
        <v>1</v>
      </c>
      <c r="F91" s="12" t="s">
        <v>366</v>
      </c>
      <c r="G91" s="12" t="s">
        <v>359</v>
      </c>
      <c r="H91" s="5"/>
      <c r="I91" s="11">
        <v>107730</v>
      </c>
      <c r="J91" s="11">
        <v>54619</v>
      </c>
      <c r="K91" s="11">
        <v>85967</v>
      </c>
      <c r="L91" s="11">
        <v>74979</v>
      </c>
      <c r="M91" s="11">
        <v>56026</v>
      </c>
      <c r="N91" s="11">
        <v>96113</v>
      </c>
      <c r="O91" s="11">
        <v>67647</v>
      </c>
      <c r="P91" s="11"/>
      <c r="Q91" s="11">
        <v>3384</v>
      </c>
      <c r="R91" s="11">
        <v>8833</v>
      </c>
      <c r="S91" s="11">
        <v>2539</v>
      </c>
      <c r="T91" s="11">
        <v>3047</v>
      </c>
      <c r="U91" s="11">
        <v>6575</v>
      </c>
      <c r="V91" s="11">
        <v>3409</v>
      </c>
      <c r="W91" s="11">
        <v>5668</v>
      </c>
      <c r="X91" s="11"/>
      <c r="Y91" s="11">
        <v>0</v>
      </c>
      <c r="Z91" s="11">
        <v>35994</v>
      </c>
      <c r="AA91" s="11">
        <v>37115</v>
      </c>
      <c r="AB91" s="11">
        <v>29116</v>
      </c>
      <c r="AC91" s="17">
        <f t="shared" si="22"/>
        <v>0.12710320060575325</v>
      </c>
      <c r="AD91" s="11">
        <f t="shared" si="23"/>
        <v>77583</v>
      </c>
      <c r="AE91" s="11">
        <f t="shared" si="24"/>
        <v>4779.2857142857147</v>
      </c>
      <c r="AF91" s="28">
        <f t="shared" si="17"/>
        <v>6.160222876513817E-2</v>
      </c>
      <c r="AG91" s="42">
        <f t="shared" si="15"/>
        <v>6.5130301967032333E-5</v>
      </c>
      <c r="AH91" s="14" t="str">
        <f t="shared" si="25"/>
        <v>***</v>
      </c>
      <c r="AI91" s="11">
        <f t="shared" si="18"/>
        <v>32</v>
      </c>
      <c r="AJ91" s="11">
        <f t="shared" si="19"/>
        <v>32</v>
      </c>
      <c r="AK91" s="11">
        <f t="shared" si="16"/>
        <v>4.2538228472217994E-4</v>
      </c>
      <c r="AL91" s="42">
        <f t="shared" si="20"/>
        <v>4.2538228472217994E-4</v>
      </c>
      <c r="AM91" s="14" t="str">
        <f t="shared" si="21"/>
        <v>**</v>
      </c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</row>
    <row r="92" spans="1:56" ht="27" customHeight="1" x14ac:dyDescent="0.2">
      <c r="A92" s="10" t="s">
        <v>357</v>
      </c>
      <c r="B92" s="11">
        <v>62</v>
      </c>
      <c r="C92" s="2">
        <v>920.76990167886299</v>
      </c>
      <c r="D92" s="2">
        <v>15.320514705882299</v>
      </c>
      <c r="E92" s="2">
        <v>1</v>
      </c>
      <c r="F92" s="12" t="s">
        <v>374</v>
      </c>
      <c r="G92" s="12" t="s">
        <v>359</v>
      </c>
      <c r="H92" s="5"/>
      <c r="I92" s="11">
        <v>50658</v>
      </c>
      <c r="J92" s="11">
        <v>28133</v>
      </c>
      <c r="K92" s="11">
        <v>44662</v>
      </c>
      <c r="L92" s="11">
        <v>46156</v>
      </c>
      <c r="M92" s="11">
        <v>31869</v>
      </c>
      <c r="N92" s="11">
        <v>71338</v>
      </c>
      <c r="O92" s="11">
        <v>104163</v>
      </c>
      <c r="P92" s="11"/>
      <c r="Q92" s="11">
        <v>8666</v>
      </c>
      <c r="R92" s="11">
        <v>26017</v>
      </c>
      <c r="S92" s="11">
        <v>6438</v>
      </c>
      <c r="T92" s="11">
        <v>16465</v>
      </c>
      <c r="U92" s="11">
        <v>17431</v>
      </c>
      <c r="V92" s="11">
        <v>17075</v>
      </c>
      <c r="W92" s="11">
        <v>22270</v>
      </c>
      <c r="X92" s="11"/>
      <c r="Y92" s="11">
        <v>0</v>
      </c>
      <c r="Z92" s="11">
        <v>30338</v>
      </c>
      <c r="AA92" s="11">
        <v>30503</v>
      </c>
      <c r="AB92" s="11">
        <v>25111</v>
      </c>
      <c r="AC92" s="17">
        <f t="shared" si="22"/>
        <v>0.1070324557285962</v>
      </c>
      <c r="AD92" s="11">
        <f t="shared" si="23"/>
        <v>53854.142857142855</v>
      </c>
      <c r="AE92" s="11">
        <f t="shared" si="24"/>
        <v>16337.428571428571</v>
      </c>
      <c r="AF92" s="28">
        <f t="shared" si="17"/>
        <v>0.30336437838712499</v>
      </c>
      <c r="AG92" s="42">
        <f t="shared" si="15"/>
        <v>8.470123749817907E-3</v>
      </c>
      <c r="AH92" s="14" t="str">
        <f t="shared" si="25"/>
        <v>**</v>
      </c>
      <c r="AI92" s="11">
        <f t="shared" si="18"/>
        <v>118</v>
      </c>
      <c r="AJ92" s="11">
        <f t="shared" si="19"/>
        <v>118</v>
      </c>
      <c r="AK92" s="11">
        <f t="shared" si="16"/>
        <v>1.5002168336541886E-2</v>
      </c>
      <c r="AL92" s="42">
        <f t="shared" si="20"/>
        <v>1.5002168336541886E-2</v>
      </c>
      <c r="AM92" s="14" t="str">
        <f t="shared" si="21"/>
        <v>**</v>
      </c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</row>
    <row r="93" spans="1:56" ht="27" customHeight="1" x14ac:dyDescent="0.2">
      <c r="A93" s="10" t="s">
        <v>357</v>
      </c>
      <c r="B93" s="11">
        <v>65</v>
      </c>
      <c r="C93" s="2">
        <v>926.81738776145301</v>
      </c>
      <c r="D93" s="2">
        <v>15.914066666666599</v>
      </c>
      <c r="E93" s="2">
        <v>1</v>
      </c>
      <c r="F93" s="12" t="s">
        <v>372</v>
      </c>
      <c r="G93" s="12" t="s">
        <v>359</v>
      </c>
      <c r="H93" s="5"/>
      <c r="I93" s="11">
        <v>95433</v>
      </c>
      <c r="J93" s="11">
        <v>43960</v>
      </c>
      <c r="K93" s="11">
        <v>72848</v>
      </c>
      <c r="L93" s="11">
        <v>60322</v>
      </c>
      <c r="M93" s="11">
        <v>44024</v>
      </c>
      <c r="N93" s="11">
        <v>84102</v>
      </c>
      <c r="O93" s="11">
        <v>61861</v>
      </c>
      <c r="P93" s="11"/>
      <c r="Q93" s="11">
        <v>2360</v>
      </c>
      <c r="R93" s="11">
        <v>6682</v>
      </c>
      <c r="S93" s="11">
        <v>2450</v>
      </c>
      <c r="T93" s="11">
        <v>2725</v>
      </c>
      <c r="U93" s="11">
        <v>6311</v>
      </c>
      <c r="V93" s="11">
        <v>2568</v>
      </c>
      <c r="W93" s="11">
        <v>4757</v>
      </c>
      <c r="X93" s="11"/>
      <c r="Y93" s="11">
        <v>0</v>
      </c>
      <c r="Z93" s="11">
        <v>30124</v>
      </c>
      <c r="AA93" s="11">
        <v>30071</v>
      </c>
      <c r="AB93" s="11">
        <v>24992</v>
      </c>
      <c r="AC93" s="17">
        <f t="shared" si="22"/>
        <v>0.10381094240131131</v>
      </c>
      <c r="AD93" s="11">
        <f t="shared" si="23"/>
        <v>66078.571428571435</v>
      </c>
      <c r="AE93" s="11">
        <f t="shared" si="24"/>
        <v>3979</v>
      </c>
      <c r="AF93" s="28">
        <f t="shared" si="17"/>
        <v>6.0216192844016858E-2</v>
      </c>
      <c r="AG93" s="42">
        <f t="shared" si="15"/>
        <v>1.3749196250602584E-4</v>
      </c>
      <c r="AH93" s="14" t="str">
        <f t="shared" si="25"/>
        <v>***</v>
      </c>
      <c r="AI93" s="11">
        <f t="shared" si="18"/>
        <v>46</v>
      </c>
      <c r="AJ93" s="11">
        <f t="shared" si="19"/>
        <v>46</v>
      </c>
      <c r="AK93" s="11">
        <f t="shared" si="16"/>
        <v>6.2469174269042178E-4</v>
      </c>
      <c r="AL93" s="42">
        <f t="shared" si="20"/>
        <v>6.1251244215073102E-4</v>
      </c>
      <c r="AM93" s="14" t="str">
        <f t="shared" si="21"/>
        <v>**</v>
      </c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</row>
    <row r="94" spans="1:56" ht="27" customHeight="1" x14ac:dyDescent="0.2">
      <c r="A94" s="10" t="s">
        <v>357</v>
      </c>
      <c r="B94" s="11">
        <v>68</v>
      </c>
      <c r="C94" s="2">
        <v>896.76960199721498</v>
      </c>
      <c r="D94" s="2">
        <v>15.1438472222223</v>
      </c>
      <c r="E94" s="2">
        <v>1</v>
      </c>
      <c r="F94" s="12" t="s">
        <v>365</v>
      </c>
      <c r="G94" s="12" t="s">
        <v>359</v>
      </c>
      <c r="H94" s="5"/>
      <c r="I94" s="11">
        <v>83857</v>
      </c>
      <c r="J94" s="11">
        <v>31183</v>
      </c>
      <c r="K94" s="11">
        <v>50783</v>
      </c>
      <c r="L94" s="11">
        <v>65314</v>
      </c>
      <c r="M94" s="11">
        <v>33899</v>
      </c>
      <c r="N94" s="11">
        <v>92558</v>
      </c>
      <c r="O94" s="11">
        <v>73264</v>
      </c>
      <c r="P94" s="11"/>
      <c r="Q94" s="11">
        <v>3132</v>
      </c>
      <c r="R94" s="11">
        <v>10394</v>
      </c>
      <c r="S94" s="11">
        <v>3181</v>
      </c>
      <c r="T94" s="11">
        <v>5271</v>
      </c>
      <c r="U94" s="11">
        <v>16238</v>
      </c>
      <c r="V94" s="11">
        <v>5353</v>
      </c>
      <c r="W94" s="11">
        <v>9499</v>
      </c>
      <c r="X94" s="11"/>
      <c r="Y94" s="11">
        <v>112</v>
      </c>
      <c r="Z94" s="11">
        <v>27402</v>
      </c>
      <c r="AA94" s="11">
        <v>29316</v>
      </c>
      <c r="AB94" s="11">
        <v>23702</v>
      </c>
      <c r="AC94" s="17">
        <f t="shared" si="22"/>
        <v>0.10646441499710251</v>
      </c>
      <c r="AD94" s="11">
        <f t="shared" si="23"/>
        <v>61551.142857142855</v>
      </c>
      <c r="AE94" s="11">
        <f t="shared" si="24"/>
        <v>7581.1428571428569</v>
      </c>
      <c r="AF94" s="28">
        <f t="shared" si="17"/>
        <v>0.12316818998370693</v>
      </c>
      <c r="AG94" s="42">
        <f t="shared" si="15"/>
        <v>8.205335964933942E-4</v>
      </c>
      <c r="AH94" s="14" t="str">
        <f t="shared" si="25"/>
        <v>***</v>
      </c>
      <c r="AI94" s="11">
        <f t="shared" si="18"/>
        <v>80</v>
      </c>
      <c r="AJ94" s="11">
        <f t="shared" si="19"/>
        <v>80</v>
      </c>
      <c r="AK94" s="11">
        <f t="shared" si="16"/>
        <v>2.1436440208389925E-3</v>
      </c>
      <c r="AL94" s="42">
        <f t="shared" si="20"/>
        <v>2.1436440208389925E-3</v>
      </c>
      <c r="AM94" s="14" t="str">
        <f t="shared" si="21"/>
        <v>**</v>
      </c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</row>
    <row r="95" spans="1:56" ht="27" customHeight="1" x14ac:dyDescent="0.2">
      <c r="A95" s="10" t="s">
        <v>357</v>
      </c>
      <c r="B95" s="11">
        <v>75</v>
      </c>
      <c r="C95" s="2">
        <v>922.785376429797</v>
      </c>
      <c r="D95" s="2">
        <v>15.6639441176471</v>
      </c>
      <c r="E95" s="2">
        <v>1</v>
      </c>
      <c r="F95" s="12" t="s">
        <v>375</v>
      </c>
      <c r="G95" s="12" t="s">
        <v>359</v>
      </c>
      <c r="H95" s="5"/>
      <c r="I95" s="11">
        <v>37174</v>
      </c>
      <c r="J95" s="11">
        <v>22385</v>
      </c>
      <c r="K95" s="11">
        <v>46072</v>
      </c>
      <c r="L95" s="11">
        <v>43164</v>
      </c>
      <c r="M95" s="11">
        <v>27493</v>
      </c>
      <c r="N95" s="11">
        <v>64789</v>
      </c>
      <c r="O95" s="11">
        <v>77232</v>
      </c>
      <c r="P95" s="11"/>
      <c r="Q95" s="11">
        <v>8347</v>
      </c>
      <c r="R95" s="11">
        <v>25421</v>
      </c>
      <c r="S95" s="11">
        <v>7452</v>
      </c>
      <c r="T95" s="11">
        <v>15392</v>
      </c>
      <c r="U95" s="11">
        <v>16502</v>
      </c>
      <c r="V95" s="11">
        <v>19233</v>
      </c>
      <c r="W95" s="11">
        <v>22579</v>
      </c>
      <c r="X95" s="11"/>
      <c r="Y95" s="11">
        <v>0</v>
      </c>
      <c r="Z95" s="11">
        <v>29331</v>
      </c>
      <c r="AA95" s="11">
        <v>26873</v>
      </c>
      <c r="AB95" s="11">
        <v>22210</v>
      </c>
      <c r="AC95" s="17">
        <f t="shared" si="22"/>
        <v>0.13837899742363718</v>
      </c>
      <c r="AD95" s="11">
        <f t="shared" si="23"/>
        <v>45472.714285714283</v>
      </c>
      <c r="AE95" s="11">
        <f t="shared" si="24"/>
        <v>16418</v>
      </c>
      <c r="AF95" s="28">
        <f t="shared" si="17"/>
        <v>0.36105168248462977</v>
      </c>
      <c r="AG95" s="42">
        <f t="shared" si="15"/>
        <v>6.9101146806040637E-3</v>
      </c>
      <c r="AH95" s="14" t="str">
        <f t="shared" si="25"/>
        <v>**</v>
      </c>
      <c r="AI95" s="11">
        <f t="shared" si="18"/>
        <v>114</v>
      </c>
      <c r="AJ95" s="11">
        <f t="shared" si="19"/>
        <v>114</v>
      </c>
      <c r="AK95" s="11">
        <f t="shared" si="16"/>
        <v>1.2668543581107451E-2</v>
      </c>
      <c r="AL95" s="42">
        <f t="shared" si="20"/>
        <v>1.2654729906291047E-2</v>
      </c>
      <c r="AM95" s="14" t="str">
        <f t="shared" si="21"/>
        <v>**</v>
      </c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</row>
    <row r="96" spans="1:56" ht="27" customHeight="1" x14ac:dyDescent="0.2">
      <c r="A96" s="10" t="s">
        <v>357</v>
      </c>
      <c r="B96" s="11">
        <v>76</v>
      </c>
      <c r="C96" s="2">
        <v>946.78511980802796</v>
      </c>
      <c r="D96" s="2">
        <v>15.370618627451</v>
      </c>
      <c r="E96" s="2">
        <v>1</v>
      </c>
      <c r="F96" s="12" t="s">
        <v>376</v>
      </c>
      <c r="G96" s="12" t="s">
        <v>359</v>
      </c>
      <c r="H96" s="5"/>
      <c r="I96" s="11">
        <v>66021</v>
      </c>
      <c r="J96" s="11">
        <v>34497</v>
      </c>
      <c r="K96" s="11">
        <v>60908</v>
      </c>
      <c r="L96" s="11">
        <v>57652</v>
      </c>
      <c r="M96" s="11">
        <v>38839</v>
      </c>
      <c r="N96" s="11">
        <v>76115</v>
      </c>
      <c r="O96" s="11">
        <v>76965</v>
      </c>
      <c r="P96" s="11"/>
      <c r="Q96" s="11">
        <v>5882</v>
      </c>
      <c r="R96" s="11">
        <v>19729</v>
      </c>
      <c r="S96" s="11">
        <v>4871</v>
      </c>
      <c r="T96" s="11">
        <v>10102</v>
      </c>
      <c r="U96" s="11">
        <v>10387</v>
      </c>
      <c r="V96" s="11">
        <v>9955</v>
      </c>
      <c r="W96" s="11">
        <v>13640</v>
      </c>
      <c r="X96" s="11"/>
      <c r="Y96" s="11">
        <v>0</v>
      </c>
      <c r="Z96" s="11">
        <v>30743</v>
      </c>
      <c r="AA96" s="11">
        <v>32200</v>
      </c>
      <c r="AB96" s="11">
        <v>26163</v>
      </c>
      <c r="AC96" s="17">
        <f t="shared" si="22"/>
        <v>0.10606203064334961</v>
      </c>
      <c r="AD96" s="11">
        <f t="shared" si="23"/>
        <v>58713.857142857145</v>
      </c>
      <c r="AE96" s="11">
        <f t="shared" si="24"/>
        <v>10652.285714285714</v>
      </c>
      <c r="AF96" s="28">
        <f t="shared" si="17"/>
        <v>0.18142711503976913</v>
      </c>
      <c r="AG96" s="42">
        <f t="shared" si="15"/>
        <v>1.5808484956113107E-4</v>
      </c>
      <c r="AH96" s="14" t="str">
        <f t="shared" si="25"/>
        <v>***</v>
      </c>
      <c r="AI96" s="11">
        <f t="shared" si="18"/>
        <v>51</v>
      </c>
      <c r="AJ96" s="11">
        <f t="shared" si="19"/>
        <v>51</v>
      </c>
      <c r="AK96" s="11">
        <f t="shared" si="16"/>
        <v>6.4783791290738029E-4</v>
      </c>
      <c r="AL96" s="42">
        <f t="shared" si="20"/>
        <v>6.3965031662497056E-4</v>
      </c>
      <c r="AM96" s="14" t="str">
        <f t="shared" si="21"/>
        <v>**</v>
      </c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</row>
    <row r="97" spans="1:56" ht="27" customHeight="1" x14ac:dyDescent="0.2">
      <c r="A97" s="10" t="s">
        <v>357</v>
      </c>
      <c r="B97" s="11">
        <v>93</v>
      </c>
      <c r="C97" s="2">
        <v>956.86422988816196</v>
      </c>
      <c r="D97" s="2">
        <v>16.478851041666701</v>
      </c>
      <c r="E97" s="2">
        <v>1</v>
      </c>
      <c r="F97" s="12" t="s">
        <v>602</v>
      </c>
      <c r="G97" s="12" t="s">
        <v>359</v>
      </c>
      <c r="H97" s="5"/>
      <c r="I97" s="11">
        <v>57492</v>
      </c>
      <c r="J97" s="11">
        <v>35395</v>
      </c>
      <c r="K97" s="11">
        <v>56748</v>
      </c>
      <c r="L97" s="11">
        <v>45122</v>
      </c>
      <c r="M97" s="11">
        <v>45109</v>
      </c>
      <c r="N97" s="11">
        <v>61097</v>
      </c>
      <c r="O97" s="11">
        <v>53998</v>
      </c>
      <c r="P97" s="11"/>
      <c r="Q97" s="11">
        <v>1472</v>
      </c>
      <c r="R97" s="11">
        <v>4935</v>
      </c>
      <c r="S97" s="11">
        <v>1375</v>
      </c>
      <c r="T97" s="11">
        <v>1607</v>
      </c>
      <c r="U97" s="11">
        <v>4029</v>
      </c>
      <c r="V97" s="11">
        <v>1663</v>
      </c>
      <c r="W97" s="11">
        <v>2875</v>
      </c>
      <c r="X97" s="11"/>
      <c r="Y97" s="11">
        <v>0</v>
      </c>
      <c r="Z97" s="11">
        <v>22944</v>
      </c>
      <c r="AA97" s="11">
        <v>24927</v>
      </c>
      <c r="AB97" s="11">
        <v>19526</v>
      </c>
      <c r="AC97" s="17">
        <f t="shared" si="22"/>
        <v>0.12161168336726638</v>
      </c>
      <c r="AD97" s="11">
        <f t="shared" si="23"/>
        <v>50708.714285714283</v>
      </c>
      <c r="AE97" s="11">
        <f t="shared" si="24"/>
        <v>2565.1428571428573</v>
      </c>
      <c r="AF97" s="28">
        <f t="shared" si="17"/>
        <v>5.0585839007665639E-2</v>
      </c>
      <c r="AG97" s="42">
        <f t="shared" si="15"/>
        <v>6.0884383461089352E-6</v>
      </c>
      <c r="AH97" s="14" t="str">
        <f t="shared" si="25"/>
        <v>***</v>
      </c>
      <c r="AI97" s="11">
        <f t="shared" si="18"/>
        <v>6</v>
      </c>
      <c r="AJ97" s="11">
        <f t="shared" si="19"/>
        <v>6</v>
      </c>
      <c r="AK97" s="11">
        <f t="shared" si="16"/>
        <v>2.1208060238946125E-4</v>
      </c>
      <c r="AL97" s="42">
        <f t="shared" si="20"/>
        <v>2.1208060238946125E-4</v>
      </c>
      <c r="AM97" s="14" t="str">
        <f t="shared" si="21"/>
        <v>**</v>
      </c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</row>
    <row r="98" spans="1:56" ht="27" customHeight="1" x14ac:dyDescent="0.2">
      <c r="A98" s="10" t="s">
        <v>357</v>
      </c>
      <c r="B98" s="11">
        <v>100</v>
      </c>
      <c r="C98" s="2">
        <v>944.76973375963098</v>
      </c>
      <c r="D98" s="2">
        <v>14.9847588235294</v>
      </c>
      <c r="E98" s="2">
        <v>1</v>
      </c>
      <c r="F98" s="12" t="s">
        <v>380</v>
      </c>
      <c r="G98" s="12" t="s">
        <v>359</v>
      </c>
      <c r="H98" s="5"/>
      <c r="I98" s="11">
        <v>49663</v>
      </c>
      <c r="J98" s="11">
        <v>27272</v>
      </c>
      <c r="K98" s="11">
        <v>38936</v>
      </c>
      <c r="L98" s="11">
        <v>37702</v>
      </c>
      <c r="M98" s="11">
        <v>26620</v>
      </c>
      <c r="N98" s="11">
        <v>46934</v>
      </c>
      <c r="O98" s="11">
        <v>54003</v>
      </c>
      <c r="P98" s="11"/>
      <c r="Q98" s="11">
        <v>3887</v>
      </c>
      <c r="R98" s="11">
        <v>11410</v>
      </c>
      <c r="S98" s="11">
        <v>3256</v>
      </c>
      <c r="T98" s="11">
        <v>6307</v>
      </c>
      <c r="U98" s="11">
        <v>6543</v>
      </c>
      <c r="V98" s="11">
        <v>6188</v>
      </c>
      <c r="W98" s="11">
        <v>8883</v>
      </c>
      <c r="X98" s="11"/>
      <c r="Y98" s="11">
        <v>0</v>
      </c>
      <c r="Z98" s="11">
        <v>20192</v>
      </c>
      <c r="AA98" s="11">
        <v>20652</v>
      </c>
      <c r="AB98" s="11">
        <v>16275</v>
      </c>
      <c r="AC98" s="17">
        <f t="shared" si="22"/>
        <v>0.12633064647123404</v>
      </c>
      <c r="AD98" s="11">
        <f t="shared" si="23"/>
        <v>40161.428571428572</v>
      </c>
      <c r="AE98" s="11">
        <f t="shared" si="24"/>
        <v>6639.1428571428569</v>
      </c>
      <c r="AF98" s="28">
        <f t="shared" si="17"/>
        <v>0.16531142176217406</v>
      </c>
      <c r="AG98" s="42">
        <f t="shared" si="15"/>
        <v>1.0216540655919832E-4</v>
      </c>
      <c r="AH98" s="14" t="str">
        <f t="shared" si="25"/>
        <v>***</v>
      </c>
      <c r="AI98" s="11">
        <f t="shared" si="18"/>
        <v>41</v>
      </c>
      <c r="AJ98" s="11">
        <f t="shared" si="19"/>
        <v>41</v>
      </c>
      <c r="AK98" s="11">
        <f t="shared" si="16"/>
        <v>5.2079438953347426E-4</v>
      </c>
      <c r="AL98" s="42">
        <f t="shared" si="20"/>
        <v>5.1616895843263134E-4</v>
      </c>
      <c r="AM98" s="14" t="str">
        <f t="shared" si="21"/>
        <v>**</v>
      </c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</row>
    <row r="99" spans="1:56" ht="27" customHeight="1" x14ac:dyDescent="0.2">
      <c r="A99" s="10" t="s">
        <v>357</v>
      </c>
      <c r="B99" s="11">
        <v>102</v>
      </c>
      <c r="C99" s="2">
        <v>876.80091320087899</v>
      </c>
      <c r="D99" s="2">
        <v>16.0560805555554</v>
      </c>
      <c r="E99" s="2">
        <v>1</v>
      </c>
      <c r="F99" s="12" t="s">
        <v>361</v>
      </c>
      <c r="G99" s="12" t="s">
        <v>359</v>
      </c>
      <c r="H99" s="5"/>
      <c r="I99" s="11">
        <v>33319</v>
      </c>
      <c r="J99" s="11">
        <v>20051</v>
      </c>
      <c r="K99" s="11">
        <v>45578</v>
      </c>
      <c r="L99" s="11">
        <v>34919</v>
      </c>
      <c r="M99" s="11">
        <v>22905</v>
      </c>
      <c r="N99" s="11">
        <v>52604</v>
      </c>
      <c r="O99" s="11">
        <v>51555</v>
      </c>
      <c r="P99" s="11"/>
      <c r="Q99" s="11">
        <v>11041</v>
      </c>
      <c r="R99" s="11">
        <v>21061</v>
      </c>
      <c r="S99" s="11">
        <v>8123</v>
      </c>
      <c r="T99" s="11">
        <v>9735</v>
      </c>
      <c r="U99" s="11">
        <v>16518</v>
      </c>
      <c r="V99" s="11">
        <v>11730</v>
      </c>
      <c r="W99" s="11">
        <v>18258</v>
      </c>
      <c r="X99" s="11"/>
      <c r="Y99" s="11">
        <v>344</v>
      </c>
      <c r="Z99" s="11">
        <v>24349</v>
      </c>
      <c r="AA99" s="11">
        <v>22470</v>
      </c>
      <c r="AB99" s="11">
        <v>17509</v>
      </c>
      <c r="AC99" s="17">
        <f t="shared" si="22"/>
        <v>0.16480370117628004</v>
      </c>
      <c r="AD99" s="11">
        <f t="shared" si="23"/>
        <v>37275.857142857145</v>
      </c>
      <c r="AE99" s="11">
        <f t="shared" si="24"/>
        <v>13780.857142857143</v>
      </c>
      <c r="AF99" s="28">
        <f t="shared" si="17"/>
        <v>0.36969926915544721</v>
      </c>
      <c r="AG99" s="42">
        <f t="shared" si="15"/>
        <v>2.4355664085946812E-3</v>
      </c>
      <c r="AH99" s="14" t="str">
        <f t="shared" si="25"/>
        <v>**</v>
      </c>
      <c r="AI99" s="11">
        <f t="shared" si="18"/>
        <v>96</v>
      </c>
      <c r="AJ99" s="11">
        <f t="shared" si="19"/>
        <v>96</v>
      </c>
      <c r="AK99" s="11">
        <f t="shared" si="16"/>
        <v>5.3024310353780033E-3</v>
      </c>
      <c r="AL99" s="42">
        <f t="shared" si="20"/>
        <v>5.3024310353780033E-3</v>
      </c>
      <c r="AM99" s="14" t="str">
        <f t="shared" si="21"/>
        <v>**</v>
      </c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</row>
    <row r="100" spans="1:56" ht="27" customHeight="1" x14ac:dyDescent="0.2">
      <c r="A100" s="10" t="s">
        <v>357</v>
      </c>
      <c r="B100" s="11">
        <v>106</v>
      </c>
      <c r="C100" s="2">
        <v>848.76921925910301</v>
      </c>
      <c r="D100" s="2">
        <v>15.7112549019608</v>
      </c>
      <c r="E100" s="2">
        <v>1</v>
      </c>
      <c r="F100" s="12" t="s">
        <v>603</v>
      </c>
      <c r="G100" s="12" t="s">
        <v>359</v>
      </c>
      <c r="H100" s="5"/>
      <c r="I100" s="11">
        <v>24051</v>
      </c>
      <c r="J100" s="11">
        <v>15763</v>
      </c>
      <c r="K100" s="11">
        <v>32813</v>
      </c>
      <c r="L100" s="11">
        <v>31418</v>
      </c>
      <c r="M100" s="11">
        <v>19253</v>
      </c>
      <c r="N100" s="11">
        <v>40481</v>
      </c>
      <c r="O100" s="11">
        <v>49897</v>
      </c>
      <c r="P100" s="11"/>
      <c r="Q100" s="11">
        <v>11639</v>
      </c>
      <c r="R100" s="11">
        <v>23760</v>
      </c>
      <c r="S100" s="11">
        <v>9248</v>
      </c>
      <c r="T100" s="11">
        <v>11308</v>
      </c>
      <c r="U100" s="11">
        <v>19482</v>
      </c>
      <c r="V100" s="11">
        <v>13130</v>
      </c>
      <c r="W100" s="11">
        <v>19407</v>
      </c>
      <c r="X100" s="11"/>
      <c r="Y100" s="11">
        <v>383</v>
      </c>
      <c r="Z100" s="11">
        <v>20434</v>
      </c>
      <c r="AA100" s="11">
        <v>23193</v>
      </c>
      <c r="AB100" s="11">
        <v>16813</v>
      </c>
      <c r="AC100" s="17">
        <f t="shared" si="22"/>
        <v>0.15881985417596572</v>
      </c>
      <c r="AD100" s="11">
        <f t="shared" si="23"/>
        <v>30525.142857142859</v>
      </c>
      <c r="AE100" s="11">
        <f t="shared" si="24"/>
        <v>15424.857142857143</v>
      </c>
      <c r="AF100" s="28">
        <f t="shared" si="17"/>
        <v>0.50531646043542555</v>
      </c>
      <c r="AG100" s="42">
        <f t="shared" si="15"/>
        <v>1.5553836246095281E-2</v>
      </c>
      <c r="AH100" s="14" t="str">
        <f t="shared" si="25"/>
        <v>*</v>
      </c>
      <c r="AI100" s="11">
        <f t="shared" si="18"/>
        <v>134</v>
      </c>
      <c r="AJ100" s="11">
        <f t="shared" si="19"/>
        <v>134</v>
      </c>
      <c r="AK100" s="11">
        <f t="shared" si="16"/>
        <v>2.4259341607715774E-2</v>
      </c>
      <c r="AL100" s="42">
        <f t="shared" si="20"/>
        <v>2.4259341607715774E-2</v>
      </c>
      <c r="AM100" s="14" t="str">
        <f t="shared" si="21"/>
        <v>**</v>
      </c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</row>
    <row r="101" spans="1:56" ht="27" customHeight="1" x14ac:dyDescent="0.2">
      <c r="A101" s="10" t="s">
        <v>357</v>
      </c>
      <c r="B101" s="11">
        <v>138</v>
      </c>
      <c r="C101" s="2">
        <v>896.76858301147104</v>
      </c>
      <c r="D101" s="2">
        <v>15.612653921568601</v>
      </c>
      <c r="E101" s="2">
        <v>1</v>
      </c>
      <c r="F101" s="12" t="s">
        <v>392</v>
      </c>
      <c r="G101" s="12" t="s">
        <v>359</v>
      </c>
      <c r="H101" s="5"/>
      <c r="I101" s="11">
        <v>16074</v>
      </c>
      <c r="J101" s="11">
        <v>11800</v>
      </c>
      <c r="K101" s="11">
        <v>21640</v>
      </c>
      <c r="L101" s="11">
        <v>18387</v>
      </c>
      <c r="M101" s="11">
        <v>11584</v>
      </c>
      <c r="N101" s="11">
        <v>20671</v>
      </c>
      <c r="O101" s="11">
        <v>35163</v>
      </c>
      <c r="P101" s="11"/>
      <c r="Q101" s="11">
        <v>5251</v>
      </c>
      <c r="R101" s="11">
        <v>12408</v>
      </c>
      <c r="S101" s="11">
        <v>3993</v>
      </c>
      <c r="T101" s="11">
        <v>8605</v>
      </c>
      <c r="U101" s="11">
        <v>9209</v>
      </c>
      <c r="V101" s="11">
        <v>11681</v>
      </c>
      <c r="W101" s="11">
        <v>12212</v>
      </c>
      <c r="X101" s="11"/>
      <c r="Y101" s="11">
        <v>0</v>
      </c>
      <c r="Z101" s="11">
        <v>12709</v>
      </c>
      <c r="AA101" s="11">
        <v>12575</v>
      </c>
      <c r="AB101" s="11">
        <v>11114</v>
      </c>
      <c r="AC101" s="17">
        <f t="shared" si="22"/>
        <v>7.2921461571954338E-2</v>
      </c>
      <c r="AD101" s="11">
        <f t="shared" si="23"/>
        <v>19331.285714285714</v>
      </c>
      <c r="AE101" s="11">
        <f t="shared" si="24"/>
        <v>9051.2857142857138</v>
      </c>
      <c r="AF101" s="28">
        <f t="shared" si="17"/>
        <v>0.46821954049320491</v>
      </c>
      <c r="AG101" s="42">
        <f t="shared" si="15"/>
        <v>1.3980766282977976E-2</v>
      </c>
      <c r="AH101" s="14" t="str">
        <f t="shared" si="25"/>
        <v>*</v>
      </c>
      <c r="AI101" s="11">
        <f t="shared" si="18"/>
        <v>128</v>
      </c>
      <c r="AJ101" s="11">
        <f t="shared" si="19"/>
        <v>128</v>
      </c>
      <c r="AK101" s="11">
        <f t="shared" si="16"/>
        <v>2.2827969946424977E-2</v>
      </c>
      <c r="AL101" s="42">
        <f t="shared" si="20"/>
        <v>2.2623683357068408E-2</v>
      </c>
      <c r="AM101" s="14" t="str">
        <f t="shared" si="21"/>
        <v>**</v>
      </c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</row>
    <row r="102" spans="1:56" ht="27" customHeight="1" x14ac:dyDescent="0.2">
      <c r="A102" s="10" t="s">
        <v>357</v>
      </c>
      <c r="B102" s="11">
        <v>150</v>
      </c>
      <c r="C102" s="2">
        <v>850.78433717700398</v>
      </c>
      <c r="D102" s="2">
        <v>16.008734259259199</v>
      </c>
      <c r="E102" s="2">
        <v>1</v>
      </c>
      <c r="F102" s="12" t="s">
        <v>363</v>
      </c>
      <c r="G102" s="12" t="s">
        <v>359</v>
      </c>
      <c r="H102" s="5"/>
      <c r="I102" s="11">
        <v>15790</v>
      </c>
      <c r="J102" s="11">
        <v>12671</v>
      </c>
      <c r="K102" s="11">
        <v>26647</v>
      </c>
      <c r="L102" s="11">
        <v>20979</v>
      </c>
      <c r="M102" s="11">
        <v>14904</v>
      </c>
      <c r="N102" s="11">
        <v>30102</v>
      </c>
      <c r="O102" s="11">
        <v>32459</v>
      </c>
      <c r="P102" s="11"/>
      <c r="Q102" s="11">
        <v>9487</v>
      </c>
      <c r="R102" s="11">
        <v>18573</v>
      </c>
      <c r="S102" s="11">
        <v>6185</v>
      </c>
      <c r="T102" s="11">
        <v>8750</v>
      </c>
      <c r="U102" s="11">
        <v>13066</v>
      </c>
      <c r="V102" s="11">
        <v>10033</v>
      </c>
      <c r="W102" s="11">
        <v>15659</v>
      </c>
      <c r="X102" s="11"/>
      <c r="Y102" s="11">
        <v>703</v>
      </c>
      <c r="Z102" s="11">
        <v>15292</v>
      </c>
      <c r="AA102" s="11">
        <v>15803</v>
      </c>
      <c r="AB102" s="11">
        <v>12834</v>
      </c>
      <c r="AC102" s="17">
        <f t="shared" si="22"/>
        <v>0.1084024932213212</v>
      </c>
      <c r="AD102" s="11">
        <f t="shared" si="23"/>
        <v>21936</v>
      </c>
      <c r="AE102" s="11">
        <f t="shared" si="24"/>
        <v>11679</v>
      </c>
      <c r="AF102" s="28">
        <f t="shared" si="17"/>
        <v>0.53241247264770242</v>
      </c>
      <c r="AG102" s="42">
        <f t="shared" si="15"/>
        <v>1.4025233737527145E-2</v>
      </c>
      <c r="AH102" s="14" t="str">
        <f t="shared" si="25"/>
        <v>*</v>
      </c>
      <c r="AI102" s="11">
        <f t="shared" si="18"/>
        <v>129</v>
      </c>
      <c r="AJ102" s="11">
        <f t="shared" si="19"/>
        <v>129</v>
      </c>
      <c r="AK102" s="11">
        <f t="shared" si="16"/>
        <v>2.2723053109637001E-2</v>
      </c>
      <c r="AL102" s="42">
        <f t="shared" si="20"/>
        <v>2.2623683357068408E-2</v>
      </c>
      <c r="AM102" s="14" t="str">
        <f t="shared" si="21"/>
        <v>**</v>
      </c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</row>
    <row r="103" spans="1:56" ht="27" customHeight="1" x14ac:dyDescent="0.2">
      <c r="A103" s="10" t="s">
        <v>357</v>
      </c>
      <c r="B103" s="11">
        <v>156</v>
      </c>
      <c r="C103" s="2">
        <v>974.81593762371699</v>
      </c>
      <c r="D103" s="2">
        <v>15.803220588235099</v>
      </c>
      <c r="E103" s="2">
        <v>1</v>
      </c>
      <c r="F103" s="12" t="s">
        <v>396</v>
      </c>
      <c r="G103" s="12" t="s">
        <v>359</v>
      </c>
      <c r="H103" s="5"/>
      <c r="I103" s="11">
        <v>27772</v>
      </c>
      <c r="J103" s="11">
        <v>22741</v>
      </c>
      <c r="K103" s="11">
        <v>31158</v>
      </c>
      <c r="L103" s="11">
        <v>21569</v>
      </c>
      <c r="M103" s="11">
        <v>20112</v>
      </c>
      <c r="N103" s="11">
        <v>28650</v>
      </c>
      <c r="O103" s="11">
        <v>28897</v>
      </c>
      <c r="P103" s="11"/>
      <c r="Q103" s="11">
        <v>1768</v>
      </c>
      <c r="R103" s="11">
        <v>6384</v>
      </c>
      <c r="S103" s="11">
        <v>1683</v>
      </c>
      <c r="T103" s="11">
        <v>2423</v>
      </c>
      <c r="U103" s="11">
        <v>2690</v>
      </c>
      <c r="V103" s="11">
        <v>2740</v>
      </c>
      <c r="W103" s="11">
        <v>3639</v>
      </c>
      <c r="X103" s="11"/>
      <c r="Y103" s="11">
        <v>0</v>
      </c>
      <c r="Z103" s="11">
        <v>13465</v>
      </c>
      <c r="AA103" s="11">
        <v>13894</v>
      </c>
      <c r="AB103" s="11">
        <v>10675</v>
      </c>
      <c r="AC103" s="17">
        <f t="shared" si="22"/>
        <v>0.13786564855571964</v>
      </c>
      <c r="AD103" s="11">
        <f t="shared" si="23"/>
        <v>25842.714285714286</v>
      </c>
      <c r="AE103" s="11">
        <f t="shared" si="24"/>
        <v>3046.7142857142858</v>
      </c>
      <c r="AF103" s="28">
        <f t="shared" si="17"/>
        <v>0.11789451572424392</v>
      </c>
      <c r="AG103" s="42">
        <f t="shared" si="15"/>
        <v>1.5244318411714534E-6</v>
      </c>
      <c r="AH103" s="14" t="str">
        <f t="shared" si="25"/>
        <v>***</v>
      </c>
      <c r="AI103" s="11">
        <f t="shared" si="18"/>
        <v>3</v>
      </c>
      <c r="AJ103" s="11">
        <f t="shared" si="19"/>
        <v>3</v>
      </c>
      <c r="AK103" s="11">
        <f t="shared" si="16"/>
        <v>1.062020849349446E-4</v>
      </c>
      <c r="AL103" s="42">
        <f t="shared" si="20"/>
        <v>8.9791768530532394E-5</v>
      </c>
      <c r="AM103" s="14" t="str">
        <f t="shared" si="21"/>
        <v>**</v>
      </c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</row>
    <row r="104" spans="1:56" ht="27" customHeight="1" x14ac:dyDescent="0.2">
      <c r="A104" s="10" t="s">
        <v>357</v>
      </c>
      <c r="B104" s="11">
        <v>158</v>
      </c>
      <c r="C104" s="2">
        <v>954.84658653724898</v>
      </c>
      <c r="D104" s="2">
        <v>16.2582039215687</v>
      </c>
      <c r="E104" s="2">
        <v>1</v>
      </c>
      <c r="F104" s="12" t="s">
        <v>604</v>
      </c>
      <c r="G104" s="12" t="s">
        <v>359</v>
      </c>
      <c r="H104" s="5"/>
      <c r="I104" s="11">
        <v>27854</v>
      </c>
      <c r="J104" s="11">
        <v>17199</v>
      </c>
      <c r="K104" s="11">
        <v>26643</v>
      </c>
      <c r="L104" s="11">
        <v>18773</v>
      </c>
      <c r="M104" s="11">
        <v>16023</v>
      </c>
      <c r="N104" s="11">
        <v>30741</v>
      </c>
      <c r="O104" s="11">
        <v>26818</v>
      </c>
      <c r="P104" s="11"/>
      <c r="Q104" s="11">
        <v>800</v>
      </c>
      <c r="R104" s="11">
        <v>3016</v>
      </c>
      <c r="S104" s="11">
        <v>888</v>
      </c>
      <c r="T104" s="11">
        <v>1081</v>
      </c>
      <c r="U104" s="11">
        <v>2612</v>
      </c>
      <c r="V104" s="11">
        <v>1036</v>
      </c>
      <c r="W104" s="11">
        <v>2032</v>
      </c>
      <c r="X104" s="11"/>
      <c r="Y104" s="11">
        <v>0</v>
      </c>
      <c r="Z104" s="11">
        <v>11550</v>
      </c>
      <c r="AA104" s="11">
        <v>10735</v>
      </c>
      <c r="AB104" s="11">
        <v>9663</v>
      </c>
      <c r="AC104" s="17">
        <f t="shared" si="22"/>
        <v>8.8870572348972693E-2</v>
      </c>
      <c r="AD104" s="11">
        <f t="shared" si="23"/>
        <v>23435.857142857141</v>
      </c>
      <c r="AE104" s="11">
        <f t="shared" si="24"/>
        <v>1637.8571428571429</v>
      </c>
      <c r="AF104" s="28">
        <f t="shared" si="17"/>
        <v>6.9886803494035393E-2</v>
      </c>
      <c r="AG104" s="42">
        <f t="shared" si="15"/>
        <v>5.4253367969378516E-5</v>
      </c>
      <c r="AH104" s="14" t="str">
        <f t="shared" si="25"/>
        <v>***</v>
      </c>
      <c r="AI104" s="11">
        <f t="shared" si="18"/>
        <v>28</v>
      </c>
      <c r="AJ104" s="11">
        <f t="shared" si="19"/>
        <v>28</v>
      </c>
      <c r="AK104" s="11">
        <f t="shared" si="16"/>
        <v>4.0496263948571821E-4</v>
      </c>
      <c r="AL104" s="42">
        <f t="shared" si="20"/>
        <v>4.0394159932934229E-4</v>
      </c>
      <c r="AM104" s="14" t="str">
        <f t="shared" si="21"/>
        <v>**</v>
      </c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</row>
    <row r="105" spans="1:56" ht="27" customHeight="1" x14ac:dyDescent="0.2">
      <c r="A105" s="10" t="s">
        <v>357</v>
      </c>
      <c r="B105" s="11">
        <v>162</v>
      </c>
      <c r="C105" s="2">
        <v>950.81657835677004</v>
      </c>
      <c r="D105" s="2">
        <v>16.054257291666499</v>
      </c>
      <c r="E105" s="2">
        <v>1</v>
      </c>
      <c r="F105" s="12" t="s">
        <v>605</v>
      </c>
      <c r="G105" s="12" t="s">
        <v>359</v>
      </c>
      <c r="H105" s="5"/>
      <c r="I105" s="11">
        <v>16903</v>
      </c>
      <c r="J105" s="11">
        <v>12490</v>
      </c>
      <c r="K105" s="11">
        <v>20880</v>
      </c>
      <c r="L105" s="11">
        <v>19357</v>
      </c>
      <c r="M105" s="11">
        <v>15773</v>
      </c>
      <c r="N105" s="11">
        <v>29890</v>
      </c>
      <c r="O105" s="11">
        <v>28775</v>
      </c>
      <c r="P105" s="11"/>
      <c r="Q105" s="11">
        <v>3320</v>
      </c>
      <c r="R105" s="11">
        <v>8725</v>
      </c>
      <c r="S105" s="11">
        <v>2530</v>
      </c>
      <c r="T105" s="11">
        <v>5684</v>
      </c>
      <c r="U105" s="11">
        <v>8014</v>
      </c>
      <c r="V105" s="11">
        <v>7126</v>
      </c>
      <c r="W105" s="11">
        <v>8925</v>
      </c>
      <c r="X105" s="11"/>
      <c r="Y105" s="11">
        <v>0</v>
      </c>
      <c r="Z105" s="11">
        <v>11973</v>
      </c>
      <c r="AA105" s="11">
        <v>12180</v>
      </c>
      <c r="AB105" s="11">
        <v>10684</v>
      </c>
      <c r="AC105" s="17">
        <f t="shared" si="22"/>
        <v>6.9804665922997805E-2</v>
      </c>
      <c r="AD105" s="11">
        <f t="shared" si="23"/>
        <v>20581.142857142859</v>
      </c>
      <c r="AE105" s="11">
        <f t="shared" si="24"/>
        <v>6332</v>
      </c>
      <c r="AF105" s="28">
        <f t="shared" si="17"/>
        <v>0.30766027153844017</v>
      </c>
      <c r="AG105" s="42">
        <f t="shared" si="15"/>
        <v>7.3698262271564713E-4</v>
      </c>
      <c r="AH105" s="14" t="str">
        <f t="shared" si="25"/>
        <v>***</v>
      </c>
      <c r="AI105" s="11">
        <f t="shared" si="18"/>
        <v>76</v>
      </c>
      <c r="AJ105" s="11">
        <f t="shared" si="19"/>
        <v>76</v>
      </c>
      <c r="AK105" s="11">
        <f t="shared" si="16"/>
        <v>2.0267022124680297E-3</v>
      </c>
      <c r="AL105" s="42">
        <f t="shared" si="20"/>
        <v>2.0267022124680297E-3</v>
      </c>
      <c r="AM105" s="14" t="str">
        <f t="shared" si="21"/>
        <v>**</v>
      </c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</row>
    <row r="106" spans="1:56" ht="27" customHeight="1" x14ac:dyDescent="0.2">
      <c r="A106" s="10" t="s">
        <v>357</v>
      </c>
      <c r="B106" s="11">
        <v>163</v>
      </c>
      <c r="C106" s="2">
        <v>948.79929362757798</v>
      </c>
      <c r="D106" s="2">
        <v>15.524277083333301</v>
      </c>
      <c r="E106" s="2">
        <v>1</v>
      </c>
      <c r="F106" s="12" t="s">
        <v>387</v>
      </c>
      <c r="G106" s="12" t="s">
        <v>359</v>
      </c>
      <c r="H106" s="5"/>
      <c r="I106" s="11">
        <v>23994</v>
      </c>
      <c r="J106" s="11">
        <v>15823</v>
      </c>
      <c r="K106" s="11">
        <v>25923</v>
      </c>
      <c r="L106" s="11">
        <v>23204</v>
      </c>
      <c r="M106" s="11">
        <v>17710</v>
      </c>
      <c r="N106" s="11">
        <v>29553</v>
      </c>
      <c r="O106" s="11">
        <v>24374</v>
      </c>
      <c r="P106" s="11"/>
      <c r="Q106" s="11">
        <v>2336</v>
      </c>
      <c r="R106" s="11">
        <v>7491</v>
      </c>
      <c r="S106" s="11">
        <v>1701</v>
      </c>
      <c r="T106" s="11">
        <v>3120</v>
      </c>
      <c r="U106" s="11">
        <v>4021</v>
      </c>
      <c r="V106" s="11">
        <v>3424</v>
      </c>
      <c r="W106" s="11">
        <v>5109</v>
      </c>
      <c r="X106" s="11"/>
      <c r="Y106" s="11">
        <v>0</v>
      </c>
      <c r="Z106" s="11">
        <v>12956</v>
      </c>
      <c r="AA106" s="11">
        <v>13443</v>
      </c>
      <c r="AB106" s="11">
        <v>10358</v>
      </c>
      <c r="AC106" s="17">
        <f t="shared" si="22"/>
        <v>0.13536305656623365</v>
      </c>
      <c r="AD106" s="11">
        <f t="shared" si="23"/>
        <v>22940.142857142859</v>
      </c>
      <c r="AE106" s="11">
        <f t="shared" si="24"/>
        <v>3886</v>
      </c>
      <c r="AF106" s="28">
        <f t="shared" si="17"/>
        <v>0.16939737577920178</v>
      </c>
      <c r="AG106" s="42">
        <f t="shared" si="15"/>
        <v>9.6525285865764784E-6</v>
      </c>
      <c r="AH106" s="14" t="str">
        <f t="shared" si="25"/>
        <v>***</v>
      </c>
      <c r="AI106" s="11">
        <f t="shared" si="18"/>
        <v>8</v>
      </c>
      <c r="AJ106" s="11">
        <f t="shared" si="19"/>
        <v>8</v>
      </c>
      <c r="AK106" s="11">
        <f t="shared" si="16"/>
        <v>2.5217230932431052E-4</v>
      </c>
      <c r="AL106" s="42">
        <f t="shared" si="20"/>
        <v>2.5217230932431052E-4</v>
      </c>
      <c r="AM106" s="14" t="str">
        <f t="shared" si="21"/>
        <v>**</v>
      </c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</row>
    <row r="107" spans="1:56" ht="27" customHeight="1" x14ac:dyDescent="0.2">
      <c r="A107" s="10" t="s">
        <v>357</v>
      </c>
      <c r="B107" s="11">
        <v>187</v>
      </c>
      <c r="C107" s="2">
        <v>984.89451300656594</v>
      </c>
      <c r="D107" s="2">
        <v>16.740441176470402</v>
      </c>
      <c r="E107" s="2">
        <v>1</v>
      </c>
      <c r="F107" s="12" t="s">
        <v>606</v>
      </c>
      <c r="G107" s="12" t="s">
        <v>359</v>
      </c>
      <c r="H107" s="5"/>
      <c r="I107" s="11">
        <v>20954</v>
      </c>
      <c r="J107" s="11">
        <v>15769</v>
      </c>
      <c r="K107" s="11">
        <v>24234</v>
      </c>
      <c r="L107" s="11">
        <v>17042</v>
      </c>
      <c r="M107" s="11">
        <v>16316</v>
      </c>
      <c r="N107" s="11">
        <v>25765</v>
      </c>
      <c r="O107" s="11">
        <v>25578</v>
      </c>
      <c r="P107" s="11"/>
      <c r="Q107" s="11">
        <v>583</v>
      </c>
      <c r="R107" s="11">
        <v>2587</v>
      </c>
      <c r="S107" s="11">
        <v>654</v>
      </c>
      <c r="T107" s="11">
        <v>803</v>
      </c>
      <c r="U107" s="11">
        <v>934</v>
      </c>
      <c r="V107" s="11">
        <v>715</v>
      </c>
      <c r="W107" s="11">
        <v>1121</v>
      </c>
      <c r="X107" s="11"/>
      <c r="Y107" s="11">
        <v>0</v>
      </c>
      <c r="Z107" s="11">
        <v>9546</v>
      </c>
      <c r="AA107" s="11">
        <v>10458</v>
      </c>
      <c r="AB107" s="11">
        <v>7845</v>
      </c>
      <c r="AC107" s="17">
        <f t="shared" si="22"/>
        <v>0.14286380860988723</v>
      </c>
      <c r="AD107" s="11">
        <f t="shared" si="23"/>
        <v>20808.285714285714</v>
      </c>
      <c r="AE107" s="11">
        <f t="shared" si="24"/>
        <v>1056.7142857142858</v>
      </c>
      <c r="AF107" s="28">
        <f t="shared" si="17"/>
        <v>5.0783341800656336E-2</v>
      </c>
      <c r="AG107" s="42">
        <f t="shared" si="15"/>
        <v>1.753973119118159E-5</v>
      </c>
      <c r="AH107" s="14" t="str">
        <f t="shared" si="25"/>
        <v>***</v>
      </c>
      <c r="AI107" s="11">
        <f t="shared" si="18"/>
        <v>10</v>
      </c>
      <c r="AJ107" s="11">
        <f t="shared" si="19"/>
        <v>10</v>
      </c>
      <c r="AK107" s="11">
        <f t="shared" si="16"/>
        <v>3.6658038189569522E-4</v>
      </c>
      <c r="AL107" s="42">
        <f t="shared" si="20"/>
        <v>3.1447102172978749E-4</v>
      </c>
      <c r="AM107" s="14" t="str">
        <f t="shared" si="21"/>
        <v>**</v>
      </c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</row>
    <row r="108" spans="1:56" ht="27" customHeight="1" x14ac:dyDescent="0.2">
      <c r="A108" s="10" t="s">
        <v>357</v>
      </c>
      <c r="B108" s="11">
        <v>201</v>
      </c>
      <c r="C108" s="2">
        <v>904.830171580865</v>
      </c>
      <c r="D108" s="2">
        <v>16.380730555555601</v>
      </c>
      <c r="E108" s="2">
        <v>1</v>
      </c>
      <c r="F108" s="12" t="s">
        <v>607</v>
      </c>
      <c r="G108" s="12" t="s">
        <v>359</v>
      </c>
      <c r="H108" s="5"/>
      <c r="I108" s="11">
        <v>21219</v>
      </c>
      <c r="J108" s="11">
        <v>11648</v>
      </c>
      <c r="K108" s="11">
        <v>18937</v>
      </c>
      <c r="L108" s="11">
        <v>17839</v>
      </c>
      <c r="M108" s="11">
        <v>11638</v>
      </c>
      <c r="N108" s="11">
        <v>22015</v>
      </c>
      <c r="O108" s="11">
        <v>19294</v>
      </c>
      <c r="P108" s="11"/>
      <c r="Q108" s="11">
        <v>3088</v>
      </c>
      <c r="R108" s="11">
        <v>7066</v>
      </c>
      <c r="S108" s="11">
        <v>2597</v>
      </c>
      <c r="T108" s="11">
        <v>3625</v>
      </c>
      <c r="U108" s="11">
        <v>4669</v>
      </c>
      <c r="V108" s="11">
        <v>2984</v>
      </c>
      <c r="W108" s="11">
        <v>4582</v>
      </c>
      <c r="X108" s="11"/>
      <c r="Y108" s="11">
        <v>142</v>
      </c>
      <c r="Z108" s="11">
        <v>10537</v>
      </c>
      <c r="AA108" s="11">
        <v>10599</v>
      </c>
      <c r="AB108" s="11">
        <v>8851</v>
      </c>
      <c r="AC108" s="17">
        <f t="shared" si="22"/>
        <v>9.9222496985454656E-2</v>
      </c>
      <c r="AD108" s="11">
        <f t="shared" si="23"/>
        <v>17512.857142857141</v>
      </c>
      <c r="AE108" s="11">
        <f t="shared" si="24"/>
        <v>4087.2857142857142</v>
      </c>
      <c r="AF108" s="28">
        <f t="shared" si="17"/>
        <v>0.23338771514805451</v>
      </c>
      <c r="AG108" s="42">
        <f t="shared" si="15"/>
        <v>6.8271351523040965E-5</v>
      </c>
      <c r="AH108" s="14" t="str">
        <f t="shared" si="25"/>
        <v>***</v>
      </c>
      <c r="AI108" s="11">
        <f t="shared" si="18"/>
        <v>33</v>
      </c>
      <c r="AJ108" s="11">
        <f t="shared" si="19"/>
        <v>33</v>
      </c>
      <c r="AK108" s="11">
        <f t="shared" si="16"/>
        <v>4.3238522631259277E-4</v>
      </c>
      <c r="AL108" s="42">
        <f t="shared" si="20"/>
        <v>4.2847034111532091E-4</v>
      </c>
      <c r="AM108" s="14" t="str">
        <f t="shared" si="21"/>
        <v>**</v>
      </c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</row>
    <row r="109" spans="1:56" ht="27" customHeight="1" x14ac:dyDescent="0.2">
      <c r="A109" s="10" t="s">
        <v>357</v>
      </c>
      <c r="B109" s="11">
        <v>202</v>
      </c>
      <c r="C109" s="2">
        <v>946.78570946085699</v>
      </c>
      <c r="D109" s="2">
        <v>15.161333333333401</v>
      </c>
      <c r="E109" s="2">
        <v>1</v>
      </c>
      <c r="F109" s="12" t="s">
        <v>397</v>
      </c>
      <c r="G109" s="12" t="s">
        <v>359</v>
      </c>
      <c r="H109" s="5"/>
      <c r="I109" s="11">
        <v>17522</v>
      </c>
      <c r="J109" s="11">
        <v>10560</v>
      </c>
      <c r="K109" s="11">
        <v>16068</v>
      </c>
      <c r="L109" s="11">
        <v>16810</v>
      </c>
      <c r="M109" s="11">
        <v>11798</v>
      </c>
      <c r="N109" s="11">
        <v>21960</v>
      </c>
      <c r="O109" s="11">
        <v>16865</v>
      </c>
      <c r="P109" s="11"/>
      <c r="Q109" s="11">
        <v>1469</v>
      </c>
      <c r="R109" s="11">
        <v>4135</v>
      </c>
      <c r="S109" s="11">
        <v>1016</v>
      </c>
      <c r="T109" s="11">
        <v>2095</v>
      </c>
      <c r="U109" s="11">
        <v>2551</v>
      </c>
      <c r="V109" s="11">
        <v>2205</v>
      </c>
      <c r="W109" s="11">
        <v>2971</v>
      </c>
      <c r="X109" s="11"/>
      <c r="Y109" s="11">
        <v>0</v>
      </c>
      <c r="Z109" s="11">
        <v>8216</v>
      </c>
      <c r="AA109" s="11">
        <v>8936</v>
      </c>
      <c r="AB109" s="11">
        <v>7185</v>
      </c>
      <c r="AC109" s="17">
        <f t="shared" si="22"/>
        <v>0.10848803391174343</v>
      </c>
      <c r="AD109" s="11">
        <f t="shared" si="23"/>
        <v>15940.428571428571</v>
      </c>
      <c r="AE109" s="11">
        <f t="shared" si="24"/>
        <v>2348.8571428571427</v>
      </c>
      <c r="AF109" s="28">
        <f t="shared" si="17"/>
        <v>0.14735219522687149</v>
      </c>
      <c r="AG109" s="42">
        <f t="shared" si="15"/>
        <v>4.3312488504041378E-5</v>
      </c>
      <c r="AH109" s="14" t="str">
        <f t="shared" si="25"/>
        <v>***</v>
      </c>
      <c r="AI109" s="11">
        <f t="shared" si="18"/>
        <v>23</v>
      </c>
      <c r="AJ109" s="11">
        <f t="shared" si="19"/>
        <v>23</v>
      </c>
      <c r="AK109" s="11">
        <f t="shared" si="16"/>
        <v>3.9357869988454995E-4</v>
      </c>
      <c r="AL109" s="42">
        <f t="shared" si="20"/>
        <v>3.8828708123971544E-4</v>
      </c>
      <c r="AM109" s="14" t="str">
        <f t="shared" si="21"/>
        <v>**</v>
      </c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</row>
    <row r="110" spans="1:56" ht="27" customHeight="1" x14ac:dyDescent="0.2">
      <c r="A110" s="10" t="s">
        <v>357</v>
      </c>
      <c r="B110" s="11">
        <v>212</v>
      </c>
      <c r="C110" s="2">
        <v>948.80078572993204</v>
      </c>
      <c r="D110" s="2">
        <v>15.741899999999999</v>
      </c>
      <c r="E110" s="2">
        <v>1</v>
      </c>
      <c r="F110" s="12" t="s">
        <v>608</v>
      </c>
      <c r="G110" s="12" t="s">
        <v>359</v>
      </c>
      <c r="H110" s="5"/>
      <c r="I110" s="11">
        <v>20659</v>
      </c>
      <c r="J110" s="11">
        <v>13567</v>
      </c>
      <c r="K110" s="11">
        <v>23392</v>
      </c>
      <c r="L110" s="11">
        <v>18866</v>
      </c>
      <c r="M110" s="11">
        <v>16759</v>
      </c>
      <c r="N110" s="11">
        <v>31077</v>
      </c>
      <c r="O110" s="11">
        <v>28028</v>
      </c>
      <c r="P110" s="11"/>
      <c r="Q110" s="11">
        <v>3280</v>
      </c>
      <c r="R110" s="11">
        <v>10461</v>
      </c>
      <c r="S110" s="11">
        <v>2795</v>
      </c>
      <c r="T110" s="11">
        <v>6244</v>
      </c>
      <c r="U110" s="11">
        <v>6625</v>
      </c>
      <c r="V110" s="11">
        <v>6912</v>
      </c>
      <c r="W110" s="11">
        <v>7920</v>
      </c>
      <c r="X110" s="11"/>
      <c r="Y110" s="11">
        <v>0</v>
      </c>
      <c r="Z110" s="11">
        <v>13344</v>
      </c>
      <c r="AA110" s="11">
        <v>11929</v>
      </c>
      <c r="AB110" s="11">
        <v>10992</v>
      </c>
      <c r="AC110" s="17">
        <f t="shared" si="22"/>
        <v>9.7951278621049756E-2</v>
      </c>
      <c r="AD110" s="11">
        <f t="shared" si="23"/>
        <v>21764</v>
      </c>
      <c r="AE110" s="11">
        <f t="shared" si="24"/>
        <v>6319.5714285714284</v>
      </c>
      <c r="AF110" s="28">
        <f t="shared" si="17"/>
        <v>0.2903681046026203</v>
      </c>
      <c r="AG110" s="42">
        <f t="shared" si="15"/>
        <v>2.8499351253016782E-4</v>
      </c>
      <c r="AH110" s="14" t="str">
        <f t="shared" si="25"/>
        <v>***</v>
      </c>
      <c r="AI110" s="11">
        <f t="shared" si="18"/>
        <v>58</v>
      </c>
      <c r="AJ110" s="11">
        <f t="shared" si="19"/>
        <v>58</v>
      </c>
      <c r="AK110" s="11">
        <f t="shared" si="16"/>
        <v>1.0269593813587081E-3</v>
      </c>
      <c r="AL110" s="42">
        <f t="shared" si="20"/>
        <v>1.0269593813587081E-3</v>
      </c>
      <c r="AM110" s="14" t="str">
        <f t="shared" si="21"/>
        <v>**</v>
      </c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</row>
    <row r="111" spans="1:56" ht="27" customHeight="1" x14ac:dyDescent="0.2">
      <c r="A111" s="10" t="s">
        <v>357</v>
      </c>
      <c r="B111" s="11">
        <v>216</v>
      </c>
      <c r="C111" s="2">
        <v>976.83174772798702</v>
      </c>
      <c r="D111" s="2">
        <v>16.080879999999901</v>
      </c>
      <c r="E111" s="2">
        <v>1</v>
      </c>
      <c r="F111" s="12" t="s">
        <v>402</v>
      </c>
      <c r="G111" s="12" t="s">
        <v>359</v>
      </c>
      <c r="H111" s="5"/>
      <c r="I111" s="11">
        <v>16677</v>
      </c>
      <c r="J111" s="11">
        <v>13092</v>
      </c>
      <c r="K111" s="11">
        <v>18628</v>
      </c>
      <c r="L111" s="11">
        <v>14743</v>
      </c>
      <c r="M111" s="11">
        <v>13895</v>
      </c>
      <c r="N111" s="11">
        <v>19929</v>
      </c>
      <c r="O111" s="11">
        <v>19426</v>
      </c>
      <c r="P111" s="11"/>
      <c r="Q111" s="11">
        <v>1278</v>
      </c>
      <c r="R111" s="11">
        <v>4086</v>
      </c>
      <c r="S111" s="11">
        <v>1274</v>
      </c>
      <c r="T111" s="11">
        <v>1626</v>
      </c>
      <c r="U111" s="11">
        <v>2400</v>
      </c>
      <c r="V111" s="11">
        <v>1572</v>
      </c>
      <c r="W111" s="11">
        <v>3102</v>
      </c>
      <c r="X111" s="11"/>
      <c r="Y111" s="11">
        <v>0</v>
      </c>
      <c r="Z111" s="11">
        <v>9459</v>
      </c>
      <c r="AA111" s="11">
        <v>8091</v>
      </c>
      <c r="AB111" s="11">
        <v>7027</v>
      </c>
      <c r="AC111" s="17">
        <f t="shared" si="22"/>
        <v>0.14881749856845208</v>
      </c>
      <c r="AD111" s="11">
        <f t="shared" si="23"/>
        <v>16627.142857142859</v>
      </c>
      <c r="AE111" s="11">
        <f t="shared" si="24"/>
        <v>2191.1428571428573</v>
      </c>
      <c r="AF111" s="28">
        <f t="shared" si="17"/>
        <v>0.13178108084887016</v>
      </c>
      <c r="AG111" s="42">
        <f t="shared" si="15"/>
        <v>1.7185027469958354E-6</v>
      </c>
      <c r="AH111" s="14" t="str">
        <f t="shared" si="25"/>
        <v>***</v>
      </c>
      <c r="AI111" s="11">
        <f t="shared" si="18"/>
        <v>4</v>
      </c>
      <c r="AJ111" s="11">
        <f t="shared" si="19"/>
        <v>4</v>
      </c>
      <c r="AK111" s="11">
        <f t="shared" si="16"/>
        <v>8.9791768530532394E-5</v>
      </c>
      <c r="AL111" s="42">
        <f t="shared" si="20"/>
        <v>8.9791768530532394E-5</v>
      </c>
      <c r="AM111" s="14" t="str">
        <f t="shared" si="21"/>
        <v>**</v>
      </c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</row>
    <row r="112" spans="1:56" ht="27" customHeight="1" x14ac:dyDescent="0.2">
      <c r="A112" s="10" t="s">
        <v>357</v>
      </c>
      <c r="B112" s="11">
        <v>228</v>
      </c>
      <c r="C112" s="2">
        <v>968.76953857144895</v>
      </c>
      <c r="D112" s="2">
        <v>15.174849999999999</v>
      </c>
      <c r="E112" s="2">
        <v>1</v>
      </c>
      <c r="F112" s="12" t="s">
        <v>394</v>
      </c>
      <c r="G112" s="12" t="s">
        <v>359</v>
      </c>
      <c r="H112" s="5"/>
      <c r="I112" s="11">
        <v>12828</v>
      </c>
      <c r="J112" s="11">
        <v>11473</v>
      </c>
      <c r="K112" s="11">
        <v>17067</v>
      </c>
      <c r="L112" s="11">
        <v>12681</v>
      </c>
      <c r="M112" s="11">
        <v>10154</v>
      </c>
      <c r="N112" s="11">
        <v>17150</v>
      </c>
      <c r="O112" s="11">
        <v>32274</v>
      </c>
      <c r="P112" s="11"/>
      <c r="Q112" s="11">
        <v>9732</v>
      </c>
      <c r="R112" s="11">
        <v>18388</v>
      </c>
      <c r="S112" s="11">
        <v>5391</v>
      </c>
      <c r="T112" s="11">
        <v>11294</v>
      </c>
      <c r="U112" s="11">
        <v>4993</v>
      </c>
      <c r="V112" s="11">
        <v>13991</v>
      </c>
      <c r="W112" s="11">
        <v>14985</v>
      </c>
      <c r="X112" s="11"/>
      <c r="Y112" s="11">
        <v>0</v>
      </c>
      <c r="Z112" s="11">
        <v>12435</v>
      </c>
      <c r="AA112" s="11">
        <v>13067</v>
      </c>
      <c r="AB112" s="11">
        <v>10456</v>
      </c>
      <c r="AC112" s="17">
        <f t="shared" si="22"/>
        <v>0.11364748618988048</v>
      </c>
      <c r="AD112" s="11">
        <f t="shared" si="23"/>
        <v>16232.428571428571</v>
      </c>
      <c r="AE112" s="11">
        <f t="shared" si="24"/>
        <v>11253.428571428571</v>
      </c>
      <c r="AF112" s="28">
        <f t="shared" si="17"/>
        <v>0.69326832531000548</v>
      </c>
      <c r="AG112" s="42">
        <f t="shared" si="15"/>
        <v>0.17487527550111723</v>
      </c>
      <c r="AH112" s="14" t="str">
        <f t="shared" si="25"/>
        <v>-</v>
      </c>
      <c r="AI112" s="11">
        <f t="shared" si="18"/>
        <v>168</v>
      </c>
      <c r="AJ112" s="11">
        <f t="shared" si="19"/>
        <v>168</v>
      </c>
      <c r="AK112" s="11">
        <f t="shared" si="16"/>
        <v>0.21755317011746134</v>
      </c>
      <c r="AL112" s="42">
        <f t="shared" si="20"/>
        <v>0.21755317011746134</v>
      </c>
      <c r="AM112" s="14" t="str">
        <f t="shared" si="21"/>
        <v/>
      </c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</row>
    <row r="113" spans="1:56" ht="27" customHeight="1" x14ac:dyDescent="0.2">
      <c r="A113" s="10" t="s">
        <v>357</v>
      </c>
      <c r="B113" s="11">
        <v>230</v>
      </c>
      <c r="C113" s="2">
        <v>992.76943647515805</v>
      </c>
      <c r="D113" s="2">
        <v>14.808818627451</v>
      </c>
      <c r="E113" s="2">
        <v>1</v>
      </c>
      <c r="F113" s="12" t="s">
        <v>406</v>
      </c>
      <c r="G113" s="12" t="s">
        <v>359</v>
      </c>
      <c r="H113" s="5"/>
      <c r="I113" s="11">
        <v>9213</v>
      </c>
      <c r="J113" s="11">
        <v>7968</v>
      </c>
      <c r="K113" s="11">
        <v>12041</v>
      </c>
      <c r="L113" s="11">
        <v>8992</v>
      </c>
      <c r="M113" s="11">
        <v>7122</v>
      </c>
      <c r="N113" s="11">
        <v>13067</v>
      </c>
      <c r="O113" s="11">
        <v>18248</v>
      </c>
      <c r="P113" s="11"/>
      <c r="Q113" s="11">
        <v>3358</v>
      </c>
      <c r="R113" s="11">
        <v>7791</v>
      </c>
      <c r="S113" s="11">
        <v>2259</v>
      </c>
      <c r="T113" s="11">
        <v>4643</v>
      </c>
      <c r="U113" s="11">
        <v>2742</v>
      </c>
      <c r="V113" s="11">
        <v>4560</v>
      </c>
      <c r="W113" s="11">
        <v>6339</v>
      </c>
      <c r="X113" s="11"/>
      <c r="Y113" s="11">
        <v>0</v>
      </c>
      <c r="Z113" s="11">
        <v>6926</v>
      </c>
      <c r="AA113" s="11">
        <v>6873</v>
      </c>
      <c r="AB113" s="11">
        <v>5338</v>
      </c>
      <c r="AC113" s="17">
        <f t="shared" si="22"/>
        <v>0.14138922040572954</v>
      </c>
      <c r="AD113" s="11">
        <f t="shared" si="23"/>
        <v>10950.142857142857</v>
      </c>
      <c r="AE113" s="11">
        <f t="shared" si="24"/>
        <v>4527.4285714285716</v>
      </c>
      <c r="AF113" s="28">
        <f t="shared" si="17"/>
        <v>0.4134584023691798</v>
      </c>
      <c r="AG113" s="42">
        <f t="shared" si="15"/>
        <v>3.5560849275838788E-3</v>
      </c>
      <c r="AH113" s="14" t="str">
        <f t="shared" si="25"/>
        <v>**</v>
      </c>
      <c r="AI113" s="11">
        <f t="shared" si="18"/>
        <v>100</v>
      </c>
      <c r="AJ113" s="11">
        <f t="shared" si="19"/>
        <v>100</v>
      </c>
      <c r="AK113" s="11">
        <f t="shared" si="16"/>
        <v>7.4322174986503065E-3</v>
      </c>
      <c r="AL113" s="42">
        <f t="shared" si="20"/>
        <v>7.4322174986503065E-3</v>
      </c>
      <c r="AM113" s="14" t="str">
        <f t="shared" si="21"/>
        <v>**</v>
      </c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</row>
    <row r="114" spans="1:56" ht="27" customHeight="1" x14ac:dyDescent="0.2">
      <c r="A114" s="10" t="s">
        <v>357</v>
      </c>
      <c r="B114" s="11">
        <v>247</v>
      </c>
      <c r="C114" s="2">
        <v>970.784639087448</v>
      </c>
      <c r="D114" s="2">
        <v>15.3354176470587</v>
      </c>
      <c r="E114" s="2">
        <v>1</v>
      </c>
      <c r="F114" s="12" t="s">
        <v>409</v>
      </c>
      <c r="G114" s="12" t="s">
        <v>359</v>
      </c>
      <c r="H114" s="5"/>
      <c r="I114" s="11">
        <v>7781</v>
      </c>
      <c r="J114" s="11">
        <v>7216</v>
      </c>
      <c r="K114" s="11">
        <v>10629</v>
      </c>
      <c r="L114" s="11">
        <v>8855</v>
      </c>
      <c r="M114" s="11">
        <v>6515</v>
      </c>
      <c r="N114" s="11">
        <v>11330</v>
      </c>
      <c r="O114" s="11">
        <v>16817</v>
      </c>
      <c r="P114" s="11"/>
      <c r="Q114" s="11">
        <v>4146</v>
      </c>
      <c r="R114" s="11">
        <v>8278</v>
      </c>
      <c r="S114" s="11">
        <v>2185</v>
      </c>
      <c r="T114" s="11">
        <v>4612</v>
      </c>
      <c r="U114" s="11">
        <v>3087</v>
      </c>
      <c r="V114" s="11">
        <v>4722</v>
      </c>
      <c r="W114" s="11">
        <v>6727</v>
      </c>
      <c r="X114" s="11"/>
      <c r="Y114" s="11">
        <v>0</v>
      </c>
      <c r="Z114" s="11">
        <v>7650</v>
      </c>
      <c r="AA114" s="11">
        <v>6970</v>
      </c>
      <c r="AB114" s="11">
        <v>6019</v>
      </c>
      <c r="AC114" s="17">
        <f t="shared" si="22"/>
        <v>0.11908189693823308</v>
      </c>
      <c r="AD114" s="11">
        <f t="shared" si="23"/>
        <v>9877.5714285714294</v>
      </c>
      <c r="AE114" s="11">
        <f t="shared" si="24"/>
        <v>4822.4285714285716</v>
      </c>
      <c r="AF114" s="28">
        <f t="shared" si="17"/>
        <v>0.48822006566102133</v>
      </c>
      <c r="AG114" s="42">
        <f t="shared" si="15"/>
        <v>8.8129208767862271E-3</v>
      </c>
      <c r="AH114" s="14" t="str">
        <f t="shared" si="25"/>
        <v>**</v>
      </c>
      <c r="AI114" s="11">
        <f t="shared" si="18"/>
        <v>120</v>
      </c>
      <c r="AJ114" s="11">
        <f t="shared" si="19"/>
        <v>120</v>
      </c>
      <c r="AK114" s="11">
        <f t="shared" si="16"/>
        <v>1.5349170527069345E-2</v>
      </c>
      <c r="AL114" s="42">
        <f t="shared" si="20"/>
        <v>1.5349170527069345E-2</v>
      </c>
      <c r="AM114" s="14" t="str">
        <f t="shared" si="21"/>
        <v>**</v>
      </c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</row>
    <row r="115" spans="1:56" ht="27" customHeight="1" x14ac:dyDescent="0.2">
      <c r="A115" s="10" t="s">
        <v>357</v>
      </c>
      <c r="B115" s="11">
        <v>266</v>
      </c>
      <c r="C115" s="2">
        <v>1004.86247428099</v>
      </c>
      <c r="D115" s="2">
        <v>16.398128124999999</v>
      </c>
      <c r="E115" s="2">
        <v>1</v>
      </c>
      <c r="F115" s="12" t="s">
        <v>609</v>
      </c>
      <c r="G115" s="12" t="s">
        <v>359</v>
      </c>
      <c r="H115" s="5"/>
      <c r="I115" s="11">
        <v>9968</v>
      </c>
      <c r="J115" s="11">
        <v>9929</v>
      </c>
      <c r="K115" s="11">
        <v>14869</v>
      </c>
      <c r="L115" s="11">
        <v>8271</v>
      </c>
      <c r="M115" s="11">
        <v>10430</v>
      </c>
      <c r="N115" s="11">
        <v>14638</v>
      </c>
      <c r="O115" s="11">
        <v>15303</v>
      </c>
      <c r="P115" s="11"/>
      <c r="Q115" s="11">
        <v>917</v>
      </c>
      <c r="R115" s="11">
        <v>2758</v>
      </c>
      <c r="S115" s="11">
        <v>906</v>
      </c>
      <c r="T115" s="11">
        <v>1068</v>
      </c>
      <c r="U115" s="11">
        <v>1738</v>
      </c>
      <c r="V115" s="11">
        <v>1345</v>
      </c>
      <c r="W115" s="11">
        <v>2080</v>
      </c>
      <c r="X115" s="11"/>
      <c r="Y115" s="11">
        <v>0</v>
      </c>
      <c r="Z115" s="11">
        <v>6205</v>
      </c>
      <c r="AA115" s="11">
        <v>7004</v>
      </c>
      <c r="AB115" s="11">
        <v>5542</v>
      </c>
      <c r="AC115" s="17">
        <f t="shared" si="22"/>
        <v>0.1171223141837474</v>
      </c>
      <c r="AD115" s="11">
        <f t="shared" si="23"/>
        <v>11915.428571428571</v>
      </c>
      <c r="AE115" s="11">
        <f t="shared" si="24"/>
        <v>1544.5714285714287</v>
      </c>
      <c r="AF115" s="28">
        <f t="shared" si="17"/>
        <v>0.12962785344331482</v>
      </c>
      <c r="AG115" s="42">
        <f t="shared" si="15"/>
        <v>5.0485853057443832E-5</v>
      </c>
      <c r="AH115" s="14" t="str">
        <f t="shared" si="25"/>
        <v>***</v>
      </c>
      <c r="AI115" s="11">
        <f t="shared" si="18"/>
        <v>25</v>
      </c>
      <c r="AJ115" s="11">
        <f t="shared" si="19"/>
        <v>25</v>
      </c>
      <c r="AK115" s="11">
        <f t="shared" si="16"/>
        <v>4.2206173156023041E-4</v>
      </c>
      <c r="AL115" s="42">
        <f t="shared" si="20"/>
        <v>4.0394159932934229E-4</v>
      </c>
      <c r="AM115" s="14" t="str">
        <f t="shared" si="21"/>
        <v>**</v>
      </c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</row>
    <row r="116" spans="1:56" ht="27" customHeight="1" x14ac:dyDescent="0.2">
      <c r="A116" s="10" t="s">
        <v>357</v>
      </c>
      <c r="B116" s="11">
        <v>285</v>
      </c>
      <c r="C116" s="2">
        <v>924.79999743856195</v>
      </c>
      <c r="D116" s="2">
        <v>16.024173333333199</v>
      </c>
      <c r="E116" s="2">
        <v>1</v>
      </c>
      <c r="F116" s="12" t="s">
        <v>400</v>
      </c>
      <c r="G116" s="12" t="s">
        <v>359</v>
      </c>
      <c r="H116" s="5"/>
      <c r="I116" s="11">
        <v>5716</v>
      </c>
      <c r="J116" s="11">
        <v>4682</v>
      </c>
      <c r="K116" s="11">
        <v>8968</v>
      </c>
      <c r="L116" s="11">
        <v>9188</v>
      </c>
      <c r="M116" s="11">
        <v>6500</v>
      </c>
      <c r="N116" s="11">
        <v>11643</v>
      </c>
      <c r="O116" s="11">
        <v>13952</v>
      </c>
      <c r="P116" s="11"/>
      <c r="Q116" s="11">
        <v>2128</v>
      </c>
      <c r="R116" s="11">
        <v>5315</v>
      </c>
      <c r="S116" s="11">
        <v>1802</v>
      </c>
      <c r="T116" s="11">
        <v>4043</v>
      </c>
      <c r="U116" s="11">
        <v>5575</v>
      </c>
      <c r="V116" s="11">
        <v>5977</v>
      </c>
      <c r="W116" s="11">
        <v>5586</v>
      </c>
      <c r="X116" s="11"/>
      <c r="Y116" s="11">
        <v>0</v>
      </c>
      <c r="Z116" s="11">
        <v>5421</v>
      </c>
      <c r="AA116" s="11">
        <v>6185</v>
      </c>
      <c r="AB116" s="11">
        <v>5451</v>
      </c>
      <c r="AC116" s="17">
        <f t="shared" si="22"/>
        <v>7.6102848316054003E-2</v>
      </c>
      <c r="AD116" s="11">
        <f t="shared" si="23"/>
        <v>8664.1428571428569</v>
      </c>
      <c r="AE116" s="11">
        <f t="shared" si="24"/>
        <v>4346.5714285714284</v>
      </c>
      <c r="AF116" s="28">
        <f t="shared" si="17"/>
        <v>0.50167356427970777</v>
      </c>
      <c r="AG116" s="42">
        <f t="shared" si="15"/>
        <v>1.3871175810076021E-2</v>
      </c>
      <c r="AH116" s="14" t="str">
        <f t="shared" si="25"/>
        <v>*</v>
      </c>
      <c r="AI116" s="11">
        <f t="shared" si="18"/>
        <v>127</v>
      </c>
      <c r="AJ116" s="11">
        <f t="shared" si="19"/>
        <v>127</v>
      </c>
      <c r="AK116" s="11">
        <f t="shared" si="16"/>
        <v>2.2827368065400696E-2</v>
      </c>
      <c r="AL116" s="42">
        <f t="shared" si="20"/>
        <v>2.2623683357068408E-2</v>
      </c>
      <c r="AM116" s="14" t="str">
        <f t="shared" si="21"/>
        <v>**</v>
      </c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</row>
    <row r="117" spans="1:56" ht="27" customHeight="1" x14ac:dyDescent="0.2">
      <c r="A117" s="10" t="s">
        <v>357</v>
      </c>
      <c r="B117" s="11">
        <v>292</v>
      </c>
      <c r="C117" s="2">
        <v>1002.84767969268</v>
      </c>
      <c r="D117" s="2">
        <v>16.163367647058699</v>
      </c>
      <c r="E117" s="2">
        <v>1</v>
      </c>
      <c r="F117" s="12" t="s">
        <v>423</v>
      </c>
      <c r="G117" s="12" t="s">
        <v>359</v>
      </c>
      <c r="H117" s="5"/>
      <c r="I117" s="11">
        <v>9029</v>
      </c>
      <c r="J117" s="11">
        <v>8453</v>
      </c>
      <c r="K117" s="11">
        <v>12169</v>
      </c>
      <c r="L117" s="11">
        <v>7117</v>
      </c>
      <c r="M117" s="11">
        <v>8795</v>
      </c>
      <c r="N117" s="11">
        <v>11044</v>
      </c>
      <c r="O117" s="11">
        <v>13179</v>
      </c>
      <c r="P117" s="11"/>
      <c r="Q117" s="11">
        <v>783</v>
      </c>
      <c r="R117" s="11">
        <v>2611</v>
      </c>
      <c r="S117" s="11">
        <v>754</v>
      </c>
      <c r="T117" s="11">
        <v>1175</v>
      </c>
      <c r="U117" s="11">
        <v>1863</v>
      </c>
      <c r="V117" s="11">
        <v>922</v>
      </c>
      <c r="W117" s="11">
        <v>2024</v>
      </c>
      <c r="X117" s="11"/>
      <c r="Y117" s="11">
        <v>0</v>
      </c>
      <c r="Z117" s="11">
        <v>4645</v>
      </c>
      <c r="AA117" s="11">
        <v>5598</v>
      </c>
      <c r="AB117" s="11">
        <v>4474</v>
      </c>
      <c r="AC117" s="17">
        <f t="shared" si="22"/>
        <v>0.12345798763206146</v>
      </c>
      <c r="AD117" s="11">
        <f t="shared" si="23"/>
        <v>9969.4285714285706</v>
      </c>
      <c r="AE117" s="11">
        <f t="shared" si="24"/>
        <v>1447.4285714285713</v>
      </c>
      <c r="AF117" s="28">
        <f t="shared" si="17"/>
        <v>0.14518671366749777</v>
      </c>
      <c r="AG117" s="42">
        <f t="shared" si="15"/>
        <v>1.9560398480800181E-5</v>
      </c>
      <c r="AH117" s="14" t="str">
        <f t="shared" si="25"/>
        <v>***</v>
      </c>
      <c r="AI117" s="11">
        <f t="shared" si="18"/>
        <v>13</v>
      </c>
      <c r="AJ117" s="11">
        <f t="shared" si="19"/>
        <v>13</v>
      </c>
      <c r="AK117" s="11">
        <f t="shared" si="16"/>
        <v>3.1447102172978749E-4</v>
      </c>
      <c r="AL117" s="42">
        <f t="shared" si="20"/>
        <v>3.1447102172978749E-4</v>
      </c>
      <c r="AM117" s="14" t="str">
        <f t="shared" si="21"/>
        <v>**</v>
      </c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</row>
    <row r="118" spans="1:56" ht="27" customHeight="1" x14ac:dyDescent="0.2">
      <c r="A118" s="10" t="s">
        <v>357</v>
      </c>
      <c r="B118" s="11">
        <v>304</v>
      </c>
      <c r="C118" s="2">
        <v>994.78397970100605</v>
      </c>
      <c r="D118" s="2">
        <v>15.226615686274499</v>
      </c>
      <c r="E118" s="2">
        <v>1</v>
      </c>
      <c r="F118" s="12" t="s">
        <v>413</v>
      </c>
      <c r="G118" s="12" t="s">
        <v>359</v>
      </c>
      <c r="H118" s="5"/>
      <c r="I118" s="11">
        <v>7021</v>
      </c>
      <c r="J118" s="11">
        <v>5906</v>
      </c>
      <c r="K118" s="11">
        <v>8800</v>
      </c>
      <c r="L118" s="11">
        <v>8000</v>
      </c>
      <c r="M118" s="11">
        <v>7347</v>
      </c>
      <c r="N118" s="11">
        <v>9993</v>
      </c>
      <c r="O118" s="11">
        <v>12587</v>
      </c>
      <c r="P118" s="11"/>
      <c r="Q118" s="11">
        <v>2929</v>
      </c>
      <c r="R118" s="11">
        <v>6816</v>
      </c>
      <c r="S118" s="11">
        <v>1896</v>
      </c>
      <c r="T118" s="11">
        <v>3711</v>
      </c>
      <c r="U118" s="11">
        <v>2072</v>
      </c>
      <c r="V118" s="11">
        <v>4034</v>
      </c>
      <c r="W118" s="11">
        <v>4949</v>
      </c>
      <c r="X118" s="11"/>
      <c r="Y118" s="11">
        <v>0</v>
      </c>
      <c r="Z118" s="11">
        <v>5730</v>
      </c>
      <c r="AA118" s="11">
        <v>5626</v>
      </c>
      <c r="AB118" s="11">
        <v>4469</v>
      </c>
      <c r="AC118" s="17">
        <f t="shared" si="22"/>
        <v>0.13269207820863199</v>
      </c>
      <c r="AD118" s="11">
        <f t="shared" si="23"/>
        <v>8522</v>
      </c>
      <c r="AE118" s="11">
        <f t="shared" si="24"/>
        <v>3772.4285714285716</v>
      </c>
      <c r="AF118" s="28">
        <f t="shared" si="17"/>
        <v>0.44266939350253126</v>
      </c>
      <c r="AG118" s="42">
        <f t="shared" si="15"/>
        <v>8.7986506978914275E-4</v>
      </c>
      <c r="AH118" s="14" t="str">
        <f t="shared" si="25"/>
        <v>***</v>
      </c>
      <c r="AI118" s="11">
        <f t="shared" si="18"/>
        <v>83</v>
      </c>
      <c r="AJ118" s="11">
        <f t="shared" si="19"/>
        <v>83</v>
      </c>
      <c r="AK118" s="11">
        <f t="shared" si="16"/>
        <v>2.2155638504329014E-3</v>
      </c>
      <c r="AL118" s="42">
        <f t="shared" si="20"/>
        <v>2.2155638504329014E-3</v>
      </c>
      <c r="AM118" s="14" t="str">
        <f t="shared" si="21"/>
        <v>**</v>
      </c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</row>
    <row r="119" spans="1:56" ht="27" customHeight="1" x14ac:dyDescent="0.2">
      <c r="A119" s="10" t="s">
        <v>357</v>
      </c>
      <c r="B119" s="11">
        <v>326</v>
      </c>
      <c r="C119" s="2">
        <v>994.78488186174502</v>
      </c>
      <c r="D119" s="2">
        <v>15.0051686274508</v>
      </c>
      <c r="E119" s="2">
        <v>1</v>
      </c>
      <c r="F119" s="12" t="s">
        <v>422</v>
      </c>
      <c r="G119" s="12" t="s">
        <v>359</v>
      </c>
      <c r="H119" s="5"/>
      <c r="I119" s="11">
        <v>6898</v>
      </c>
      <c r="J119" s="11">
        <v>6793</v>
      </c>
      <c r="K119" s="11">
        <v>9069</v>
      </c>
      <c r="L119" s="11">
        <v>7427</v>
      </c>
      <c r="M119" s="11">
        <v>6854</v>
      </c>
      <c r="N119" s="11">
        <v>9837</v>
      </c>
      <c r="O119" s="11">
        <v>11098</v>
      </c>
      <c r="P119" s="11"/>
      <c r="Q119" s="11">
        <v>1899</v>
      </c>
      <c r="R119" s="11">
        <v>4884</v>
      </c>
      <c r="S119" s="11">
        <v>1342</v>
      </c>
      <c r="T119" s="11">
        <v>2854</v>
      </c>
      <c r="U119" s="11">
        <v>1473</v>
      </c>
      <c r="V119" s="11">
        <v>2844</v>
      </c>
      <c r="W119" s="11">
        <v>3637</v>
      </c>
      <c r="X119" s="11"/>
      <c r="Y119" s="11">
        <v>0</v>
      </c>
      <c r="Z119" s="11">
        <v>5238</v>
      </c>
      <c r="AA119" s="11">
        <v>5544</v>
      </c>
      <c r="AB119" s="11">
        <v>3927</v>
      </c>
      <c r="AC119" s="17">
        <f t="shared" si="22"/>
        <v>0.17519410907554075</v>
      </c>
      <c r="AD119" s="11">
        <f t="shared" si="23"/>
        <v>8282.2857142857138</v>
      </c>
      <c r="AE119" s="11">
        <f t="shared" si="24"/>
        <v>2704.7142857142858</v>
      </c>
      <c r="AF119" s="28">
        <f t="shared" si="17"/>
        <v>0.32656616530978338</v>
      </c>
      <c r="AG119" s="42">
        <f t="shared" si="15"/>
        <v>2.602671284138987E-5</v>
      </c>
      <c r="AH119" s="14" t="str">
        <f t="shared" si="25"/>
        <v>***</v>
      </c>
      <c r="AI119" s="11">
        <f t="shared" si="18"/>
        <v>17</v>
      </c>
      <c r="AJ119" s="11">
        <f t="shared" si="19"/>
        <v>17</v>
      </c>
      <c r="AK119" s="11">
        <f t="shared" si="16"/>
        <v>3.1997546963826373E-4</v>
      </c>
      <c r="AL119" s="42">
        <f t="shared" si="20"/>
        <v>3.180006068282448E-4</v>
      </c>
      <c r="AM119" s="14" t="str">
        <f t="shared" si="21"/>
        <v>**</v>
      </c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</row>
    <row r="120" spans="1:56" ht="27" customHeight="1" x14ac:dyDescent="0.2">
      <c r="A120" s="10" t="s">
        <v>357</v>
      </c>
      <c r="B120" s="11">
        <v>332</v>
      </c>
      <c r="C120" s="2">
        <v>878.81576546589804</v>
      </c>
      <c r="D120" s="2">
        <v>16.3480029411764</v>
      </c>
      <c r="E120" s="2">
        <v>1</v>
      </c>
      <c r="F120" s="12" t="s">
        <v>610</v>
      </c>
      <c r="G120" s="12" t="s">
        <v>359</v>
      </c>
      <c r="H120" s="5"/>
      <c r="I120" s="11">
        <v>8799</v>
      </c>
      <c r="J120" s="11">
        <v>5821</v>
      </c>
      <c r="K120" s="11">
        <v>8687</v>
      </c>
      <c r="L120" s="11">
        <v>8057</v>
      </c>
      <c r="M120" s="11">
        <v>5140</v>
      </c>
      <c r="N120" s="11">
        <v>8331</v>
      </c>
      <c r="O120" s="11">
        <v>10795</v>
      </c>
      <c r="P120" s="11"/>
      <c r="Q120" s="11">
        <v>2675</v>
      </c>
      <c r="R120" s="11">
        <v>4421</v>
      </c>
      <c r="S120" s="11">
        <v>2131</v>
      </c>
      <c r="T120" s="11">
        <v>2998</v>
      </c>
      <c r="U120" s="11">
        <v>4198</v>
      </c>
      <c r="V120" s="11">
        <v>2805</v>
      </c>
      <c r="W120" s="11">
        <v>4156</v>
      </c>
      <c r="X120" s="11"/>
      <c r="Y120" s="11">
        <v>222</v>
      </c>
      <c r="Z120" s="11">
        <v>5061</v>
      </c>
      <c r="AA120" s="11">
        <v>4901</v>
      </c>
      <c r="AB120" s="11">
        <v>4550</v>
      </c>
      <c r="AC120" s="17">
        <f t="shared" si="22"/>
        <v>5.4034230777581245E-2</v>
      </c>
      <c r="AD120" s="11">
        <f t="shared" si="23"/>
        <v>7947.1428571428569</v>
      </c>
      <c r="AE120" s="11">
        <f t="shared" si="24"/>
        <v>3340.5714285714284</v>
      </c>
      <c r="AF120" s="28">
        <f t="shared" si="17"/>
        <v>0.42034873269818446</v>
      </c>
      <c r="AG120" s="42">
        <f t="shared" si="15"/>
        <v>3.3034651501164788E-4</v>
      </c>
      <c r="AH120" s="14" t="str">
        <f t="shared" si="25"/>
        <v>***</v>
      </c>
      <c r="AI120" s="11">
        <f t="shared" si="18"/>
        <v>62</v>
      </c>
      <c r="AJ120" s="11">
        <f t="shared" si="19"/>
        <v>62</v>
      </c>
      <c r="AK120" s="11">
        <f t="shared" si="16"/>
        <v>1.113587445765071E-3</v>
      </c>
      <c r="AL120" s="42">
        <f t="shared" si="20"/>
        <v>1.113587445765071E-3</v>
      </c>
      <c r="AM120" s="14" t="str">
        <f t="shared" si="21"/>
        <v>**</v>
      </c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</row>
    <row r="121" spans="1:56" ht="27" customHeight="1" x14ac:dyDescent="0.2">
      <c r="A121" s="10" t="s">
        <v>357</v>
      </c>
      <c r="B121" s="11">
        <v>385</v>
      </c>
      <c r="C121" s="2">
        <v>996.79951324473996</v>
      </c>
      <c r="D121" s="2">
        <v>15.3880010416666</v>
      </c>
      <c r="E121" s="2">
        <v>1</v>
      </c>
      <c r="F121" s="12" t="s">
        <v>428</v>
      </c>
      <c r="G121" s="12" t="s">
        <v>359</v>
      </c>
      <c r="H121" s="5"/>
      <c r="I121" s="11">
        <v>5427</v>
      </c>
      <c r="J121" s="11">
        <v>4901</v>
      </c>
      <c r="K121" s="11">
        <v>7296</v>
      </c>
      <c r="L121" s="11">
        <v>6142</v>
      </c>
      <c r="M121" s="11">
        <v>5330</v>
      </c>
      <c r="N121" s="11">
        <v>7847</v>
      </c>
      <c r="O121" s="11">
        <v>8967</v>
      </c>
      <c r="P121" s="11"/>
      <c r="Q121" s="11">
        <v>2063</v>
      </c>
      <c r="R121" s="11">
        <v>4459</v>
      </c>
      <c r="S121" s="11">
        <v>1280</v>
      </c>
      <c r="T121" s="11">
        <v>2241</v>
      </c>
      <c r="U121" s="11">
        <v>1397</v>
      </c>
      <c r="V121" s="11">
        <v>2109</v>
      </c>
      <c r="W121" s="11">
        <v>3187</v>
      </c>
      <c r="X121" s="11"/>
      <c r="Y121" s="11">
        <v>0</v>
      </c>
      <c r="Z121" s="11">
        <v>4279</v>
      </c>
      <c r="AA121" s="11">
        <v>4483</v>
      </c>
      <c r="AB121" s="11">
        <v>3883</v>
      </c>
      <c r="AC121" s="17">
        <f t="shared" si="22"/>
        <v>7.2378894294351959E-2</v>
      </c>
      <c r="AD121" s="11">
        <f t="shared" si="23"/>
        <v>6558.5714285714284</v>
      </c>
      <c r="AE121" s="11">
        <f t="shared" si="24"/>
        <v>2390.8571428571427</v>
      </c>
      <c r="AF121" s="28">
        <f t="shared" si="17"/>
        <v>0.36453931605314743</v>
      </c>
      <c r="AG121" s="42">
        <f t="shared" si="15"/>
        <v>1.0550258993525494E-4</v>
      </c>
      <c r="AH121" s="14" t="str">
        <f t="shared" si="25"/>
        <v>***</v>
      </c>
      <c r="AI121" s="11">
        <f t="shared" si="18"/>
        <v>42</v>
      </c>
      <c r="AJ121" s="11">
        <f t="shared" si="19"/>
        <v>42</v>
      </c>
      <c r="AK121" s="11">
        <f t="shared" si="16"/>
        <v>5.250009832492448E-4</v>
      </c>
      <c r="AL121" s="42">
        <f t="shared" si="20"/>
        <v>5.1616895843263134E-4</v>
      </c>
      <c r="AM121" s="14" t="str">
        <f t="shared" si="21"/>
        <v>**</v>
      </c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</row>
    <row r="122" spans="1:56" ht="27" customHeight="1" x14ac:dyDescent="0.2">
      <c r="A122" s="10" t="s">
        <v>357</v>
      </c>
      <c r="B122" s="11">
        <v>408</v>
      </c>
      <c r="C122" s="2">
        <v>944.76765283963596</v>
      </c>
      <c r="D122" s="2">
        <v>15.266356944444301</v>
      </c>
      <c r="E122" s="2">
        <v>1</v>
      </c>
      <c r="F122" s="12" t="s">
        <v>440</v>
      </c>
      <c r="G122" s="12" t="s">
        <v>359</v>
      </c>
      <c r="H122" s="5"/>
      <c r="I122" s="11">
        <v>3232</v>
      </c>
      <c r="J122" s="11">
        <v>2686</v>
      </c>
      <c r="K122" s="11">
        <v>3366</v>
      </c>
      <c r="L122" s="11">
        <v>2938</v>
      </c>
      <c r="M122" s="11">
        <v>2921</v>
      </c>
      <c r="N122" s="11">
        <v>4574</v>
      </c>
      <c r="O122" s="11">
        <v>8030</v>
      </c>
      <c r="P122" s="11"/>
      <c r="Q122" s="11">
        <v>1187</v>
      </c>
      <c r="R122" s="11">
        <v>3091</v>
      </c>
      <c r="S122" s="11">
        <v>916</v>
      </c>
      <c r="T122" s="11">
        <v>1658</v>
      </c>
      <c r="U122" s="11">
        <v>1205</v>
      </c>
      <c r="V122" s="11">
        <v>1990</v>
      </c>
      <c r="W122" s="11">
        <v>2207</v>
      </c>
      <c r="X122" s="11"/>
      <c r="Y122" s="11">
        <v>0</v>
      </c>
      <c r="Z122" s="11">
        <v>3074</v>
      </c>
      <c r="AA122" s="11">
        <v>3073</v>
      </c>
      <c r="AB122" s="11">
        <v>2164</v>
      </c>
      <c r="AC122" s="17">
        <f t="shared" si="22"/>
        <v>0.1895440889945042</v>
      </c>
      <c r="AD122" s="11">
        <f t="shared" si="23"/>
        <v>3963.8571428571427</v>
      </c>
      <c r="AE122" s="11">
        <f t="shared" si="24"/>
        <v>1750.5714285714287</v>
      </c>
      <c r="AF122" s="28">
        <f t="shared" si="17"/>
        <v>0.44163332972934016</v>
      </c>
      <c r="AG122" s="42">
        <f t="shared" si="15"/>
        <v>2.1237108845332781E-2</v>
      </c>
      <c r="AH122" s="14" t="str">
        <f t="shared" si="25"/>
        <v>*</v>
      </c>
      <c r="AI122" s="11">
        <f t="shared" si="18"/>
        <v>137</v>
      </c>
      <c r="AJ122" s="11">
        <f t="shared" si="19"/>
        <v>137</v>
      </c>
      <c r="AK122" s="11">
        <f t="shared" si="16"/>
        <v>3.239821714360986E-2</v>
      </c>
      <c r="AL122" s="42">
        <f t="shared" si="20"/>
        <v>3.239821714360986E-2</v>
      </c>
      <c r="AM122" s="14" t="str">
        <f t="shared" si="21"/>
        <v>**</v>
      </c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</row>
    <row r="123" spans="1:56" ht="27" customHeight="1" x14ac:dyDescent="0.2">
      <c r="A123" s="10" t="s">
        <v>357</v>
      </c>
      <c r="B123" s="11">
        <v>410</v>
      </c>
      <c r="C123" s="2">
        <v>1032.89409614132</v>
      </c>
      <c r="D123" s="2">
        <v>16.6642411764706</v>
      </c>
      <c r="E123" s="2">
        <v>1</v>
      </c>
      <c r="F123" s="12" t="s">
        <v>611</v>
      </c>
      <c r="G123" s="12" t="s">
        <v>359</v>
      </c>
      <c r="H123" s="5"/>
      <c r="I123" s="11">
        <v>4053</v>
      </c>
      <c r="J123" s="11">
        <v>4716</v>
      </c>
      <c r="K123" s="11">
        <v>5768</v>
      </c>
      <c r="L123" s="11">
        <v>3855</v>
      </c>
      <c r="M123" s="11">
        <v>6236</v>
      </c>
      <c r="N123" s="11">
        <v>5944</v>
      </c>
      <c r="O123" s="11">
        <v>7996</v>
      </c>
      <c r="P123" s="11"/>
      <c r="Q123" s="11">
        <v>408</v>
      </c>
      <c r="R123" s="11">
        <v>1514</v>
      </c>
      <c r="S123" s="11">
        <v>448</v>
      </c>
      <c r="T123" s="11">
        <v>439</v>
      </c>
      <c r="U123" s="11">
        <v>506</v>
      </c>
      <c r="V123" s="11">
        <v>522</v>
      </c>
      <c r="W123" s="11">
        <v>559</v>
      </c>
      <c r="X123" s="11"/>
      <c r="Y123" s="11">
        <v>0</v>
      </c>
      <c r="Z123" s="11">
        <v>3106</v>
      </c>
      <c r="AA123" s="11">
        <v>2940</v>
      </c>
      <c r="AB123" s="11">
        <v>2383</v>
      </c>
      <c r="AC123" s="17">
        <f t="shared" si="22"/>
        <v>0.13478873354215595</v>
      </c>
      <c r="AD123" s="11">
        <f t="shared" si="23"/>
        <v>5509.7142857142853</v>
      </c>
      <c r="AE123" s="11">
        <f t="shared" si="24"/>
        <v>628</v>
      </c>
      <c r="AF123" s="28">
        <f t="shared" si="17"/>
        <v>0.11398050197054554</v>
      </c>
      <c r="AG123" s="42">
        <f t="shared" si="15"/>
        <v>6.0459117349160518E-5</v>
      </c>
      <c r="AH123" s="14" t="str">
        <f t="shared" si="25"/>
        <v>***</v>
      </c>
      <c r="AI123" s="11">
        <f t="shared" si="18"/>
        <v>30</v>
      </c>
      <c r="AJ123" s="11">
        <f t="shared" si="19"/>
        <v>30</v>
      </c>
      <c r="AK123" s="11">
        <f t="shared" si="16"/>
        <v>4.2119851753248493E-4</v>
      </c>
      <c r="AL123" s="42">
        <f t="shared" si="20"/>
        <v>4.0842267701917231E-4</v>
      </c>
      <c r="AM123" s="14" t="str">
        <f t="shared" si="21"/>
        <v>**</v>
      </c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</row>
    <row r="124" spans="1:56" ht="27" customHeight="1" x14ac:dyDescent="0.2">
      <c r="A124" s="10" t="s">
        <v>357</v>
      </c>
      <c r="B124" s="11">
        <v>470</v>
      </c>
      <c r="C124" s="2">
        <v>996.79902474185701</v>
      </c>
      <c r="D124" s="2">
        <v>15.6559357142857</v>
      </c>
      <c r="E124" s="2">
        <v>1</v>
      </c>
      <c r="F124" s="12" t="s">
        <v>435</v>
      </c>
      <c r="G124" s="12" t="s">
        <v>359</v>
      </c>
      <c r="H124" s="5"/>
      <c r="I124" s="11">
        <v>2120</v>
      </c>
      <c r="J124" s="11">
        <v>2363</v>
      </c>
      <c r="K124" s="11">
        <v>5386</v>
      </c>
      <c r="L124" s="11">
        <v>5667</v>
      </c>
      <c r="M124" s="11">
        <v>4399</v>
      </c>
      <c r="N124" s="11">
        <v>7357</v>
      </c>
      <c r="O124" s="11">
        <v>6616</v>
      </c>
      <c r="P124" s="11"/>
      <c r="Q124" s="11">
        <v>2257</v>
      </c>
      <c r="R124" s="11">
        <v>3406</v>
      </c>
      <c r="S124" s="11">
        <v>1371</v>
      </c>
      <c r="T124" s="11">
        <v>3115</v>
      </c>
      <c r="U124" s="11">
        <v>2025</v>
      </c>
      <c r="V124" s="11">
        <v>4552</v>
      </c>
      <c r="W124" s="11">
        <v>3860</v>
      </c>
      <c r="X124" s="11"/>
      <c r="Y124" s="11">
        <v>0</v>
      </c>
      <c r="Z124" s="11">
        <v>4063</v>
      </c>
      <c r="AA124" s="11">
        <v>3915</v>
      </c>
      <c r="AB124" s="11">
        <v>3273</v>
      </c>
      <c r="AC124" s="17">
        <f t="shared" si="22"/>
        <v>0.11197777061536734</v>
      </c>
      <c r="AD124" s="11">
        <f t="shared" si="23"/>
        <v>4844</v>
      </c>
      <c r="AE124" s="11">
        <f t="shared" si="24"/>
        <v>2940.8571428571427</v>
      </c>
      <c r="AF124" s="28">
        <f t="shared" si="17"/>
        <v>0.60711336557744477</v>
      </c>
      <c r="AG124" s="42">
        <f t="shared" si="15"/>
        <v>5.4886285111217493E-2</v>
      </c>
      <c r="AH124" s="14" t="str">
        <f t="shared" si="25"/>
        <v>-</v>
      </c>
      <c r="AI124" s="11">
        <f t="shared" si="18"/>
        <v>147</v>
      </c>
      <c r="AJ124" s="11">
        <f t="shared" si="19"/>
        <v>147</v>
      </c>
      <c r="AK124" s="11">
        <f t="shared" si="16"/>
        <v>7.8035602641118751E-2</v>
      </c>
      <c r="AL124" s="42">
        <f t="shared" si="20"/>
        <v>7.8035602641118751E-2</v>
      </c>
      <c r="AM124" s="14" t="str">
        <f t="shared" si="21"/>
        <v>*</v>
      </c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</row>
    <row r="125" spans="1:56" ht="27" customHeight="1" x14ac:dyDescent="0.2">
      <c r="A125" s="10" t="s">
        <v>357</v>
      </c>
      <c r="B125" s="11">
        <v>485</v>
      </c>
      <c r="C125" s="2">
        <v>824.76752902548003</v>
      </c>
      <c r="D125" s="2">
        <v>15.9600694444444</v>
      </c>
      <c r="E125" s="2">
        <v>1</v>
      </c>
      <c r="F125" s="12" t="s">
        <v>367</v>
      </c>
      <c r="G125" s="12" t="s">
        <v>359</v>
      </c>
      <c r="H125" s="5"/>
      <c r="I125" s="11">
        <v>3308</v>
      </c>
      <c r="J125" s="11">
        <v>3545</v>
      </c>
      <c r="K125" s="11">
        <v>6162</v>
      </c>
      <c r="L125" s="11">
        <v>5527</v>
      </c>
      <c r="M125" s="11">
        <v>4497</v>
      </c>
      <c r="N125" s="11">
        <v>4952</v>
      </c>
      <c r="O125" s="11">
        <v>6046</v>
      </c>
      <c r="P125" s="11"/>
      <c r="Q125" s="11">
        <v>3414</v>
      </c>
      <c r="R125" s="11">
        <v>5905</v>
      </c>
      <c r="S125" s="11">
        <v>2767</v>
      </c>
      <c r="T125" s="11">
        <v>3697</v>
      </c>
      <c r="U125" s="11">
        <v>3961</v>
      </c>
      <c r="V125" s="11">
        <v>4082</v>
      </c>
      <c r="W125" s="11">
        <v>6057</v>
      </c>
      <c r="X125" s="11"/>
      <c r="Y125" s="11">
        <v>1295</v>
      </c>
      <c r="Z125" s="11">
        <v>4868</v>
      </c>
      <c r="AA125" s="11">
        <v>5302</v>
      </c>
      <c r="AB125" s="11">
        <v>3949</v>
      </c>
      <c r="AC125" s="17">
        <f t="shared" si="22"/>
        <v>0.14678857575398979</v>
      </c>
      <c r="AD125" s="11">
        <f t="shared" si="23"/>
        <v>4862.4285714285716</v>
      </c>
      <c r="AE125" s="11">
        <f t="shared" si="24"/>
        <v>4269</v>
      </c>
      <c r="AF125" s="28">
        <f t="shared" si="17"/>
        <v>0.87795634162822811</v>
      </c>
      <c r="AG125" s="42">
        <f t="shared" si="15"/>
        <v>0.3713963946292852</v>
      </c>
      <c r="AH125" s="14" t="str">
        <f t="shared" si="25"/>
        <v>-</v>
      </c>
      <c r="AI125" s="11">
        <f t="shared" si="18"/>
        <v>182</v>
      </c>
      <c r="AJ125" s="11">
        <f t="shared" si="19"/>
        <v>182</v>
      </c>
      <c r="AK125" s="11">
        <f t="shared" si="16"/>
        <v>0.42649366196439892</v>
      </c>
      <c r="AL125" s="42">
        <f t="shared" si="20"/>
        <v>0.42649366196439892</v>
      </c>
      <c r="AM125" s="14" t="str">
        <f t="shared" si="21"/>
        <v/>
      </c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</row>
    <row r="126" spans="1:56" ht="27" customHeight="1" x14ac:dyDescent="0.2">
      <c r="A126" s="10" t="s">
        <v>357</v>
      </c>
      <c r="B126" s="11">
        <v>534</v>
      </c>
      <c r="C126" s="2">
        <v>894.75106097099604</v>
      </c>
      <c r="D126" s="2">
        <v>14.770791111111</v>
      </c>
      <c r="E126" s="2">
        <v>1</v>
      </c>
      <c r="F126" s="12" t="s">
        <v>399</v>
      </c>
      <c r="G126" s="12" t="s">
        <v>359</v>
      </c>
      <c r="H126" s="5"/>
      <c r="I126" s="11">
        <v>4184</v>
      </c>
      <c r="J126" s="11">
        <v>1855</v>
      </c>
      <c r="K126" s="11">
        <v>3254</v>
      </c>
      <c r="L126" s="11">
        <v>3912</v>
      </c>
      <c r="M126" s="11">
        <v>2174</v>
      </c>
      <c r="N126" s="11">
        <v>4875</v>
      </c>
      <c r="O126" s="11">
        <v>5362</v>
      </c>
      <c r="P126" s="11"/>
      <c r="Q126" s="11">
        <v>450</v>
      </c>
      <c r="R126" s="11">
        <v>1329</v>
      </c>
      <c r="S126" s="11">
        <v>376</v>
      </c>
      <c r="T126" s="11">
        <v>954</v>
      </c>
      <c r="U126" s="11">
        <v>1790</v>
      </c>
      <c r="V126" s="11">
        <v>762</v>
      </c>
      <c r="W126" s="11">
        <v>1082</v>
      </c>
      <c r="X126" s="11"/>
      <c r="Y126" s="11">
        <v>0</v>
      </c>
      <c r="Z126" s="11">
        <v>2339</v>
      </c>
      <c r="AA126" s="11">
        <v>1894</v>
      </c>
      <c r="AB126" s="11">
        <v>1507</v>
      </c>
      <c r="AC126" s="17">
        <f t="shared" si="22"/>
        <v>0.21759763210510324</v>
      </c>
      <c r="AD126" s="11">
        <f t="shared" si="23"/>
        <v>3659.4285714285716</v>
      </c>
      <c r="AE126" s="11">
        <f t="shared" si="24"/>
        <v>963.28571428571433</v>
      </c>
      <c r="AF126" s="28">
        <f t="shared" si="17"/>
        <v>0.26323391630231108</v>
      </c>
      <c r="AG126" s="42">
        <f t="shared" si="15"/>
        <v>1.0763808980585085E-3</v>
      </c>
      <c r="AH126" s="14" t="str">
        <f t="shared" si="25"/>
        <v>**</v>
      </c>
      <c r="AI126" s="11">
        <f t="shared" si="18"/>
        <v>84</v>
      </c>
      <c r="AJ126" s="11">
        <f t="shared" si="19"/>
        <v>84</v>
      </c>
      <c r="AK126" s="11">
        <f t="shared" si="16"/>
        <v>2.678138186836051E-3</v>
      </c>
      <c r="AL126" s="42">
        <f t="shared" si="20"/>
        <v>2.678138186836051E-3</v>
      </c>
      <c r="AM126" s="14" t="str">
        <f t="shared" si="21"/>
        <v>**</v>
      </c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</row>
    <row r="127" spans="1:56" ht="27" customHeight="1" x14ac:dyDescent="0.2">
      <c r="A127" s="10" t="s">
        <v>357</v>
      </c>
      <c r="B127" s="11">
        <v>538</v>
      </c>
      <c r="C127" s="2">
        <v>822.75427246132597</v>
      </c>
      <c r="D127" s="2">
        <v>15.5937450980392</v>
      </c>
      <c r="E127" s="2">
        <v>1</v>
      </c>
      <c r="F127" s="12" t="s">
        <v>613</v>
      </c>
      <c r="G127" s="12" t="s">
        <v>359</v>
      </c>
      <c r="H127" s="5"/>
      <c r="I127" s="11">
        <v>2791</v>
      </c>
      <c r="J127" s="11">
        <v>2863</v>
      </c>
      <c r="K127" s="11">
        <v>5132</v>
      </c>
      <c r="L127" s="11">
        <v>4387</v>
      </c>
      <c r="M127" s="11">
        <v>3600</v>
      </c>
      <c r="N127" s="11">
        <v>4041</v>
      </c>
      <c r="O127" s="11">
        <v>5233</v>
      </c>
      <c r="P127" s="11"/>
      <c r="Q127" s="11">
        <v>3457</v>
      </c>
      <c r="R127" s="11">
        <v>5155</v>
      </c>
      <c r="S127" s="11">
        <v>2197</v>
      </c>
      <c r="T127" s="11">
        <v>2621</v>
      </c>
      <c r="U127" s="11">
        <v>3083</v>
      </c>
      <c r="V127" s="11">
        <v>2114</v>
      </c>
      <c r="W127" s="11">
        <v>4023</v>
      </c>
      <c r="X127" s="11"/>
      <c r="Y127" s="11">
        <v>552</v>
      </c>
      <c r="Z127" s="11">
        <v>4146</v>
      </c>
      <c r="AA127" s="11">
        <v>3311</v>
      </c>
      <c r="AB127" s="11">
        <v>3181</v>
      </c>
      <c r="AC127" s="17">
        <f t="shared" si="22"/>
        <v>0.14767765629759799</v>
      </c>
      <c r="AD127" s="11">
        <f t="shared" si="23"/>
        <v>4006.7142857142858</v>
      </c>
      <c r="AE127" s="11">
        <f t="shared" si="24"/>
        <v>3235.7142857142858</v>
      </c>
      <c r="AF127" s="28">
        <f t="shared" si="17"/>
        <v>0.80757300246015618</v>
      </c>
      <c r="AG127" s="42">
        <f t="shared" si="15"/>
        <v>0.19057028457025429</v>
      </c>
      <c r="AH127" s="14" t="str">
        <f t="shared" si="25"/>
        <v>-</v>
      </c>
      <c r="AI127" s="11">
        <f t="shared" si="18"/>
        <v>171</v>
      </c>
      <c r="AJ127" s="11">
        <f t="shared" si="19"/>
        <v>171</v>
      </c>
      <c r="AK127" s="11">
        <f t="shared" si="16"/>
        <v>0.23291923669697748</v>
      </c>
      <c r="AL127" s="42">
        <f t="shared" si="20"/>
        <v>0.23291923669697748</v>
      </c>
      <c r="AM127" s="14" t="str">
        <f t="shared" si="21"/>
        <v/>
      </c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</row>
    <row r="128" spans="1:56" ht="27" customHeight="1" x14ac:dyDescent="0.2">
      <c r="A128" s="10" t="s">
        <v>357</v>
      </c>
      <c r="B128" s="11">
        <v>568</v>
      </c>
      <c r="C128" s="2">
        <v>1022.81680355848</v>
      </c>
      <c r="D128" s="2">
        <v>15.682328125</v>
      </c>
      <c r="E128" s="2">
        <v>1</v>
      </c>
      <c r="F128" s="12" t="s">
        <v>439</v>
      </c>
      <c r="G128" s="12" t="s">
        <v>359</v>
      </c>
      <c r="H128" s="5"/>
      <c r="I128" s="11">
        <v>2745</v>
      </c>
      <c r="J128" s="11">
        <v>3079</v>
      </c>
      <c r="K128" s="11">
        <v>4628</v>
      </c>
      <c r="L128" s="11">
        <v>2671</v>
      </c>
      <c r="M128" s="11">
        <v>3542</v>
      </c>
      <c r="N128" s="11">
        <v>4796</v>
      </c>
      <c r="O128" s="11">
        <v>4781</v>
      </c>
      <c r="P128" s="11"/>
      <c r="Q128" s="11">
        <v>788</v>
      </c>
      <c r="R128" s="11">
        <v>1815</v>
      </c>
      <c r="S128" s="11">
        <v>444</v>
      </c>
      <c r="T128" s="11">
        <v>910</v>
      </c>
      <c r="U128" s="11">
        <v>682</v>
      </c>
      <c r="V128" s="11">
        <v>920</v>
      </c>
      <c r="W128" s="11">
        <v>1230</v>
      </c>
      <c r="X128" s="11"/>
      <c r="Y128" s="11">
        <v>0</v>
      </c>
      <c r="Z128" s="11">
        <v>2309</v>
      </c>
      <c r="AA128" s="11">
        <v>2140</v>
      </c>
      <c r="AB128" s="11">
        <v>1730</v>
      </c>
      <c r="AC128" s="17">
        <f t="shared" si="22"/>
        <v>0.14455837112235914</v>
      </c>
      <c r="AD128" s="11">
        <f t="shared" si="23"/>
        <v>3748.8571428571427</v>
      </c>
      <c r="AE128" s="11">
        <f t="shared" si="24"/>
        <v>969.85714285714289</v>
      </c>
      <c r="AF128" s="28">
        <f t="shared" si="17"/>
        <v>0.25870741559332372</v>
      </c>
      <c r="AG128" s="42">
        <f t="shared" si="15"/>
        <v>9.5484515115621676E-5</v>
      </c>
      <c r="AH128" s="14" t="str">
        <f t="shared" si="25"/>
        <v>***</v>
      </c>
      <c r="AI128" s="11">
        <f t="shared" si="18"/>
        <v>39</v>
      </c>
      <c r="AJ128" s="11">
        <f t="shared" si="19"/>
        <v>39</v>
      </c>
      <c r="AK128" s="11">
        <f t="shared" si="16"/>
        <v>5.1169906818371617E-4</v>
      </c>
      <c r="AL128" s="42">
        <f t="shared" si="20"/>
        <v>5.1169906818371617E-4</v>
      </c>
      <c r="AM128" s="14" t="str">
        <f t="shared" si="21"/>
        <v>**</v>
      </c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</row>
    <row r="129" spans="1:56" ht="27" customHeight="1" x14ac:dyDescent="0.2">
      <c r="A129" s="10" t="s">
        <v>357</v>
      </c>
      <c r="B129" s="11">
        <v>593</v>
      </c>
      <c r="C129" s="2">
        <v>820.73733664588497</v>
      </c>
      <c r="D129" s="2">
        <v>15.234743137254799</v>
      </c>
      <c r="E129" s="2">
        <v>1</v>
      </c>
      <c r="F129" s="12" t="s">
        <v>614</v>
      </c>
      <c r="G129" s="12" t="s">
        <v>359</v>
      </c>
      <c r="H129" s="5"/>
      <c r="I129" s="11">
        <v>3324</v>
      </c>
      <c r="J129" s="11">
        <v>2723</v>
      </c>
      <c r="K129" s="11">
        <v>3881</v>
      </c>
      <c r="L129" s="11">
        <v>3239</v>
      </c>
      <c r="M129" s="11">
        <v>2496</v>
      </c>
      <c r="N129" s="11">
        <v>3782</v>
      </c>
      <c r="O129" s="11">
        <v>4568</v>
      </c>
      <c r="P129" s="11"/>
      <c r="Q129" s="11">
        <v>2115</v>
      </c>
      <c r="R129" s="11">
        <v>3314</v>
      </c>
      <c r="S129" s="11">
        <v>1404</v>
      </c>
      <c r="T129" s="11">
        <v>1674</v>
      </c>
      <c r="U129" s="11">
        <v>2043</v>
      </c>
      <c r="V129" s="11">
        <v>1750</v>
      </c>
      <c r="W129" s="11">
        <v>2654</v>
      </c>
      <c r="X129" s="11"/>
      <c r="Y129" s="11">
        <v>271</v>
      </c>
      <c r="Z129" s="11">
        <v>2835</v>
      </c>
      <c r="AA129" s="11">
        <v>2416</v>
      </c>
      <c r="AB129" s="11">
        <v>2301</v>
      </c>
      <c r="AC129" s="17">
        <f t="shared" si="22"/>
        <v>0.11164679145792178</v>
      </c>
      <c r="AD129" s="11">
        <f t="shared" si="23"/>
        <v>3430.4285714285716</v>
      </c>
      <c r="AE129" s="11">
        <f t="shared" si="24"/>
        <v>2136.2857142857142</v>
      </c>
      <c r="AF129" s="28">
        <f t="shared" si="17"/>
        <v>0.62274601257652096</v>
      </c>
      <c r="AG129" s="42">
        <f t="shared" si="15"/>
        <v>4.0966632723608062E-3</v>
      </c>
      <c r="AH129" s="14" t="str">
        <f t="shared" si="25"/>
        <v>**</v>
      </c>
      <c r="AI129" s="11">
        <f t="shared" si="18"/>
        <v>103</v>
      </c>
      <c r="AJ129" s="11">
        <f t="shared" si="19"/>
        <v>103</v>
      </c>
      <c r="AK129" s="11">
        <f t="shared" si="16"/>
        <v>8.3126468342078503E-3</v>
      </c>
      <c r="AL129" s="42">
        <f t="shared" si="20"/>
        <v>8.3126468342078503E-3</v>
      </c>
      <c r="AM129" s="14" t="str">
        <f t="shared" si="21"/>
        <v>**</v>
      </c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</row>
    <row r="130" spans="1:56" ht="27" customHeight="1" x14ac:dyDescent="0.2">
      <c r="A130" s="10" t="s">
        <v>357</v>
      </c>
      <c r="B130" s="11">
        <v>652</v>
      </c>
      <c r="C130" s="2">
        <v>852.79891581802497</v>
      </c>
      <c r="D130" s="2">
        <v>16.311233333333298</v>
      </c>
      <c r="E130" s="2">
        <v>1</v>
      </c>
      <c r="F130" s="12" t="s">
        <v>382</v>
      </c>
      <c r="G130" s="12" t="s">
        <v>359</v>
      </c>
      <c r="H130" s="5"/>
      <c r="I130" s="11">
        <v>1733</v>
      </c>
      <c r="J130" s="11">
        <v>1557</v>
      </c>
      <c r="K130" s="11">
        <v>2279</v>
      </c>
      <c r="L130" s="11">
        <v>2169</v>
      </c>
      <c r="M130" s="11">
        <v>1649</v>
      </c>
      <c r="N130" s="11">
        <v>2357</v>
      </c>
      <c r="O130" s="11">
        <v>4050</v>
      </c>
      <c r="P130" s="11"/>
      <c r="Q130" s="11">
        <v>1543</v>
      </c>
      <c r="R130" s="11">
        <v>2141</v>
      </c>
      <c r="S130" s="11">
        <v>1255</v>
      </c>
      <c r="T130" s="11">
        <v>1621</v>
      </c>
      <c r="U130" s="11">
        <v>1619</v>
      </c>
      <c r="V130" s="11">
        <v>1806</v>
      </c>
      <c r="W130" s="11">
        <v>1570</v>
      </c>
      <c r="X130" s="11"/>
      <c r="Y130" s="11">
        <v>567</v>
      </c>
      <c r="Z130" s="11">
        <v>1803</v>
      </c>
      <c r="AA130" s="11">
        <v>1833</v>
      </c>
      <c r="AB130" s="11">
        <v>1730</v>
      </c>
      <c r="AC130" s="17">
        <f t="shared" si="22"/>
        <v>2.9616941927227275E-2</v>
      </c>
      <c r="AD130" s="11">
        <f t="shared" si="23"/>
        <v>2256.2857142857142</v>
      </c>
      <c r="AE130" s="11">
        <f t="shared" si="24"/>
        <v>1650.7142857142858</v>
      </c>
      <c r="AF130" s="28">
        <f t="shared" si="17"/>
        <v>0.73160693934405474</v>
      </c>
      <c r="AG130" s="42">
        <f t="shared" si="15"/>
        <v>0.11543975366559979</v>
      </c>
      <c r="AH130" s="14" t="str">
        <f t="shared" si="25"/>
        <v>-</v>
      </c>
      <c r="AI130" s="11">
        <f t="shared" si="18"/>
        <v>161</v>
      </c>
      <c r="AJ130" s="11">
        <f t="shared" si="19"/>
        <v>161</v>
      </c>
      <c r="AK130" s="11">
        <f t="shared" si="16"/>
        <v>0.1498565746342258</v>
      </c>
      <c r="AL130" s="42">
        <f t="shared" si="20"/>
        <v>0.1498565746342258</v>
      </c>
      <c r="AM130" s="14" t="str">
        <f t="shared" si="21"/>
        <v/>
      </c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</row>
    <row r="131" spans="1:56" ht="27" customHeight="1" x14ac:dyDescent="0.2">
      <c r="A131" s="10" t="s">
        <v>357</v>
      </c>
      <c r="B131" s="11">
        <v>683</v>
      </c>
      <c r="C131" s="2">
        <v>1024.8294230854101</v>
      </c>
      <c r="D131" s="2">
        <v>15.810962121212</v>
      </c>
      <c r="E131" s="2">
        <v>1</v>
      </c>
      <c r="F131" s="12" t="s">
        <v>448</v>
      </c>
      <c r="G131" s="12" t="s">
        <v>359</v>
      </c>
      <c r="H131" s="5"/>
      <c r="I131" s="11">
        <v>2218</v>
      </c>
      <c r="J131" s="11">
        <v>2368</v>
      </c>
      <c r="K131" s="11">
        <v>3491</v>
      </c>
      <c r="L131" s="11">
        <v>2604</v>
      </c>
      <c r="M131" s="11">
        <v>3192</v>
      </c>
      <c r="N131" s="11">
        <v>3492</v>
      </c>
      <c r="O131" s="11">
        <v>3781</v>
      </c>
      <c r="P131" s="11"/>
      <c r="Q131" s="11">
        <v>496</v>
      </c>
      <c r="R131" s="11">
        <v>1247</v>
      </c>
      <c r="S131" s="11">
        <v>532</v>
      </c>
      <c r="T131" s="11">
        <v>635</v>
      </c>
      <c r="U131" s="11">
        <v>430</v>
      </c>
      <c r="V131" s="11">
        <v>693</v>
      </c>
      <c r="W131" s="11">
        <v>743</v>
      </c>
      <c r="X131" s="11"/>
      <c r="Y131" s="11">
        <v>0</v>
      </c>
      <c r="Z131" s="11">
        <v>1962</v>
      </c>
      <c r="AA131" s="11">
        <v>2087</v>
      </c>
      <c r="AB131" s="11">
        <v>1379</v>
      </c>
      <c r="AC131" s="17">
        <f t="shared" si="22"/>
        <v>0.20885262767587121</v>
      </c>
      <c r="AD131" s="11">
        <f t="shared" si="23"/>
        <v>3020.8571428571427</v>
      </c>
      <c r="AE131" s="11">
        <f t="shared" si="24"/>
        <v>682.28571428571433</v>
      </c>
      <c r="AF131" s="28">
        <f t="shared" si="17"/>
        <v>0.22585831835808193</v>
      </c>
      <c r="AG131" s="42">
        <f t="shared" si="15"/>
        <v>1.3381285271499105E-5</v>
      </c>
      <c r="AH131" s="14" t="str">
        <f t="shared" si="25"/>
        <v>***</v>
      </c>
      <c r="AI131" s="11">
        <f t="shared" si="18"/>
        <v>9</v>
      </c>
      <c r="AJ131" s="11">
        <f t="shared" si="19"/>
        <v>9</v>
      </c>
      <c r="AK131" s="11">
        <f t="shared" si="16"/>
        <v>3.1074318019370142E-4</v>
      </c>
      <c r="AL131" s="42">
        <f t="shared" si="20"/>
        <v>3.1074318019370142E-4</v>
      </c>
      <c r="AM131" s="14" t="str">
        <f t="shared" si="21"/>
        <v>**</v>
      </c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</row>
    <row r="132" spans="1:56" ht="27" customHeight="1" x14ac:dyDescent="0.2">
      <c r="A132" s="10" t="s">
        <v>357</v>
      </c>
      <c r="B132" s="11">
        <v>807</v>
      </c>
      <c r="C132" s="2">
        <v>966.75246628541902</v>
      </c>
      <c r="D132" s="2">
        <v>14.521359722222099</v>
      </c>
      <c r="E132" s="2">
        <v>1</v>
      </c>
      <c r="F132" s="12" t="s">
        <v>459</v>
      </c>
      <c r="G132" s="12" t="s">
        <v>359</v>
      </c>
      <c r="H132" s="5"/>
      <c r="I132" s="11">
        <v>1618</v>
      </c>
      <c r="J132" s="11">
        <v>1033</v>
      </c>
      <c r="K132" s="11">
        <v>1769</v>
      </c>
      <c r="L132" s="11">
        <v>1877</v>
      </c>
      <c r="M132" s="11">
        <v>1292</v>
      </c>
      <c r="N132" s="11">
        <v>1642</v>
      </c>
      <c r="O132" s="11">
        <v>3015</v>
      </c>
      <c r="P132" s="11"/>
      <c r="Q132" s="11">
        <v>472</v>
      </c>
      <c r="R132" s="11">
        <v>1102</v>
      </c>
      <c r="S132" s="11">
        <v>329</v>
      </c>
      <c r="T132" s="11">
        <v>729</v>
      </c>
      <c r="U132" s="11">
        <v>688</v>
      </c>
      <c r="V132" s="11">
        <v>899</v>
      </c>
      <c r="W132" s="11">
        <v>930</v>
      </c>
      <c r="X132" s="11"/>
      <c r="Y132" s="11">
        <v>0</v>
      </c>
      <c r="Z132" s="11">
        <v>1423</v>
      </c>
      <c r="AA132" s="11">
        <v>1104</v>
      </c>
      <c r="AB132" s="11">
        <v>1019</v>
      </c>
      <c r="AC132" s="17">
        <f t="shared" si="22"/>
        <v>0.18019907369930419</v>
      </c>
      <c r="AD132" s="11">
        <f t="shared" si="23"/>
        <v>1749.4285714285713</v>
      </c>
      <c r="AE132" s="11">
        <f t="shared" si="24"/>
        <v>735.57142857142856</v>
      </c>
      <c r="AF132" s="28">
        <f t="shared" si="17"/>
        <v>0.42046382492242368</v>
      </c>
      <c r="AG132" s="42">
        <f t="shared" ref="AG132:AG195" si="26">TTEST(I132:O132,Q132:W132,2,3)</f>
        <v>4.2588028248313741E-3</v>
      </c>
      <c r="AH132" s="14" t="str">
        <f t="shared" si="25"/>
        <v>**</v>
      </c>
      <c r="AI132" s="11">
        <f t="shared" si="18"/>
        <v>104</v>
      </c>
      <c r="AJ132" s="11">
        <f t="shared" si="19"/>
        <v>104</v>
      </c>
      <c r="AK132" s="11">
        <f t="shared" ref="AK132:AK195" si="27">MIN(AG132*$AJ$3/AJ132,1)</f>
        <v>8.5585556768245884E-3</v>
      </c>
      <c r="AL132" s="42">
        <f t="shared" si="20"/>
        <v>8.5585556768245884E-3</v>
      </c>
      <c r="AM132" s="14" t="str">
        <f t="shared" si="21"/>
        <v>**</v>
      </c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</row>
    <row r="133" spans="1:56" ht="27" customHeight="1" x14ac:dyDescent="0.2">
      <c r="A133" s="10" t="s">
        <v>357</v>
      </c>
      <c r="B133" s="11">
        <v>919</v>
      </c>
      <c r="C133" s="2">
        <v>1030.8780279968701</v>
      </c>
      <c r="D133" s="2">
        <v>16.453247916666601</v>
      </c>
      <c r="E133" s="2">
        <v>1</v>
      </c>
      <c r="F133" s="12" t="s">
        <v>470</v>
      </c>
      <c r="G133" s="12" t="s">
        <v>359</v>
      </c>
      <c r="H133" s="5"/>
      <c r="I133" s="11">
        <v>1468</v>
      </c>
      <c r="J133" s="11">
        <v>1362</v>
      </c>
      <c r="K133" s="11">
        <v>2527</v>
      </c>
      <c r="L133" s="11">
        <v>1374</v>
      </c>
      <c r="M133" s="11">
        <v>1526</v>
      </c>
      <c r="N133" s="11">
        <v>1918</v>
      </c>
      <c r="O133" s="11">
        <v>2547</v>
      </c>
      <c r="P133" s="11"/>
      <c r="Q133" s="11">
        <v>259</v>
      </c>
      <c r="R133" s="11">
        <v>961</v>
      </c>
      <c r="S133" s="11">
        <v>276</v>
      </c>
      <c r="T133" s="11">
        <v>281</v>
      </c>
      <c r="U133" s="11">
        <v>322</v>
      </c>
      <c r="V133" s="11">
        <v>291</v>
      </c>
      <c r="W133" s="11">
        <v>497</v>
      </c>
      <c r="X133" s="11"/>
      <c r="Y133" s="11">
        <v>0</v>
      </c>
      <c r="Z133" s="11">
        <v>862</v>
      </c>
      <c r="AA133" s="11">
        <v>928</v>
      </c>
      <c r="AB133" s="11">
        <v>701</v>
      </c>
      <c r="AC133" s="17">
        <f t="shared" si="22"/>
        <v>0.14062562994268935</v>
      </c>
      <c r="AD133" s="11">
        <f t="shared" si="23"/>
        <v>1817.4285714285713</v>
      </c>
      <c r="AE133" s="11">
        <f t="shared" si="24"/>
        <v>412.42857142857144</v>
      </c>
      <c r="AF133" s="28">
        <f t="shared" ref="AF133:AF196" si="28">AE133/AD133</f>
        <v>0.22692972803018396</v>
      </c>
      <c r="AG133" s="42">
        <f t="shared" si="26"/>
        <v>1.5319325347541748E-4</v>
      </c>
      <c r="AH133" s="14" t="str">
        <f t="shared" si="25"/>
        <v>***</v>
      </c>
      <c r="AI133" s="11">
        <f t="shared" ref="AI133:AI196" si="29">_xlfn.RANK.EQ(AG133,$AG$4:$AG$212,1)</f>
        <v>49</v>
      </c>
      <c r="AJ133" s="11">
        <f t="shared" ref="AJ133:AJ196" si="30">COUNTIF($AI$4:$AI$212,AI133)+AI133-1</f>
        <v>49</v>
      </c>
      <c r="AK133" s="11">
        <f t="shared" si="27"/>
        <v>6.5341612196657668E-4</v>
      </c>
      <c r="AL133" s="42">
        <f t="shared" ref="AL133:AL196" si="31">MIN(AK133,IFERROR(VLOOKUP(AJ133+1,$AJ$4:$AL$212,3,FALSE),1))</f>
        <v>6.3965031662497056E-4</v>
      </c>
      <c r="AM133" s="14" t="str">
        <f t="shared" ref="AM133:AM196" si="32">IF(AL133&lt;0.05,"**",IF(AL133&lt;0.1,"*",""))</f>
        <v>**</v>
      </c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</row>
    <row r="134" spans="1:56" ht="27" customHeight="1" x14ac:dyDescent="0.2">
      <c r="A134" s="10" t="s">
        <v>357</v>
      </c>
      <c r="B134" s="11">
        <v>920</v>
      </c>
      <c r="C134" s="2">
        <v>886.78404444362798</v>
      </c>
      <c r="D134" s="2">
        <v>15.617166666666799</v>
      </c>
      <c r="E134" s="2">
        <v>1</v>
      </c>
      <c r="F134" s="12" t="s">
        <v>617</v>
      </c>
      <c r="G134" s="12" t="s">
        <v>359</v>
      </c>
      <c r="H134" s="5"/>
      <c r="I134" s="11">
        <v>2326</v>
      </c>
      <c r="J134" s="11">
        <v>1198</v>
      </c>
      <c r="K134" s="11">
        <v>2363</v>
      </c>
      <c r="L134" s="11">
        <v>1601</v>
      </c>
      <c r="M134" s="11">
        <v>1035</v>
      </c>
      <c r="N134" s="11">
        <v>2546</v>
      </c>
      <c r="O134" s="11">
        <v>2950</v>
      </c>
      <c r="P134" s="11"/>
      <c r="Q134" s="11">
        <v>178</v>
      </c>
      <c r="R134" s="11">
        <v>858</v>
      </c>
      <c r="S134" s="11">
        <v>308</v>
      </c>
      <c r="T134" s="11">
        <v>509</v>
      </c>
      <c r="U134" s="11">
        <v>983</v>
      </c>
      <c r="V134" s="11">
        <v>359</v>
      </c>
      <c r="W134" s="11">
        <v>821</v>
      </c>
      <c r="X134" s="11"/>
      <c r="Y134" s="11">
        <v>0</v>
      </c>
      <c r="Z134" s="11">
        <v>1210</v>
      </c>
      <c r="AA134" s="11">
        <v>1383</v>
      </c>
      <c r="AB134" s="11">
        <v>977</v>
      </c>
      <c r="AC134" s="17">
        <f t="shared" si="22"/>
        <v>0.17120804731793965</v>
      </c>
      <c r="AD134" s="11">
        <f t="shared" si="23"/>
        <v>2002.7142857142858</v>
      </c>
      <c r="AE134" s="11">
        <f t="shared" si="24"/>
        <v>573.71428571428567</v>
      </c>
      <c r="AF134" s="28">
        <f t="shared" si="28"/>
        <v>0.28646836436265066</v>
      </c>
      <c r="AG134" s="42">
        <f t="shared" si="26"/>
        <v>1.3280606525214653E-3</v>
      </c>
      <c r="AH134" s="14" t="str">
        <f t="shared" si="25"/>
        <v>**</v>
      </c>
      <c r="AI134" s="11">
        <f t="shared" si="29"/>
        <v>89</v>
      </c>
      <c r="AJ134" s="11">
        <f t="shared" si="30"/>
        <v>89</v>
      </c>
      <c r="AK134" s="11">
        <f t="shared" si="27"/>
        <v>3.1187042289549014E-3</v>
      </c>
      <c r="AL134" s="42">
        <f t="shared" si="31"/>
        <v>3.1187042289549014E-3</v>
      </c>
      <c r="AM134" s="14" t="str">
        <f t="shared" si="32"/>
        <v>**</v>
      </c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</row>
    <row r="135" spans="1:56" ht="27" customHeight="1" x14ac:dyDescent="0.2">
      <c r="A135" s="10" t="s">
        <v>357</v>
      </c>
      <c r="B135" s="11">
        <v>977</v>
      </c>
      <c r="C135" s="2">
        <v>1050.8480219108001</v>
      </c>
      <c r="D135" s="2">
        <v>16.059832051281901</v>
      </c>
      <c r="E135" s="2">
        <v>1</v>
      </c>
      <c r="F135" s="12" t="s">
        <v>462</v>
      </c>
      <c r="G135" s="12" t="s">
        <v>359</v>
      </c>
      <c r="H135" s="5"/>
      <c r="I135" s="11">
        <v>1352</v>
      </c>
      <c r="J135" s="11">
        <v>1368</v>
      </c>
      <c r="K135" s="11">
        <v>1733</v>
      </c>
      <c r="L135" s="11">
        <v>1274</v>
      </c>
      <c r="M135" s="11">
        <v>1528</v>
      </c>
      <c r="N135" s="11">
        <v>2248</v>
      </c>
      <c r="O135" s="11">
        <v>2325</v>
      </c>
      <c r="P135" s="11"/>
      <c r="Q135" s="11">
        <v>408</v>
      </c>
      <c r="R135" s="11">
        <v>1076</v>
      </c>
      <c r="S135" s="11">
        <v>326</v>
      </c>
      <c r="T135" s="11">
        <v>670</v>
      </c>
      <c r="U135" s="11">
        <v>307</v>
      </c>
      <c r="V135" s="11">
        <v>467</v>
      </c>
      <c r="W135" s="11">
        <v>732</v>
      </c>
      <c r="X135" s="11"/>
      <c r="Y135" s="11">
        <v>0</v>
      </c>
      <c r="Z135" s="11">
        <v>896</v>
      </c>
      <c r="AA135" s="11">
        <v>970</v>
      </c>
      <c r="AB135" s="11">
        <v>950</v>
      </c>
      <c r="AC135" s="17">
        <f t="shared" si="22"/>
        <v>4.0780901193055663E-2</v>
      </c>
      <c r="AD135" s="11">
        <f t="shared" si="23"/>
        <v>1689.7142857142858</v>
      </c>
      <c r="AE135" s="11">
        <f t="shared" si="24"/>
        <v>569.42857142857144</v>
      </c>
      <c r="AF135" s="28">
        <f t="shared" si="28"/>
        <v>0.33699695637470412</v>
      </c>
      <c r="AG135" s="42">
        <f t="shared" si="26"/>
        <v>1.7260044371931419E-4</v>
      </c>
      <c r="AH135" s="14" t="str">
        <f t="shared" si="25"/>
        <v>***</v>
      </c>
      <c r="AI135" s="11">
        <f t="shared" si="29"/>
        <v>54</v>
      </c>
      <c r="AJ135" s="11">
        <f t="shared" si="30"/>
        <v>54</v>
      </c>
      <c r="AK135" s="11">
        <f t="shared" si="27"/>
        <v>6.6802764328401229E-4</v>
      </c>
      <c r="AL135" s="42">
        <f t="shared" si="31"/>
        <v>6.6802764328401229E-4</v>
      </c>
      <c r="AM135" s="14" t="str">
        <f t="shared" si="32"/>
        <v>**</v>
      </c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</row>
    <row r="136" spans="1:56" ht="27" customHeight="1" x14ac:dyDescent="0.2">
      <c r="A136" s="10" t="s">
        <v>357</v>
      </c>
      <c r="B136" s="11">
        <v>998</v>
      </c>
      <c r="C136" s="2">
        <v>1060.9243717146801</v>
      </c>
      <c r="D136" s="2">
        <v>16.907518181817998</v>
      </c>
      <c r="E136" s="2">
        <v>1</v>
      </c>
      <c r="F136" s="12" t="s">
        <v>619</v>
      </c>
      <c r="G136" s="12" t="s">
        <v>359</v>
      </c>
      <c r="H136" s="5"/>
      <c r="I136" s="11">
        <v>1951</v>
      </c>
      <c r="J136" s="11">
        <v>1354</v>
      </c>
      <c r="K136" s="11">
        <v>2200</v>
      </c>
      <c r="L136" s="11">
        <v>953</v>
      </c>
      <c r="M136" s="11">
        <v>1771</v>
      </c>
      <c r="N136" s="11">
        <v>2067</v>
      </c>
      <c r="O136" s="11">
        <v>2282</v>
      </c>
      <c r="P136" s="11"/>
      <c r="Q136" s="11">
        <v>0</v>
      </c>
      <c r="R136" s="11">
        <v>502</v>
      </c>
      <c r="S136" s="11">
        <v>96</v>
      </c>
      <c r="T136" s="11">
        <v>0</v>
      </c>
      <c r="U136" s="11">
        <v>0</v>
      </c>
      <c r="V136" s="11">
        <v>141</v>
      </c>
      <c r="W136" s="11">
        <v>176</v>
      </c>
      <c r="X136" s="11"/>
      <c r="Y136" s="11">
        <v>0</v>
      </c>
      <c r="Z136" s="11">
        <v>735</v>
      </c>
      <c r="AA136" s="11">
        <v>944</v>
      </c>
      <c r="AB136" s="11">
        <v>766</v>
      </c>
      <c r="AC136" s="17">
        <f t="shared" si="22"/>
        <v>0.13838946091408943</v>
      </c>
      <c r="AD136" s="11">
        <f t="shared" si="23"/>
        <v>1796.8571428571429</v>
      </c>
      <c r="AE136" s="11">
        <f t="shared" si="24"/>
        <v>130.71428571428572</v>
      </c>
      <c r="AF136" s="28">
        <f t="shared" si="28"/>
        <v>7.2746064557163301E-2</v>
      </c>
      <c r="AG136" s="42">
        <f t="shared" si="26"/>
        <v>3.6381929508061703E-5</v>
      </c>
      <c r="AH136" s="14" t="str">
        <f t="shared" si="25"/>
        <v>***</v>
      </c>
      <c r="AI136" s="11">
        <f t="shared" si="29"/>
        <v>19</v>
      </c>
      <c r="AJ136" s="11">
        <f t="shared" si="30"/>
        <v>19</v>
      </c>
      <c r="AK136" s="11">
        <f t="shared" si="27"/>
        <v>4.0020122458867875E-4</v>
      </c>
      <c r="AL136" s="42">
        <f t="shared" si="31"/>
        <v>3.8828708123971544E-4</v>
      </c>
      <c r="AM136" s="14" t="str">
        <f t="shared" si="32"/>
        <v>**</v>
      </c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</row>
    <row r="137" spans="1:56" ht="27" customHeight="1" x14ac:dyDescent="0.2">
      <c r="A137" s="10" t="s">
        <v>357</v>
      </c>
      <c r="B137" s="11">
        <v>1022</v>
      </c>
      <c r="C137" s="2">
        <v>1040.76788358712</v>
      </c>
      <c r="D137" s="2">
        <v>14.6071239583333</v>
      </c>
      <c r="E137" s="2">
        <v>1</v>
      </c>
      <c r="F137" s="12" t="s">
        <v>450</v>
      </c>
      <c r="G137" s="12" t="s">
        <v>359</v>
      </c>
      <c r="H137" s="5"/>
      <c r="I137" s="11">
        <v>1532</v>
      </c>
      <c r="J137" s="11">
        <v>837</v>
      </c>
      <c r="K137" s="11">
        <v>1294</v>
      </c>
      <c r="L137" s="11">
        <v>1358</v>
      </c>
      <c r="M137" s="11">
        <v>1013</v>
      </c>
      <c r="N137" s="11">
        <v>1842</v>
      </c>
      <c r="O137" s="11">
        <v>2221</v>
      </c>
      <c r="P137" s="11"/>
      <c r="Q137" s="11">
        <v>1268</v>
      </c>
      <c r="R137" s="11">
        <v>1700</v>
      </c>
      <c r="S137" s="11">
        <v>762</v>
      </c>
      <c r="T137" s="11">
        <v>1298</v>
      </c>
      <c r="U137" s="11">
        <v>767</v>
      </c>
      <c r="V137" s="11">
        <v>1341</v>
      </c>
      <c r="W137" s="11">
        <v>1538</v>
      </c>
      <c r="X137" s="11"/>
      <c r="Y137" s="11">
        <v>0</v>
      </c>
      <c r="Z137" s="11">
        <v>1296</v>
      </c>
      <c r="AA137" s="11">
        <v>1390</v>
      </c>
      <c r="AB137" s="11">
        <v>1065</v>
      </c>
      <c r="AC137" s="17">
        <f t="shared" si="22"/>
        <v>0.13375899948694217</v>
      </c>
      <c r="AD137" s="11">
        <f t="shared" si="23"/>
        <v>1442.4285714285713</v>
      </c>
      <c r="AE137" s="11">
        <f t="shared" si="24"/>
        <v>1239.1428571428571</v>
      </c>
      <c r="AF137" s="28">
        <f t="shared" si="28"/>
        <v>0.85906704961869862</v>
      </c>
      <c r="AG137" s="42">
        <f t="shared" si="26"/>
        <v>0.38479995964962055</v>
      </c>
      <c r="AH137" s="14" t="str">
        <f t="shared" si="25"/>
        <v>-</v>
      </c>
      <c r="AI137" s="11">
        <f t="shared" si="29"/>
        <v>184</v>
      </c>
      <c r="AJ137" s="11">
        <f t="shared" si="30"/>
        <v>184</v>
      </c>
      <c r="AK137" s="11">
        <f t="shared" si="27"/>
        <v>0.43708256286288422</v>
      </c>
      <c r="AL137" s="42">
        <f t="shared" si="31"/>
        <v>0.43708256286288422</v>
      </c>
      <c r="AM137" s="14" t="str">
        <f t="shared" si="32"/>
        <v/>
      </c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</row>
    <row r="138" spans="1:56" ht="27" customHeight="1" x14ac:dyDescent="0.2">
      <c r="A138" s="10" t="s">
        <v>357</v>
      </c>
      <c r="B138" s="11">
        <v>1042</v>
      </c>
      <c r="C138" s="2">
        <v>1042.78524380207</v>
      </c>
      <c r="D138" s="2">
        <v>14.828423333333401</v>
      </c>
      <c r="E138" s="2">
        <v>1</v>
      </c>
      <c r="F138" s="12" t="s">
        <v>458</v>
      </c>
      <c r="G138" s="12" t="s">
        <v>359</v>
      </c>
      <c r="H138" s="5"/>
      <c r="I138" s="11">
        <v>987</v>
      </c>
      <c r="J138" s="11">
        <v>1032</v>
      </c>
      <c r="K138" s="11">
        <v>1524</v>
      </c>
      <c r="L138" s="11">
        <v>1187</v>
      </c>
      <c r="M138" s="11">
        <v>1303</v>
      </c>
      <c r="N138" s="11">
        <v>1655</v>
      </c>
      <c r="O138" s="11">
        <v>2130</v>
      </c>
      <c r="P138" s="11"/>
      <c r="Q138" s="11">
        <v>1289</v>
      </c>
      <c r="R138" s="11">
        <v>2156</v>
      </c>
      <c r="S138" s="11">
        <v>582</v>
      </c>
      <c r="T138" s="11">
        <v>1208</v>
      </c>
      <c r="U138" s="11">
        <v>701</v>
      </c>
      <c r="V138" s="11">
        <v>1243</v>
      </c>
      <c r="W138" s="11">
        <v>1514</v>
      </c>
      <c r="X138" s="11"/>
      <c r="Y138" s="11">
        <v>0</v>
      </c>
      <c r="Z138" s="11">
        <v>1371</v>
      </c>
      <c r="AA138" s="11">
        <v>1533</v>
      </c>
      <c r="AB138" s="11">
        <v>1170</v>
      </c>
      <c r="AC138" s="17">
        <f t="shared" si="22"/>
        <v>0.13390930657185721</v>
      </c>
      <c r="AD138" s="11">
        <f t="shared" si="23"/>
        <v>1402.5714285714287</v>
      </c>
      <c r="AE138" s="11">
        <f t="shared" si="24"/>
        <v>1241.8571428571429</v>
      </c>
      <c r="AF138" s="28">
        <f t="shared" si="28"/>
        <v>0.885414544713791</v>
      </c>
      <c r="AG138" s="42">
        <f t="shared" si="26"/>
        <v>0.5324170085472586</v>
      </c>
      <c r="AH138" s="14" t="str">
        <f t="shared" si="25"/>
        <v>-</v>
      </c>
      <c r="AI138" s="11">
        <f t="shared" si="29"/>
        <v>190</v>
      </c>
      <c r="AJ138" s="11">
        <f t="shared" si="30"/>
        <v>190</v>
      </c>
      <c r="AK138" s="11">
        <f t="shared" si="27"/>
        <v>0.58565870940198439</v>
      </c>
      <c r="AL138" s="42">
        <f t="shared" si="31"/>
        <v>0.58565870940198439</v>
      </c>
      <c r="AM138" s="14" t="str">
        <f t="shared" si="32"/>
        <v/>
      </c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</row>
    <row r="139" spans="1:56" ht="27" customHeight="1" x14ac:dyDescent="0.2">
      <c r="A139" s="10" t="s">
        <v>357</v>
      </c>
      <c r="B139" s="11">
        <v>1096</v>
      </c>
      <c r="C139" s="2">
        <v>1071.00315926762</v>
      </c>
      <c r="D139" s="2">
        <v>17.516787878787898</v>
      </c>
      <c r="E139" s="2">
        <v>1</v>
      </c>
      <c r="F139" s="12" t="s">
        <v>621</v>
      </c>
      <c r="G139" s="12" t="s">
        <v>359</v>
      </c>
      <c r="H139" s="5"/>
      <c r="I139" s="11">
        <v>1006</v>
      </c>
      <c r="J139" s="11">
        <v>1131</v>
      </c>
      <c r="K139" s="11">
        <v>1509</v>
      </c>
      <c r="L139" s="11">
        <v>904</v>
      </c>
      <c r="M139" s="11">
        <v>1221</v>
      </c>
      <c r="N139" s="11">
        <v>1764</v>
      </c>
      <c r="O139" s="11">
        <v>2004</v>
      </c>
      <c r="P139" s="11"/>
      <c r="Q139" s="11">
        <v>0</v>
      </c>
      <c r="R139" s="11">
        <v>359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/>
      <c r="Y139" s="11">
        <v>0</v>
      </c>
      <c r="Z139" s="11">
        <v>768</v>
      </c>
      <c r="AA139" s="11">
        <v>825</v>
      </c>
      <c r="AB139" s="11">
        <v>712</v>
      </c>
      <c r="AC139" s="17">
        <f t="shared" si="22"/>
        <v>7.3536751572643014E-2</v>
      </c>
      <c r="AD139" s="11">
        <f t="shared" si="23"/>
        <v>1362.7142857142858</v>
      </c>
      <c r="AE139" s="11">
        <f t="shared" si="24"/>
        <v>51.285714285714285</v>
      </c>
      <c r="AF139" s="28">
        <f t="shared" si="28"/>
        <v>3.7634972219310198E-2</v>
      </c>
      <c r="AG139" s="42">
        <f t="shared" si="26"/>
        <v>6.9703309080961298E-5</v>
      </c>
      <c r="AH139" s="14" t="str">
        <f t="shared" si="25"/>
        <v>***</v>
      </c>
      <c r="AI139" s="11">
        <f t="shared" si="29"/>
        <v>34</v>
      </c>
      <c r="AJ139" s="11">
        <f t="shared" si="30"/>
        <v>34</v>
      </c>
      <c r="AK139" s="11">
        <f t="shared" si="27"/>
        <v>4.2847034111532091E-4</v>
      </c>
      <c r="AL139" s="42">
        <f t="shared" si="31"/>
        <v>4.2847034111532091E-4</v>
      </c>
      <c r="AM139" s="14" t="str">
        <f t="shared" si="32"/>
        <v>**</v>
      </c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</row>
    <row r="140" spans="1:56" ht="27" customHeight="1" x14ac:dyDescent="0.2">
      <c r="A140" s="10" t="s">
        <v>357</v>
      </c>
      <c r="B140" s="11">
        <v>1114</v>
      </c>
      <c r="C140" s="2">
        <v>952.83211760692598</v>
      </c>
      <c r="D140" s="2">
        <v>16.3572142857142</v>
      </c>
      <c r="E140" s="2">
        <v>1</v>
      </c>
      <c r="F140" s="12" t="s">
        <v>622</v>
      </c>
      <c r="G140" s="12" t="s">
        <v>359</v>
      </c>
      <c r="H140" s="5"/>
      <c r="I140" s="11">
        <v>1868</v>
      </c>
      <c r="J140" s="11">
        <v>1407</v>
      </c>
      <c r="K140" s="11">
        <v>2838</v>
      </c>
      <c r="L140" s="11">
        <v>2424</v>
      </c>
      <c r="M140" s="11">
        <v>1769</v>
      </c>
      <c r="N140" s="11">
        <v>3079</v>
      </c>
      <c r="O140" s="11">
        <v>3420</v>
      </c>
      <c r="P140" s="11"/>
      <c r="Q140" s="11">
        <v>834</v>
      </c>
      <c r="R140" s="11">
        <v>1277</v>
      </c>
      <c r="S140" s="11">
        <v>478</v>
      </c>
      <c r="T140" s="11">
        <v>1535</v>
      </c>
      <c r="U140" s="11">
        <v>1320</v>
      </c>
      <c r="V140" s="11">
        <v>1251</v>
      </c>
      <c r="W140" s="11">
        <v>1757</v>
      </c>
      <c r="X140" s="11"/>
      <c r="Y140" s="11">
        <v>0</v>
      </c>
      <c r="Z140" s="11">
        <v>1767</v>
      </c>
      <c r="AA140" s="11">
        <v>1485</v>
      </c>
      <c r="AB140" s="11">
        <v>1971</v>
      </c>
      <c r="AC140" s="17">
        <f t="shared" si="22"/>
        <v>0.14017287775141718</v>
      </c>
      <c r="AD140" s="11">
        <f t="shared" si="23"/>
        <v>2400.7142857142858</v>
      </c>
      <c r="AE140" s="11">
        <f t="shared" si="24"/>
        <v>1207.4285714285713</v>
      </c>
      <c r="AF140" s="28">
        <f t="shared" si="28"/>
        <v>0.50294555191907164</v>
      </c>
      <c r="AG140" s="42">
        <f t="shared" si="26"/>
        <v>4.7302761900424161E-3</v>
      </c>
      <c r="AH140" s="14" t="str">
        <f t="shared" si="25"/>
        <v>**</v>
      </c>
      <c r="AI140" s="11">
        <f t="shared" si="29"/>
        <v>106</v>
      </c>
      <c r="AJ140" s="11">
        <f t="shared" si="30"/>
        <v>106</v>
      </c>
      <c r="AK140" s="11">
        <f t="shared" si="27"/>
        <v>9.3266766388572162E-3</v>
      </c>
      <c r="AL140" s="42">
        <f t="shared" si="31"/>
        <v>9.3266766388572162E-3</v>
      </c>
      <c r="AM140" s="14" t="str">
        <f t="shared" si="32"/>
        <v>**</v>
      </c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</row>
    <row r="141" spans="1:56" ht="27" customHeight="1" x14ac:dyDescent="0.2">
      <c r="A141" s="10" t="s">
        <v>357</v>
      </c>
      <c r="B141" s="11">
        <v>1338</v>
      </c>
      <c r="C141" s="2">
        <v>1052.8619122960899</v>
      </c>
      <c r="D141" s="2">
        <v>16.162197222222201</v>
      </c>
      <c r="E141" s="2">
        <v>1</v>
      </c>
      <c r="F141" s="12" t="s">
        <v>475</v>
      </c>
      <c r="G141" s="12" t="s">
        <v>359</v>
      </c>
      <c r="H141" s="5"/>
      <c r="I141" s="11">
        <v>884</v>
      </c>
      <c r="J141" s="11">
        <v>1279</v>
      </c>
      <c r="K141" s="11">
        <v>1527</v>
      </c>
      <c r="L141" s="11">
        <v>732</v>
      </c>
      <c r="M141" s="11">
        <v>987</v>
      </c>
      <c r="N141" s="11">
        <v>1387</v>
      </c>
      <c r="O141" s="11">
        <v>1709</v>
      </c>
      <c r="P141" s="11"/>
      <c r="Q141" s="11">
        <v>250</v>
      </c>
      <c r="R141" s="11">
        <v>547</v>
      </c>
      <c r="S141" s="11">
        <v>175</v>
      </c>
      <c r="T141" s="11">
        <v>293</v>
      </c>
      <c r="U141" s="11">
        <v>237</v>
      </c>
      <c r="V141" s="11">
        <v>404</v>
      </c>
      <c r="W141" s="11">
        <v>357</v>
      </c>
      <c r="X141" s="11"/>
      <c r="Y141" s="11">
        <v>0</v>
      </c>
      <c r="Z141" s="11">
        <v>965</v>
      </c>
      <c r="AA141" s="11">
        <v>758</v>
      </c>
      <c r="AB141" s="11">
        <v>597</v>
      </c>
      <c r="AC141" s="17">
        <f t="shared" si="22"/>
        <v>0.23854984185936839</v>
      </c>
      <c r="AD141" s="11">
        <f t="shared" si="23"/>
        <v>1215</v>
      </c>
      <c r="AE141" s="11">
        <f t="shared" si="24"/>
        <v>323.28571428571428</v>
      </c>
      <c r="AF141" s="28">
        <f t="shared" si="28"/>
        <v>0.26607877718988832</v>
      </c>
      <c r="AG141" s="42">
        <f t="shared" si="26"/>
        <v>3.4270246588913973E-4</v>
      </c>
      <c r="AH141" s="14" t="str">
        <f t="shared" si="25"/>
        <v>***</v>
      </c>
      <c r="AI141" s="11">
        <f t="shared" si="29"/>
        <v>63</v>
      </c>
      <c r="AJ141" s="11">
        <f t="shared" si="30"/>
        <v>63</v>
      </c>
      <c r="AK141" s="11">
        <f t="shared" si="27"/>
        <v>1.1369018312830193E-3</v>
      </c>
      <c r="AL141" s="42">
        <f t="shared" si="31"/>
        <v>1.1369018312830193E-3</v>
      </c>
      <c r="AM141" s="14" t="str">
        <f t="shared" si="32"/>
        <v>**</v>
      </c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</row>
    <row r="142" spans="1:56" ht="27" customHeight="1" x14ac:dyDescent="0.2">
      <c r="A142" s="10" t="s">
        <v>357</v>
      </c>
      <c r="B142" s="11">
        <v>1434</v>
      </c>
      <c r="C142" s="2">
        <v>1020.79991830708</v>
      </c>
      <c r="D142" s="2">
        <v>15.190796969696899</v>
      </c>
      <c r="E142" s="2">
        <v>1</v>
      </c>
      <c r="F142" s="12" t="s">
        <v>627</v>
      </c>
      <c r="G142" s="12" t="s">
        <v>359</v>
      </c>
      <c r="H142" s="5"/>
      <c r="I142" s="11">
        <v>542</v>
      </c>
      <c r="J142" s="11">
        <v>888</v>
      </c>
      <c r="K142" s="11">
        <v>1064</v>
      </c>
      <c r="L142" s="11">
        <v>717</v>
      </c>
      <c r="M142" s="11">
        <v>826</v>
      </c>
      <c r="N142" s="11">
        <v>1196</v>
      </c>
      <c r="O142" s="11">
        <v>1393</v>
      </c>
      <c r="P142" s="11"/>
      <c r="Q142" s="11">
        <v>360</v>
      </c>
      <c r="R142" s="11">
        <v>920</v>
      </c>
      <c r="S142" s="11">
        <v>163</v>
      </c>
      <c r="T142" s="11">
        <v>358</v>
      </c>
      <c r="U142" s="11">
        <v>187</v>
      </c>
      <c r="V142" s="11">
        <v>411</v>
      </c>
      <c r="W142" s="11">
        <v>620</v>
      </c>
      <c r="X142" s="11"/>
      <c r="Y142" s="11">
        <v>0</v>
      </c>
      <c r="Z142" s="11">
        <v>766</v>
      </c>
      <c r="AA142" s="11">
        <v>570</v>
      </c>
      <c r="AB142" s="11">
        <v>583</v>
      </c>
      <c r="AC142" s="17">
        <f t="shared" si="22"/>
        <v>0.17134047537999819</v>
      </c>
      <c r="AD142" s="11">
        <f t="shared" si="23"/>
        <v>946.57142857142856</v>
      </c>
      <c r="AE142" s="11">
        <f t="shared" si="24"/>
        <v>431.28571428571428</v>
      </c>
      <c r="AF142" s="28">
        <f t="shared" si="28"/>
        <v>0.45562933896770297</v>
      </c>
      <c r="AG142" s="42">
        <f t="shared" si="26"/>
        <v>4.7035486076224238E-3</v>
      </c>
      <c r="AH142" s="14" t="str">
        <f t="shared" si="25"/>
        <v>**</v>
      </c>
      <c r="AI142" s="11">
        <f t="shared" si="29"/>
        <v>105</v>
      </c>
      <c r="AJ142" s="11">
        <f t="shared" si="30"/>
        <v>105</v>
      </c>
      <c r="AK142" s="11">
        <f t="shared" si="27"/>
        <v>9.3623015142198715E-3</v>
      </c>
      <c r="AL142" s="42">
        <f t="shared" si="31"/>
        <v>9.3266766388572162E-3</v>
      </c>
      <c r="AM142" s="14" t="str">
        <f t="shared" si="32"/>
        <v>**</v>
      </c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</row>
    <row r="143" spans="1:56" ht="27" customHeight="1" x14ac:dyDescent="0.2">
      <c r="A143" s="10" t="s">
        <v>357</v>
      </c>
      <c r="B143" s="11">
        <v>1440</v>
      </c>
      <c r="C143" s="2">
        <v>892.73723042603797</v>
      </c>
      <c r="D143" s="2">
        <v>14.725308333333301</v>
      </c>
      <c r="E143" s="2">
        <v>1</v>
      </c>
      <c r="F143" s="12" t="s">
        <v>452</v>
      </c>
      <c r="G143" s="12" t="s">
        <v>359</v>
      </c>
      <c r="H143" s="5"/>
      <c r="I143" s="11">
        <v>2097</v>
      </c>
      <c r="J143" s="11">
        <v>1267</v>
      </c>
      <c r="K143" s="11">
        <v>1946</v>
      </c>
      <c r="L143" s="11">
        <v>1575</v>
      </c>
      <c r="M143" s="11">
        <v>1005</v>
      </c>
      <c r="N143" s="11">
        <v>1758</v>
      </c>
      <c r="O143" s="11">
        <v>3288</v>
      </c>
      <c r="P143" s="11"/>
      <c r="Q143" s="11">
        <v>578</v>
      </c>
      <c r="R143" s="11">
        <v>1390</v>
      </c>
      <c r="S143" s="11">
        <v>470</v>
      </c>
      <c r="T143" s="11">
        <v>976</v>
      </c>
      <c r="U143" s="11">
        <v>713</v>
      </c>
      <c r="V143" s="11">
        <v>1025</v>
      </c>
      <c r="W143" s="11">
        <v>1165</v>
      </c>
      <c r="X143" s="11"/>
      <c r="Y143" s="11">
        <v>0</v>
      </c>
      <c r="Z143" s="11">
        <v>1375</v>
      </c>
      <c r="AA143" s="11">
        <v>1274</v>
      </c>
      <c r="AB143" s="11">
        <v>1016</v>
      </c>
      <c r="AC143" s="17">
        <f t="shared" si="22"/>
        <v>0.1515415705210508</v>
      </c>
      <c r="AD143" s="11">
        <f t="shared" si="23"/>
        <v>1848</v>
      </c>
      <c r="AE143" s="11">
        <f t="shared" si="24"/>
        <v>902.42857142857144</v>
      </c>
      <c r="AF143" s="28">
        <f t="shared" si="28"/>
        <v>0.48832714904143476</v>
      </c>
      <c r="AG143" s="42">
        <f t="shared" si="26"/>
        <v>1.420904444007162E-2</v>
      </c>
      <c r="AH143" s="14" t="str">
        <f t="shared" si="25"/>
        <v>*</v>
      </c>
      <c r="AI143" s="11">
        <f t="shared" si="29"/>
        <v>131</v>
      </c>
      <c r="AJ143" s="11">
        <f t="shared" si="30"/>
        <v>131</v>
      </c>
      <c r="AK143" s="11">
        <f t="shared" si="27"/>
        <v>2.2669391511259303E-2</v>
      </c>
      <c r="AL143" s="42">
        <f t="shared" si="31"/>
        <v>2.2669391511259303E-2</v>
      </c>
      <c r="AM143" s="14" t="str">
        <f t="shared" si="32"/>
        <v>**</v>
      </c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</row>
    <row r="144" spans="1:56" ht="27" customHeight="1" x14ac:dyDescent="0.2">
      <c r="A144" s="10" t="s">
        <v>357</v>
      </c>
      <c r="B144" s="11">
        <v>1487</v>
      </c>
      <c r="C144" s="2">
        <v>918.75392590747003</v>
      </c>
      <c r="D144" s="2">
        <v>14.8401708333332</v>
      </c>
      <c r="E144" s="2">
        <v>1</v>
      </c>
      <c r="F144" s="12" t="s">
        <v>417</v>
      </c>
      <c r="G144" s="12" t="s">
        <v>359</v>
      </c>
      <c r="H144" s="5"/>
      <c r="I144" s="11">
        <v>2468</v>
      </c>
      <c r="J144" s="11">
        <v>1763</v>
      </c>
      <c r="K144" s="11">
        <v>2871</v>
      </c>
      <c r="L144" s="11">
        <v>2090</v>
      </c>
      <c r="M144" s="11">
        <v>1753</v>
      </c>
      <c r="N144" s="11">
        <v>3563</v>
      </c>
      <c r="O144" s="11">
        <v>4688</v>
      </c>
      <c r="P144" s="11"/>
      <c r="Q144" s="11">
        <v>749</v>
      </c>
      <c r="R144" s="11">
        <v>1680</v>
      </c>
      <c r="S144" s="11">
        <v>546</v>
      </c>
      <c r="T144" s="11">
        <v>1324</v>
      </c>
      <c r="U144" s="11">
        <v>1002</v>
      </c>
      <c r="V144" s="11">
        <v>1278</v>
      </c>
      <c r="W144" s="11">
        <v>1330</v>
      </c>
      <c r="X144" s="11"/>
      <c r="Y144" s="11">
        <v>0</v>
      </c>
      <c r="Z144" s="11">
        <v>1590</v>
      </c>
      <c r="AA144" s="11">
        <v>1574</v>
      </c>
      <c r="AB144" s="11">
        <v>1344</v>
      </c>
      <c r="AC144" s="17">
        <f t="shared" si="22"/>
        <v>9.159852340665825E-2</v>
      </c>
      <c r="AD144" s="11">
        <f t="shared" si="23"/>
        <v>2742.2857142857142</v>
      </c>
      <c r="AE144" s="11">
        <f t="shared" si="24"/>
        <v>1129.8571428571429</v>
      </c>
      <c r="AF144" s="28">
        <f t="shared" si="28"/>
        <v>0.41201291935819967</v>
      </c>
      <c r="AG144" s="42">
        <f t="shared" si="26"/>
        <v>6.3678428672000629E-3</v>
      </c>
      <c r="AH144" s="14" t="str">
        <f t="shared" si="25"/>
        <v>**</v>
      </c>
      <c r="AI144" s="11">
        <f t="shared" si="29"/>
        <v>111</v>
      </c>
      <c r="AJ144" s="11">
        <f t="shared" si="30"/>
        <v>111</v>
      </c>
      <c r="AK144" s="11">
        <f t="shared" si="27"/>
        <v>1.1989902335538859E-2</v>
      </c>
      <c r="AL144" s="42">
        <f t="shared" si="31"/>
        <v>1.1989902335538859E-2</v>
      </c>
      <c r="AM144" s="14" t="str">
        <f t="shared" si="32"/>
        <v>**</v>
      </c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</row>
    <row r="145" spans="1:56" ht="27" customHeight="1" x14ac:dyDescent="0.2">
      <c r="A145" s="10" t="s">
        <v>357</v>
      </c>
      <c r="B145" s="11">
        <v>1568</v>
      </c>
      <c r="C145" s="2">
        <v>990.84678040900405</v>
      </c>
      <c r="D145" s="2">
        <v>16.243804761904698</v>
      </c>
      <c r="E145" s="2">
        <v>1</v>
      </c>
      <c r="F145" s="12" t="s">
        <v>630</v>
      </c>
      <c r="G145" s="12" t="s">
        <v>359</v>
      </c>
      <c r="H145" s="5"/>
      <c r="I145" s="11">
        <v>742</v>
      </c>
      <c r="J145" s="11">
        <v>799</v>
      </c>
      <c r="K145" s="11">
        <v>1245</v>
      </c>
      <c r="L145" s="11">
        <v>804</v>
      </c>
      <c r="M145" s="11">
        <v>761</v>
      </c>
      <c r="N145" s="11">
        <v>857</v>
      </c>
      <c r="O145" s="11">
        <v>1201</v>
      </c>
      <c r="P145" s="11"/>
      <c r="Q145" s="11">
        <v>212</v>
      </c>
      <c r="R145" s="11">
        <v>250</v>
      </c>
      <c r="S145" s="11">
        <v>138</v>
      </c>
      <c r="T145" s="11">
        <v>115</v>
      </c>
      <c r="U145" s="11">
        <v>124</v>
      </c>
      <c r="V145" s="11">
        <v>79</v>
      </c>
      <c r="W145" s="11">
        <v>190</v>
      </c>
      <c r="X145" s="11"/>
      <c r="Y145" s="11">
        <v>0</v>
      </c>
      <c r="Z145" s="11">
        <v>525</v>
      </c>
      <c r="AA145" s="11">
        <v>437</v>
      </c>
      <c r="AB145" s="11">
        <v>331</v>
      </c>
      <c r="AC145" s="17">
        <f t="shared" si="22"/>
        <v>0.22538068574628103</v>
      </c>
      <c r="AD145" s="11">
        <f t="shared" si="23"/>
        <v>915.57142857142856</v>
      </c>
      <c r="AE145" s="11">
        <f t="shared" si="24"/>
        <v>158.28571428571428</v>
      </c>
      <c r="AF145" s="28">
        <f t="shared" si="28"/>
        <v>0.17288188484943048</v>
      </c>
      <c r="AG145" s="42">
        <f t="shared" si="26"/>
        <v>4.3242212905092343E-5</v>
      </c>
      <c r="AH145" s="14" t="str">
        <f t="shared" si="25"/>
        <v>***</v>
      </c>
      <c r="AI145" s="11">
        <f t="shared" si="29"/>
        <v>22</v>
      </c>
      <c r="AJ145" s="11">
        <f t="shared" si="30"/>
        <v>22</v>
      </c>
      <c r="AK145" s="11">
        <f t="shared" si="27"/>
        <v>4.1080102259837724E-4</v>
      </c>
      <c r="AL145" s="42">
        <f t="shared" si="31"/>
        <v>3.8828708123971544E-4</v>
      </c>
      <c r="AM145" s="14" t="str">
        <f t="shared" si="32"/>
        <v>**</v>
      </c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</row>
    <row r="146" spans="1:56" ht="27" customHeight="1" x14ac:dyDescent="0.2">
      <c r="A146" s="10" t="s">
        <v>357</v>
      </c>
      <c r="B146" s="11">
        <v>1606</v>
      </c>
      <c r="C146" s="2">
        <v>1018.78424617054</v>
      </c>
      <c r="D146" s="2">
        <v>14.9881190476189</v>
      </c>
      <c r="E146" s="2">
        <v>1</v>
      </c>
      <c r="F146" s="12" t="s">
        <v>631</v>
      </c>
      <c r="G146" s="12" t="s">
        <v>359</v>
      </c>
      <c r="H146" s="5"/>
      <c r="I146" s="11">
        <v>529</v>
      </c>
      <c r="J146" s="11">
        <v>720</v>
      </c>
      <c r="K146" s="11">
        <v>939</v>
      </c>
      <c r="L146" s="11">
        <v>742</v>
      </c>
      <c r="M146" s="11">
        <v>698</v>
      </c>
      <c r="N146" s="11">
        <v>980</v>
      </c>
      <c r="O146" s="11">
        <v>1212</v>
      </c>
      <c r="P146" s="11"/>
      <c r="Q146" s="11">
        <v>389</v>
      </c>
      <c r="R146" s="11">
        <v>895</v>
      </c>
      <c r="S146" s="11">
        <v>253</v>
      </c>
      <c r="T146" s="11">
        <v>513</v>
      </c>
      <c r="U146" s="11">
        <v>283</v>
      </c>
      <c r="V146" s="11">
        <v>556</v>
      </c>
      <c r="W146" s="11">
        <v>549</v>
      </c>
      <c r="X146" s="11"/>
      <c r="Y146" s="11">
        <v>0</v>
      </c>
      <c r="Z146" s="11">
        <v>598</v>
      </c>
      <c r="AA146" s="11">
        <v>691</v>
      </c>
      <c r="AB146" s="11">
        <v>498</v>
      </c>
      <c r="AC146" s="17">
        <f t="shared" si="22"/>
        <v>0.16203887215792018</v>
      </c>
      <c r="AD146" s="11">
        <f t="shared" si="23"/>
        <v>831.42857142857144</v>
      </c>
      <c r="AE146" s="11">
        <f t="shared" si="24"/>
        <v>491.14285714285717</v>
      </c>
      <c r="AF146" s="28">
        <f t="shared" si="28"/>
        <v>0.59072164948453609</v>
      </c>
      <c r="AG146" s="42">
        <f t="shared" si="26"/>
        <v>1.4072147542674128E-2</v>
      </c>
      <c r="AH146" s="14" t="str">
        <f t="shared" si="25"/>
        <v>*</v>
      </c>
      <c r="AI146" s="11">
        <f t="shared" si="29"/>
        <v>130</v>
      </c>
      <c r="AJ146" s="11">
        <f t="shared" si="30"/>
        <v>130</v>
      </c>
      <c r="AK146" s="11">
        <f t="shared" si="27"/>
        <v>2.2623683357068408E-2</v>
      </c>
      <c r="AL146" s="42">
        <f t="shared" si="31"/>
        <v>2.2623683357068408E-2</v>
      </c>
      <c r="AM146" s="14" t="str">
        <f t="shared" si="32"/>
        <v>**</v>
      </c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</row>
    <row r="147" spans="1:56" ht="27" customHeight="1" x14ac:dyDescent="0.2">
      <c r="A147" s="10" t="s">
        <v>357</v>
      </c>
      <c r="B147" s="11">
        <v>1614</v>
      </c>
      <c r="C147" s="2">
        <v>1026.84625713983</v>
      </c>
      <c r="D147" s="2">
        <v>15.9251916666667</v>
      </c>
      <c r="E147" s="2">
        <v>1</v>
      </c>
      <c r="F147" s="12" t="s">
        <v>632</v>
      </c>
      <c r="G147" s="12" t="s">
        <v>359</v>
      </c>
      <c r="H147" s="5"/>
      <c r="I147" s="11">
        <v>520</v>
      </c>
      <c r="J147" s="11">
        <v>833</v>
      </c>
      <c r="K147" s="11">
        <v>1203</v>
      </c>
      <c r="L147" s="11">
        <v>877</v>
      </c>
      <c r="M147" s="11">
        <v>906</v>
      </c>
      <c r="N147" s="11">
        <v>1148</v>
      </c>
      <c r="O147" s="11">
        <v>1119</v>
      </c>
      <c r="P147" s="11"/>
      <c r="Q147" s="11">
        <v>194</v>
      </c>
      <c r="R147" s="11">
        <v>407</v>
      </c>
      <c r="S147" s="11">
        <v>120</v>
      </c>
      <c r="T147" s="11">
        <v>161</v>
      </c>
      <c r="U147" s="11">
        <v>203</v>
      </c>
      <c r="V147" s="11">
        <v>300</v>
      </c>
      <c r="W147" s="11">
        <v>264</v>
      </c>
      <c r="X147" s="11"/>
      <c r="Y147" s="11">
        <v>0</v>
      </c>
      <c r="Z147" s="11">
        <v>550</v>
      </c>
      <c r="AA147" s="11">
        <v>621</v>
      </c>
      <c r="AB147" s="11">
        <v>405</v>
      </c>
      <c r="AC147" s="17">
        <f t="shared" si="22"/>
        <v>0.20956672356595432</v>
      </c>
      <c r="AD147" s="11">
        <f t="shared" si="23"/>
        <v>943.71428571428567</v>
      </c>
      <c r="AE147" s="11">
        <f t="shared" si="24"/>
        <v>235.57142857142858</v>
      </c>
      <c r="AF147" s="28">
        <f t="shared" si="28"/>
        <v>0.24962155616106571</v>
      </c>
      <c r="AG147" s="42">
        <f t="shared" si="26"/>
        <v>8.573178323945853E-5</v>
      </c>
      <c r="AH147" s="14" t="str">
        <f t="shared" si="25"/>
        <v>***</v>
      </c>
      <c r="AI147" s="11">
        <f t="shared" si="29"/>
        <v>36</v>
      </c>
      <c r="AJ147" s="11">
        <f t="shared" si="30"/>
        <v>36</v>
      </c>
      <c r="AK147" s="11">
        <f t="shared" si="27"/>
        <v>4.9772063047352311E-4</v>
      </c>
      <c r="AL147" s="42">
        <f t="shared" si="31"/>
        <v>4.9772063047352311E-4</v>
      </c>
      <c r="AM147" s="14" t="str">
        <f t="shared" si="32"/>
        <v>**</v>
      </c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</row>
    <row r="148" spans="1:56" ht="27" customHeight="1" x14ac:dyDescent="0.2">
      <c r="A148" s="10" t="s">
        <v>357</v>
      </c>
      <c r="B148" s="11">
        <v>1723</v>
      </c>
      <c r="C148" s="2">
        <v>1016.76735649191</v>
      </c>
      <c r="D148" s="2">
        <v>14.731004444444499</v>
      </c>
      <c r="E148" s="2">
        <v>1</v>
      </c>
      <c r="F148" s="12" t="s">
        <v>482</v>
      </c>
      <c r="G148" s="12" t="s">
        <v>359</v>
      </c>
      <c r="H148" s="5"/>
      <c r="I148" s="11">
        <v>340</v>
      </c>
      <c r="J148" s="11">
        <v>597</v>
      </c>
      <c r="K148" s="11">
        <v>542</v>
      </c>
      <c r="L148" s="11">
        <v>457</v>
      </c>
      <c r="M148" s="11">
        <v>462</v>
      </c>
      <c r="N148" s="11">
        <v>783</v>
      </c>
      <c r="O148" s="11">
        <v>1108</v>
      </c>
      <c r="P148" s="11"/>
      <c r="Q148" s="11">
        <v>323</v>
      </c>
      <c r="R148" s="11">
        <v>544</v>
      </c>
      <c r="S148" s="11">
        <v>195</v>
      </c>
      <c r="T148" s="11">
        <v>402</v>
      </c>
      <c r="U148" s="11">
        <v>214</v>
      </c>
      <c r="V148" s="11">
        <v>402</v>
      </c>
      <c r="W148" s="11">
        <v>604</v>
      </c>
      <c r="X148" s="11"/>
      <c r="Y148" s="11">
        <v>0</v>
      </c>
      <c r="Z148" s="11">
        <v>386</v>
      </c>
      <c r="AA148" s="11">
        <v>409</v>
      </c>
      <c r="AB148" s="11">
        <v>310</v>
      </c>
      <c r="AC148" s="17">
        <f t="shared" si="22"/>
        <v>0.14066213303817907</v>
      </c>
      <c r="AD148" s="11">
        <f t="shared" si="23"/>
        <v>612.71428571428567</v>
      </c>
      <c r="AE148" s="11">
        <f t="shared" si="24"/>
        <v>383.42857142857144</v>
      </c>
      <c r="AF148" s="28">
        <f t="shared" si="28"/>
        <v>0.62578689671252052</v>
      </c>
      <c r="AG148" s="42">
        <f t="shared" si="26"/>
        <v>7.2174088180069845E-2</v>
      </c>
      <c r="AH148" s="14" t="str">
        <f t="shared" si="25"/>
        <v>-</v>
      </c>
      <c r="AI148" s="11">
        <f t="shared" si="29"/>
        <v>153</v>
      </c>
      <c r="AJ148" s="11">
        <f t="shared" si="30"/>
        <v>153</v>
      </c>
      <c r="AK148" s="11">
        <f t="shared" si="27"/>
        <v>9.8590747906108486E-2</v>
      </c>
      <c r="AL148" s="42">
        <f t="shared" si="31"/>
        <v>9.8590747906108486E-2</v>
      </c>
      <c r="AM148" s="14" t="str">
        <f t="shared" si="32"/>
        <v>*</v>
      </c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</row>
    <row r="149" spans="1:56" ht="27" customHeight="1" x14ac:dyDescent="0.2">
      <c r="A149" s="10" t="s">
        <v>357</v>
      </c>
      <c r="B149" s="11">
        <v>1787</v>
      </c>
      <c r="C149" s="2">
        <v>858.75590006358004</v>
      </c>
      <c r="D149" s="2">
        <v>15.184391666666601</v>
      </c>
      <c r="E149" s="2">
        <v>1</v>
      </c>
      <c r="F149" s="12" t="s">
        <v>419</v>
      </c>
      <c r="G149" s="12" t="s">
        <v>359</v>
      </c>
      <c r="H149" s="5"/>
      <c r="I149" s="11">
        <v>1204</v>
      </c>
      <c r="J149" s="11">
        <v>534</v>
      </c>
      <c r="K149" s="11">
        <v>1059</v>
      </c>
      <c r="L149" s="11">
        <v>717</v>
      </c>
      <c r="M149" s="11">
        <v>369</v>
      </c>
      <c r="N149" s="11">
        <v>816</v>
      </c>
      <c r="O149" s="11">
        <v>971</v>
      </c>
      <c r="P149" s="11"/>
      <c r="Q149" s="11">
        <v>217</v>
      </c>
      <c r="R149" s="11">
        <v>386</v>
      </c>
      <c r="S149" s="11">
        <v>88</v>
      </c>
      <c r="T149" s="11">
        <v>199</v>
      </c>
      <c r="U149" s="11">
        <v>436</v>
      </c>
      <c r="V149" s="11">
        <v>314</v>
      </c>
      <c r="W149" s="11">
        <v>445</v>
      </c>
      <c r="X149" s="11"/>
      <c r="Y149" s="11">
        <v>138</v>
      </c>
      <c r="Z149" s="11">
        <v>562</v>
      </c>
      <c r="AA149" s="11">
        <v>488</v>
      </c>
      <c r="AB149" s="11">
        <v>441</v>
      </c>
      <c r="AC149" s="17">
        <f t="shared" si="22"/>
        <v>0.1227364185110664</v>
      </c>
      <c r="AD149" s="11">
        <f t="shared" si="23"/>
        <v>810</v>
      </c>
      <c r="AE149" s="11">
        <f t="shared" si="24"/>
        <v>297.85714285714283</v>
      </c>
      <c r="AF149" s="28">
        <f t="shared" si="28"/>
        <v>0.36772486772486768</v>
      </c>
      <c r="AG149" s="42">
        <f t="shared" si="26"/>
        <v>2.7790598489079443E-3</v>
      </c>
      <c r="AH149" s="14" t="str">
        <f t="shared" si="25"/>
        <v>**</v>
      </c>
      <c r="AI149" s="11">
        <f t="shared" si="29"/>
        <v>98</v>
      </c>
      <c r="AJ149" s="11">
        <f t="shared" si="30"/>
        <v>98</v>
      </c>
      <c r="AK149" s="11">
        <f t="shared" si="27"/>
        <v>5.926770494099595E-3</v>
      </c>
      <c r="AL149" s="42">
        <f t="shared" si="31"/>
        <v>5.926770494099595E-3</v>
      </c>
      <c r="AM149" s="14" t="str">
        <f t="shared" si="32"/>
        <v>**</v>
      </c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</row>
    <row r="150" spans="1:56" ht="27" customHeight="1" x14ac:dyDescent="0.2">
      <c r="A150" s="10" t="s">
        <v>357</v>
      </c>
      <c r="B150" s="11">
        <v>1878</v>
      </c>
      <c r="C150" s="2">
        <v>868.73533385324595</v>
      </c>
      <c r="D150" s="2">
        <v>14.5953411111112</v>
      </c>
      <c r="E150" s="2">
        <v>1</v>
      </c>
      <c r="F150" s="12" t="s">
        <v>636</v>
      </c>
      <c r="G150" s="12" t="s">
        <v>359</v>
      </c>
      <c r="H150" s="5"/>
      <c r="I150" s="11">
        <v>932</v>
      </c>
      <c r="J150" s="11">
        <v>526</v>
      </c>
      <c r="K150" s="11">
        <v>897</v>
      </c>
      <c r="L150" s="11">
        <v>715</v>
      </c>
      <c r="M150" s="11">
        <v>603</v>
      </c>
      <c r="N150" s="11">
        <v>1001</v>
      </c>
      <c r="O150" s="11">
        <v>1183</v>
      </c>
      <c r="P150" s="11"/>
      <c r="Q150" s="11">
        <v>201</v>
      </c>
      <c r="R150" s="11">
        <v>438</v>
      </c>
      <c r="S150" s="11">
        <v>150</v>
      </c>
      <c r="T150" s="11">
        <v>203</v>
      </c>
      <c r="U150" s="11">
        <v>318</v>
      </c>
      <c r="V150" s="11">
        <v>305</v>
      </c>
      <c r="W150" s="11">
        <v>554</v>
      </c>
      <c r="X150" s="11"/>
      <c r="Y150" s="11">
        <v>0</v>
      </c>
      <c r="Z150" s="11">
        <v>504</v>
      </c>
      <c r="AA150" s="11">
        <v>492</v>
      </c>
      <c r="AB150" s="11">
        <v>510</v>
      </c>
      <c r="AC150" s="17">
        <f t="shared" si="22"/>
        <v>1.8257273685083026E-2</v>
      </c>
      <c r="AD150" s="11">
        <f t="shared" si="23"/>
        <v>836.71428571428567</v>
      </c>
      <c r="AE150" s="11">
        <f t="shared" si="24"/>
        <v>309.85714285714283</v>
      </c>
      <c r="AF150" s="28">
        <f t="shared" si="28"/>
        <v>0.37032610551476863</v>
      </c>
      <c r="AG150" s="42">
        <f t="shared" si="26"/>
        <v>4.7098125537144045E-4</v>
      </c>
      <c r="AH150" s="14" t="str">
        <f t="shared" si="25"/>
        <v>***</v>
      </c>
      <c r="AI150" s="11">
        <f t="shared" si="29"/>
        <v>69</v>
      </c>
      <c r="AJ150" s="11">
        <f t="shared" si="30"/>
        <v>69</v>
      </c>
      <c r="AK150" s="11">
        <f t="shared" si="27"/>
        <v>1.426595396704798E-3</v>
      </c>
      <c r="AL150" s="42">
        <f t="shared" si="31"/>
        <v>1.426595396704798E-3</v>
      </c>
      <c r="AM150" s="14" t="str">
        <f t="shared" si="32"/>
        <v>**</v>
      </c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</row>
    <row r="151" spans="1:56" ht="27" customHeight="1" x14ac:dyDescent="0.2">
      <c r="A151" s="10" t="s">
        <v>357</v>
      </c>
      <c r="B151" s="11">
        <v>1985</v>
      </c>
      <c r="C151" s="2">
        <v>1153.0783943281101</v>
      </c>
      <c r="D151" s="2">
        <v>17.851997916666601</v>
      </c>
      <c r="E151" s="2">
        <v>1</v>
      </c>
      <c r="F151" s="12" t="s">
        <v>637</v>
      </c>
      <c r="G151" s="12" t="s">
        <v>359</v>
      </c>
      <c r="H151" s="5"/>
      <c r="I151" s="11">
        <v>517</v>
      </c>
      <c r="J151" s="11">
        <v>427</v>
      </c>
      <c r="K151" s="11">
        <v>665</v>
      </c>
      <c r="L151" s="11">
        <v>377</v>
      </c>
      <c r="M151" s="11">
        <v>934</v>
      </c>
      <c r="N151" s="11">
        <v>545</v>
      </c>
      <c r="O151" s="11">
        <v>670</v>
      </c>
      <c r="P151" s="11"/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/>
      <c r="Y151" s="11">
        <v>0</v>
      </c>
      <c r="Z151" s="11">
        <v>264</v>
      </c>
      <c r="AA151" s="11">
        <v>274</v>
      </c>
      <c r="AB151" s="11">
        <v>197</v>
      </c>
      <c r="AC151" s="17">
        <f t="shared" si="22"/>
        <v>0.17089323604455772</v>
      </c>
      <c r="AD151" s="11">
        <f t="shared" si="23"/>
        <v>590.71428571428567</v>
      </c>
      <c r="AE151" s="11">
        <f t="shared" si="24"/>
        <v>0</v>
      </c>
      <c r="AF151" s="28">
        <f t="shared" si="28"/>
        <v>0</v>
      </c>
      <c r="AG151" s="42">
        <f t="shared" si="26"/>
        <v>1.5914744719855726E-4</v>
      </c>
      <c r="AH151" s="14" t="str">
        <f t="shared" si="25"/>
        <v>***</v>
      </c>
      <c r="AI151" s="11">
        <f t="shared" si="29"/>
        <v>52</v>
      </c>
      <c r="AJ151" s="11">
        <f t="shared" si="30"/>
        <v>52</v>
      </c>
      <c r="AK151" s="11">
        <f t="shared" si="27"/>
        <v>6.3965031662497056E-4</v>
      </c>
      <c r="AL151" s="42">
        <f t="shared" si="31"/>
        <v>6.3965031662497056E-4</v>
      </c>
      <c r="AM151" s="14" t="str">
        <f t="shared" si="32"/>
        <v>**</v>
      </c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</row>
    <row r="152" spans="1:56" ht="27" customHeight="1" x14ac:dyDescent="0.2">
      <c r="A152" s="10" t="s">
        <v>357</v>
      </c>
      <c r="B152" s="11">
        <v>2014</v>
      </c>
      <c r="C152" s="2">
        <v>964.82865821984103</v>
      </c>
      <c r="D152" s="2">
        <v>16.21199</v>
      </c>
      <c r="E152" s="2">
        <v>1</v>
      </c>
      <c r="F152" s="12" t="s">
        <v>638</v>
      </c>
      <c r="G152" s="12" t="s">
        <v>359</v>
      </c>
      <c r="H152" s="5"/>
      <c r="I152" s="11">
        <v>875</v>
      </c>
      <c r="J152" s="11">
        <v>826</v>
      </c>
      <c r="K152" s="11">
        <v>1338</v>
      </c>
      <c r="L152" s="11">
        <v>1064</v>
      </c>
      <c r="M152" s="11">
        <v>919</v>
      </c>
      <c r="N152" s="11">
        <v>1378</v>
      </c>
      <c r="O152" s="11">
        <v>1493</v>
      </c>
      <c r="P152" s="11"/>
      <c r="Q152" s="11">
        <v>128</v>
      </c>
      <c r="R152" s="11">
        <v>520</v>
      </c>
      <c r="S152" s="11">
        <v>145</v>
      </c>
      <c r="T152" s="11">
        <v>268</v>
      </c>
      <c r="U152" s="11">
        <v>407</v>
      </c>
      <c r="V152" s="11">
        <v>269</v>
      </c>
      <c r="W152" s="11">
        <v>364</v>
      </c>
      <c r="X152" s="11"/>
      <c r="Y152" s="11">
        <v>0</v>
      </c>
      <c r="Z152" s="11">
        <v>647</v>
      </c>
      <c r="AA152" s="11">
        <v>533</v>
      </c>
      <c r="AB152" s="11">
        <v>592</v>
      </c>
      <c r="AC152" s="17">
        <f t="shared" si="22"/>
        <v>9.6520927833063569E-2</v>
      </c>
      <c r="AD152" s="11">
        <f t="shared" si="23"/>
        <v>1127.5714285714287</v>
      </c>
      <c r="AE152" s="11">
        <f t="shared" si="24"/>
        <v>300.14285714285717</v>
      </c>
      <c r="AF152" s="28">
        <f t="shared" si="28"/>
        <v>0.26618522741669831</v>
      </c>
      <c r="AG152" s="42">
        <f t="shared" si="26"/>
        <v>5.3032676195379695E-5</v>
      </c>
      <c r="AH152" s="14" t="str">
        <f t="shared" si="25"/>
        <v>***</v>
      </c>
      <c r="AI152" s="11">
        <f t="shared" si="29"/>
        <v>27</v>
      </c>
      <c r="AJ152" s="11">
        <f t="shared" si="30"/>
        <v>27</v>
      </c>
      <c r="AK152" s="11">
        <f t="shared" si="27"/>
        <v>4.1051219721608724E-4</v>
      </c>
      <c r="AL152" s="42">
        <f t="shared" si="31"/>
        <v>4.0394159932934229E-4</v>
      </c>
      <c r="AM152" s="14" t="str">
        <f t="shared" si="32"/>
        <v>**</v>
      </c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</row>
    <row r="153" spans="1:56" ht="27" customHeight="1" x14ac:dyDescent="0.2">
      <c r="A153" s="10" t="s">
        <v>357</v>
      </c>
      <c r="B153" s="11">
        <v>2059</v>
      </c>
      <c r="C153" s="2">
        <v>1044.79979580797</v>
      </c>
      <c r="D153" s="2">
        <v>15.020429999999999</v>
      </c>
      <c r="E153" s="2">
        <v>1</v>
      </c>
      <c r="F153" s="12" t="s">
        <v>488</v>
      </c>
      <c r="G153" s="12" t="s">
        <v>359</v>
      </c>
      <c r="H153" s="5"/>
      <c r="I153" s="11">
        <v>381</v>
      </c>
      <c r="J153" s="11">
        <v>576</v>
      </c>
      <c r="K153" s="11">
        <v>698</v>
      </c>
      <c r="L153" s="11">
        <v>455</v>
      </c>
      <c r="M153" s="11">
        <v>552</v>
      </c>
      <c r="N153" s="11">
        <v>699</v>
      </c>
      <c r="O153" s="11">
        <v>892</v>
      </c>
      <c r="P153" s="11"/>
      <c r="Q153" s="11">
        <v>336</v>
      </c>
      <c r="R153" s="11">
        <v>743</v>
      </c>
      <c r="S153" s="11">
        <v>196</v>
      </c>
      <c r="T153" s="11">
        <v>439</v>
      </c>
      <c r="U153" s="11">
        <v>128</v>
      </c>
      <c r="V153" s="11">
        <v>319</v>
      </c>
      <c r="W153" s="11">
        <v>662</v>
      </c>
      <c r="X153" s="11"/>
      <c r="Y153" s="11">
        <v>0</v>
      </c>
      <c r="Z153" s="11">
        <v>400</v>
      </c>
      <c r="AA153" s="11">
        <v>411</v>
      </c>
      <c r="AB153" s="11">
        <v>446</v>
      </c>
      <c r="AC153" s="17">
        <f t="shared" ref="AC153:AC177" si="33">IFERROR(STDEV(Z153:AB153)/AVERAGE(Z153:AB153),0)</f>
        <v>5.7328936274292669E-2</v>
      </c>
      <c r="AD153" s="11">
        <f t="shared" ref="AD153:AD177" si="34">AVERAGE(I153:O153)</f>
        <v>607.57142857142856</v>
      </c>
      <c r="AE153" s="11">
        <f t="shared" ref="AE153:AE177" si="35">AVERAGE(Q153:W153)</f>
        <v>403.28571428571428</v>
      </c>
      <c r="AF153" s="28">
        <f t="shared" si="28"/>
        <v>0.66376675288031983</v>
      </c>
      <c r="AG153" s="42">
        <f t="shared" si="26"/>
        <v>8.493866934006078E-2</v>
      </c>
      <c r="AH153" s="14" t="str">
        <f t="shared" ref="AH153:AH177" si="36">IF(AG153&lt;0.001,"***",IF(AG153&lt;0.01,"**",IF(AG153&lt;0.05,"*","-")))</f>
        <v>-</v>
      </c>
      <c r="AI153" s="11">
        <f t="shared" si="29"/>
        <v>157</v>
      </c>
      <c r="AJ153" s="11">
        <f t="shared" si="30"/>
        <v>157</v>
      </c>
      <c r="AK153" s="11">
        <f t="shared" si="27"/>
        <v>0.11307122224250128</v>
      </c>
      <c r="AL153" s="42">
        <f t="shared" si="31"/>
        <v>0.11243379835217653</v>
      </c>
      <c r="AM153" s="14" t="str">
        <f t="shared" si="32"/>
        <v/>
      </c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</row>
    <row r="154" spans="1:56" ht="27" customHeight="1" x14ac:dyDescent="0.2">
      <c r="A154" s="10" t="s">
        <v>357</v>
      </c>
      <c r="B154" s="11">
        <v>2113</v>
      </c>
      <c r="C154" s="2">
        <v>1018.87823161699</v>
      </c>
      <c r="D154" s="2">
        <v>16.537966666666598</v>
      </c>
      <c r="E154" s="2">
        <v>1</v>
      </c>
      <c r="F154" s="12" t="s">
        <v>641</v>
      </c>
      <c r="G154" s="12" t="s">
        <v>359</v>
      </c>
      <c r="H154" s="5"/>
      <c r="I154" s="11">
        <v>659</v>
      </c>
      <c r="J154" s="11">
        <v>427</v>
      </c>
      <c r="K154" s="11">
        <v>858</v>
      </c>
      <c r="L154" s="11">
        <v>634</v>
      </c>
      <c r="M154" s="11">
        <v>563</v>
      </c>
      <c r="N154" s="11">
        <v>786</v>
      </c>
      <c r="O154" s="11">
        <v>865</v>
      </c>
      <c r="P154" s="11"/>
      <c r="Q154" s="11">
        <v>0</v>
      </c>
      <c r="R154" s="11">
        <v>196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/>
      <c r="Y154" s="11">
        <v>0</v>
      </c>
      <c r="Z154" s="11">
        <v>351</v>
      </c>
      <c r="AA154" s="11">
        <v>320</v>
      </c>
      <c r="AB154" s="11">
        <v>236</v>
      </c>
      <c r="AC154" s="17">
        <f t="shared" si="33"/>
        <v>0.19680496232411654</v>
      </c>
      <c r="AD154" s="11">
        <f t="shared" si="34"/>
        <v>684.57142857142856</v>
      </c>
      <c r="AE154" s="11">
        <f t="shared" si="35"/>
        <v>28</v>
      </c>
      <c r="AF154" s="28">
        <f t="shared" si="28"/>
        <v>4.0901502504173626E-2</v>
      </c>
      <c r="AG154" s="42">
        <f t="shared" si="26"/>
        <v>7.1850599064342891E-6</v>
      </c>
      <c r="AH154" s="14" t="str">
        <f t="shared" si="36"/>
        <v>***</v>
      </c>
      <c r="AI154" s="11">
        <f t="shared" si="29"/>
        <v>7</v>
      </c>
      <c r="AJ154" s="11">
        <f t="shared" si="30"/>
        <v>7</v>
      </c>
      <c r="AK154" s="11">
        <f t="shared" si="27"/>
        <v>2.1452536006353806E-4</v>
      </c>
      <c r="AL154" s="42">
        <f t="shared" si="31"/>
        <v>2.1452536006353806E-4</v>
      </c>
      <c r="AM154" s="14" t="str">
        <f t="shared" si="32"/>
        <v>**</v>
      </c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</row>
    <row r="155" spans="1:56" ht="27" customHeight="1" x14ac:dyDescent="0.2">
      <c r="A155" s="10" t="s">
        <v>357</v>
      </c>
      <c r="B155" s="11">
        <v>2428</v>
      </c>
      <c r="C155" s="2">
        <v>940.73796284116997</v>
      </c>
      <c r="D155" s="2">
        <v>14.5352041666667</v>
      </c>
      <c r="E155" s="2">
        <v>1</v>
      </c>
      <c r="F155" s="12" t="s">
        <v>486</v>
      </c>
      <c r="G155" s="12" t="s">
        <v>359</v>
      </c>
      <c r="H155" s="5"/>
      <c r="I155" s="11">
        <v>457</v>
      </c>
      <c r="J155" s="11">
        <v>402</v>
      </c>
      <c r="K155" s="11">
        <v>704</v>
      </c>
      <c r="L155" s="11">
        <v>461</v>
      </c>
      <c r="M155" s="11">
        <v>380</v>
      </c>
      <c r="N155" s="11">
        <v>350</v>
      </c>
      <c r="O155" s="11">
        <v>935</v>
      </c>
      <c r="P155" s="11"/>
      <c r="Q155" s="11">
        <v>402</v>
      </c>
      <c r="R155" s="11">
        <v>673</v>
      </c>
      <c r="S155" s="11">
        <v>281</v>
      </c>
      <c r="T155" s="11">
        <v>565</v>
      </c>
      <c r="U155" s="11">
        <v>269</v>
      </c>
      <c r="V155" s="11">
        <v>724</v>
      </c>
      <c r="W155" s="11">
        <v>669</v>
      </c>
      <c r="X155" s="11"/>
      <c r="Y155" s="11">
        <v>0</v>
      </c>
      <c r="Z155" s="11">
        <v>465</v>
      </c>
      <c r="AA155" s="11">
        <v>555</v>
      </c>
      <c r="AB155" s="11">
        <v>434</v>
      </c>
      <c r="AC155" s="17">
        <f t="shared" si="33"/>
        <v>0.1296802144117313</v>
      </c>
      <c r="AD155" s="11">
        <f t="shared" si="34"/>
        <v>527</v>
      </c>
      <c r="AE155" s="11">
        <f t="shared" si="35"/>
        <v>511.85714285714283</v>
      </c>
      <c r="AF155" s="28">
        <f t="shared" si="28"/>
        <v>0.97126592572512871</v>
      </c>
      <c r="AG155" s="42">
        <f t="shared" si="26"/>
        <v>0.89177891001286669</v>
      </c>
      <c r="AH155" s="14" t="str">
        <f t="shared" si="36"/>
        <v>-</v>
      </c>
      <c r="AI155" s="11">
        <f t="shared" si="29"/>
        <v>207</v>
      </c>
      <c r="AJ155" s="11">
        <f t="shared" si="30"/>
        <v>207</v>
      </c>
      <c r="AK155" s="11">
        <f t="shared" si="27"/>
        <v>0.90039513136564808</v>
      </c>
      <c r="AL155" s="42">
        <f t="shared" si="31"/>
        <v>0.90039513136564808</v>
      </c>
      <c r="AM155" s="14" t="str">
        <f t="shared" si="32"/>
        <v/>
      </c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</row>
    <row r="156" spans="1:56" ht="27" customHeight="1" x14ac:dyDescent="0.2">
      <c r="A156" s="10" t="s">
        <v>357</v>
      </c>
      <c r="B156" s="11">
        <v>2446</v>
      </c>
      <c r="C156" s="2">
        <v>906.75226253482504</v>
      </c>
      <c r="D156" s="2">
        <v>15.049276388888799</v>
      </c>
      <c r="E156" s="2">
        <v>1</v>
      </c>
      <c r="F156" s="12" t="s">
        <v>466</v>
      </c>
      <c r="G156" s="12" t="s">
        <v>359</v>
      </c>
      <c r="H156" s="5"/>
      <c r="I156" s="11">
        <v>713</v>
      </c>
      <c r="J156" s="11">
        <v>483</v>
      </c>
      <c r="K156" s="11">
        <v>572</v>
      </c>
      <c r="L156" s="11">
        <v>384</v>
      </c>
      <c r="M156" s="11">
        <v>325</v>
      </c>
      <c r="N156" s="11">
        <v>685</v>
      </c>
      <c r="O156" s="11">
        <v>1352</v>
      </c>
      <c r="P156" s="11"/>
      <c r="Q156" s="11">
        <v>95</v>
      </c>
      <c r="R156" s="11">
        <v>469</v>
      </c>
      <c r="S156" s="11">
        <v>75</v>
      </c>
      <c r="T156" s="11">
        <v>144</v>
      </c>
      <c r="U156" s="11">
        <v>217</v>
      </c>
      <c r="V156" s="11">
        <v>365</v>
      </c>
      <c r="W156" s="11">
        <v>367</v>
      </c>
      <c r="X156" s="11"/>
      <c r="Y156" s="11">
        <v>0</v>
      </c>
      <c r="Z156" s="11">
        <v>605</v>
      </c>
      <c r="AA156" s="11">
        <v>469</v>
      </c>
      <c r="AB156" s="11">
        <v>370</v>
      </c>
      <c r="AC156" s="17">
        <f t="shared" si="33"/>
        <v>0.24512007393461924</v>
      </c>
      <c r="AD156" s="11">
        <f t="shared" si="34"/>
        <v>644.85714285714289</v>
      </c>
      <c r="AE156" s="11">
        <f t="shared" si="35"/>
        <v>247.42857142857142</v>
      </c>
      <c r="AF156" s="28">
        <f t="shared" si="28"/>
        <v>0.38369517058041647</v>
      </c>
      <c r="AG156" s="42">
        <f t="shared" si="26"/>
        <v>2.2574327425341031E-2</v>
      </c>
      <c r="AH156" s="14" t="str">
        <f t="shared" si="36"/>
        <v>*</v>
      </c>
      <c r="AI156" s="11">
        <f t="shared" si="29"/>
        <v>139</v>
      </c>
      <c r="AJ156" s="11">
        <f t="shared" si="30"/>
        <v>139</v>
      </c>
      <c r="AK156" s="11">
        <f t="shared" si="27"/>
        <v>3.3942693754649464E-2</v>
      </c>
      <c r="AL156" s="42">
        <f t="shared" si="31"/>
        <v>3.3942693754649464E-2</v>
      </c>
      <c r="AM156" s="14" t="str">
        <f t="shared" si="32"/>
        <v>**</v>
      </c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</row>
    <row r="157" spans="1:56" ht="27" customHeight="1" x14ac:dyDescent="0.2">
      <c r="A157" s="10" t="s">
        <v>357</v>
      </c>
      <c r="B157" s="11">
        <v>2502</v>
      </c>
      <c r="C157" s="2">
        <v>1022.8114618665099</v>
      </c>
      <c r="D157" s="2">
        <v>15.468030555555501</v>
      </c>
      <c r="E157" s="2">
        <v>1</v>
      </c>
      <c r="F157" s="12" t="s">
        <v>645</v>
      </c>
      <c r="G157" s="12" t="s">
        <v>359</v>
      </c>
      <c r="H157" s="5"/>
      <c r="I157" s="11">
        <v>463</v>
      </c>
      <c r="J157" s="11">
        <v>555</v>
      </c>
      <c r="K157" s="11">
        <v>721</v>
      </c>
      <c r="L157" s="11">
        <v>559</v>
      </c>
      <c r="M157" s="11">
        <v>454</v>
      </c>
      <c r="N157" s="11">
        <v>845</v>
      </c>
      <c r="O157" s="11">
        <v>892</v>
      </c>
      <c r="P157" s="11"/>
      <c r="Q157" s="11">
        <v>187</v>
      </c>
      <c r="R157" s="11">
        <v>692</v>
      </c>
      <c r="S157" s="11">
        <v>238</v>
      </c>
      <c r="T157" s="11">
        <v>250</v>
      </c>
      <c r="U157" s="11">
        <v>181</v>
      </c>
      <c r="V157" s="11">
        <v>330</v>
      </c>
      <c r="W157" s="11">
        <v>389</v>
      </c>
      <c r="X157" s="11"/>
      <c r="Y157" s="11">
        <v>0</v>
      </c>
      <c r="Z157" s="11">
        <v>375</v>
      </c>
      <c r="AA157" s="11">
        <v>362</v>
      </c>
      <c r="AB157" s="11">
        <v>448</v>
      </c>
      <c r="AC157" s="17">
        <f t="shared" si="33"/>
        <v>0.11736027328100515</v>
      </c>
      <c r="AD157" s="11">
        <f t="shared" si="34"/>
        <v>641.28571428571433</v>
      </c>
      <c r="AE157" s="11">
        <f t="shared" si="35"/>
        <v>323.85714285714283</v>
      </c>
      <c r="AF157" s="28">
        <f t="shared" si="28"/>
        <v>0.50501225217197587</v>
      </c>
      <c r="AG157" s="42">
        <f t="shared" si="26"/>
        <v>6.09174147657512E-3</v>
      </c>
      <c r="AH157" s="14" t="str">
        <f t="shared" si="36"/>
        <v>**</v>
      </c>
      <c r="AI157" s="11">
        <f t="shared" si="29"/>
        <v>109</v>
      </c>
      <c r="AJ157" s="11">
        <f t="shared" si="30"/>
        <v>109</v>
      </c>
      <c r="AK157" s="11">
        <f t="shared" si="27"/>
        <v>1.1680495124809174E-2</v>
      </c>
      <c r="AL157" s="42">
        <f t="shared" si="31"/>
        <v>1.1680495124809174E-2</v>
      </c>
      <c r="AM157" s="14" t="str">
        <f t="shared" si="32"/>
        <v>**</v>
      </c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</row>
    <row r="158" spans="1:56" ht="27" customHeight="1" x14ac:dyDescent="0.2">
      <c r="A158" s="10" t="s">
        <v>357</v>
      </c>
      <c r="B158" s="11">
        <v>2553</v>
      </c>
      <c r="C158" s="2">
        <v>840.70397333772701</v>
      </c>
      <c r="D158" s="2">
        <v>14.459073611111</v>
      </c>
      <c r="E158" s="2">
        <v>1</v>
      </c>
      <c r="F158" s="12" t="s">
        <v>648</v>
      </c>
      <c r="G158" s="12" t="s">
        <v>359</v>
      </c>
      <c r="H158" s="5"/>
      <c r="I158" s="11">
        <v>369</v>
      </c>
      <c r="J158" s="11">
        <v>383</v>
      </c>
      <c r="K158" s="11">
        <v>541</v>
      </c>
      <c r="L158" s="11">
        <v>676</v>
      </c>
      <c r="M158" s="11">
        <v>543</v>
      </c>
      <c r="N158" s="11">
        <v>503</v>
      </c>
      <c r="O158" s="11">
        <v>648</v>
      </c>
      <c r="P158" s="11"/>
      <c r="Q158" s="11">
        <v>149</v>
      </c>
      <c r="R158" s="11">
        <v>341</v>
      </c>
      <c r="S158" s="11">
        <v>49</v>
      </c>
      <c r="T158" s="11">
        <v>179</v>
      </c>
      <c r="U158" s="11">
        <v>0</v>
      </c>
      <c r="V158" s="11">
        <v>262</v>
      </c>
      <c r="W158" s="11">
        <v>163</v>
      </c>
      <c r="X158" s="11"/>
      <c r="Y158" s="11">
        <v>0</v>
      </c>
      <c r="Z158" s="11">
        <v>321</v>
      </c>
      <c r="AA158" s="11">
        <v>356</v>
      </c>
      <c r="AB158" s="11">
        <v>309</v>
      </c>
      <c r="AC158" s="17">
        <f t="shared" si="33"/>
        <v>7.4300011794695184E-2</v>
      </c>
      <c r="AD158" s="11">
        <f t="shared" si="34"/>
        <v>523.28571428571433</v>
      </c>
      <c r="AE158" s="11">
        <f t="shared" si="35"/>
        <v>163.28571428571428</v>
      </c>
      <c r="AF158" s="28">
        <f t="shared" si="28"/>
        <v>0.31203931203931201</v>
      </c>
      <c r="AG158" s="42">
        <f t="shared" si="26"/>
        <v>9.2544828194632232E-5</v>
      </c>
      <c r="AH158" s="14" t="str">
        <f t="shared" si="36"/>
        <v>***</v>
      </c>
      <c r="AI158" s="11">
        <f t="shared" si="29"/>
        <v>37</v>
      </c>
      <c r="AJ158" s="11">
        <f t="shared" si="30"/>
        <v>37</v>
      </c>
      <c r="AK158" s="11">
        <f t="shared" si="27"/>
        <v>5.2275321872103069E-4</v>
      </c>
      <c r="AL158" s="42">
        <f t="shared" si="31"/>
        <v>5.1169906818371617E-4</v>
      </c>
      <c r="AM158" s="14" t="str">
        <f t="shared" si="32"/>
        <v>**</v>
      </c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</row>
    <row r="159" spans="1:56" ht="27" customHeight="1" x14ac:dyDescent="0.2">
      <c r="A159" s="10" t="s">
        <v>357</v>
      </c>
      <c r="B159" s="11">
        <v>3663</v>
      </c>
      <c r="C159" s="2">
        <v>864.70478225980503</v>
      </c>
      <c r="D159" s="2">
        <v>14.2304071428571</v>
      </c>
      <c r="E159" s="2">
        <v>1</v>
      </c>
      <c r="F159" s="12" t="s">
        <v>656</v>
      </c>
      <c r="G159" s="12" t="s">
        <v>359</v>
      </c>
      <c r="H159" s="5"/>
      <c r="I159" s="11">
        <v>150</v>
      </c>
      <c r="J159" s="11">
        <v>202</v>
      </c>
      <c r="K159" s="11">
        <v>187</v>
      </c>
      <c r="L159" s="11">
        <v>153</v>
      </c>
      <c r="M159" s="11">
        <v>118</v>
      </c>
      <c r="N159" s="11">
        <v>284</v>
      </c>
      <c r="O159" s="11">
        <v>422</v>
      </c>
      <c r="P159" s="11"/>
      <c r="Q159" s="11">
        <v>124</v>
      </c>
      <c r="R159" s="11">
        <v>65</v>
      </c>
      <c r="S159" s="11">
        <v>92</v>
      </c>
      <c r="T159" s="11">
        <v>67</v>
      </c>
      <c r="U159" s="11">
        <v>138</v>
      </c>
      <c r="V159" s="11">
        <v>100</v>
      </c>
      <c r="W159" s="11">
        <v>21</v>
      </c>
      <c r="X159" s="11"/>
      <c r="Y159" s="11">
        <v>0</v>
      </c>
      <c r="Z159" s="11">
        <v>88</v>
      </c>
      <c r="AA159" s="11">
        <v>96</v>
      </c>
      <c r="AB159" s="11">
        <v>101</v>
      </c>
      <c r="AC159" s="17">
        <f t="shared" si="33"/>
        <v>6.9025668676863161E-2</v>
      </c>
      <c r="AD159" s="11">
        <f t="shared" si="34"/>
        <v>216.57142857142858</v>
      </c>
      <c r="AE159" s="11">
        <f t="shared" si="35"/>
        <v>86.714285714285708</v>
      </c>
      <c r="AF159" s="28">
        <f t="shared" si="28"/>
        <v>0.40039577836411605</v>
      </c>
      <c r="AG159" s="42">
        <f t="shared" si="26"/>
        <v>1.6273752890788876E-2</v>
      </c>
      <c r="AH159" s="14" t="str">
        <f t="shared" si="36"/>
        <v>*</v>
      </c>
      <c r="AI159" s="11">
        <f t="shared" si="29"/>
        <v>135</v>
      </c>
      <c r="AJ159" s="11">
        <f t="shared" si="30"/>
        <v>135</v>
      </c>
      <c r="AK159" s="11">
        <f t="shared" si="27"/>
        <v>2.5194180401295372E-2</v>
      </c>
      <c r="AL159" s="42">
        <f t="shared" si="31"/>
        <v>2.5194180401295372E-2</v>
      </c>
      <c r="AM159" s="14" t="str">
        <f t="shared" si="32"/>
        <v>**</v>
      </c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</row>
    <row r="160" spans="1:56" ht="27" customHeight="1" x14ac:dyDescent="0.2">
      <c r="A160" s="10" t="s">
        <v>357</v>
      </c>
      <c r="B160" s="11">
        <v>3744</v>
      </c>
      <c r="C160" s="2">
        <v>1123.03360783428</v>
      </c>
      <c r="D160" s="2">
        <v>17.584661904761798</v>
      </c>
      <c r="E160" s="2">
        <v>1</v>
      </c>
      <c r="F160" s="12" t="s">
        <v>497</v>
      </c>
      <c r="G160" s="12" t="s">
        <v>359</v>
      </c>
      <c r="H160" s="5"/>
      <c r="I160" s="11">
        <v>298</v>
      </c>
      <c r="J160" s="11">
        <v>225</v>
      </c>
      <c r="K160" s="11">
        <v>445</v>
      </c>
      <c r="L160" s="11">
        <v>412</v>
      </c>
      <c r="M160" s="11">
        <v>320</v>
      </c>
      <c r="N160" s="11">
        <v>288</v>
      </c>
      <c r="O160" s="11">
        <v>322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/>
      <c r="Y160" s="11">
        <v>0</v>
      </c>
      <c r="Z160" s="11">
        <v>151</v>
      </c>
      <c r="AA160" s="11">
        <v>204</v>
      </c>
      <c r="AB160" s="11">
        <v>135</v>
      </c>
      <c r="AC160" s="17">
        <f t="shared" si="33"/>
        <v>0.22111564458419367</v>
      </c>
      <c r="AD160" s="11">
        <f t="shared" si="34"/>
        <v>330</v>
      </c>
      <c r="AE160" s="11">
        <f t="shared" si="35"/>
        <v>0</v>
      </c>
      <c r="AF160" s="28">
        <f t="shared" si="28"/>
        <v>0</v>
      </c>
      <c r="AG160" s="42">
        <f t="shared" si="26"/>
        <v>2.4569890872938053E-5</v>
      </c>
      <c r="AH160" s="14" t="str">
        <f t="shared" si="36"/>
        <v>***</v>
      </c>
      <c r="AI160" s="11">
        <f t="shared" si="29"/>
        <v>15</v>
      </c>
      <c r="AJ160" s="11">
        <f t="shared" si="30"/>
        <v>15</v>
      </c>
      <c r="AK160" s="11">
        <f t="shared" si="27"/>
        <v>3.4234047949627017E-4</v>
      </c>
      <c r="AL160" s="42">
        <f t="shared" si="31"/>
        <v>3.180006068282448E-4</v>
      </c>
      <c r="AM160" s="14" t="str">
        <f t="shared" si="32"/>
        <v>**</v>
      </c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</row>
    <row r="161" spans="1:56" ht="27" customHeight="1" x14ac:dyDescent="0.2">
      <c r="A161" s="10" t="s">
        <v>357</v>
      </c>
      <c r="B161" s="11">
        <v>4769</v>
      </c>
      <c r="C161" s="2">
        <v>1034.91277254631</v>
      </c>
      <c r="D161" s="2">
        <v>16.890350000000002</v>
      </c>
      <c r="E161" s="2">
        <v>1</v>
      </c>
      <c r="F161" s="12" t="s">
        <v>659</v>
      </c>
      <c r="G161" s="12" t="s">
        <v>359</v>
      </c>
      <c r="H161" s="5"/>
      <c r="I161" s="11">
        <v>791</v>
      </c>
      <c r="J161" s="11">
        <v>663</v>
      </c>
      <c r="K161" s="11">
        <v>1567</v>
      </c>
      <c r="L161" s="11">
        <v>981</v>
      </c>
      <c r="M161" s="11">
        <v>1115</v>
      </c>
      <c r="N161" s="11">
        <v>839</v>
      </c>
      <c r="O161" s="11">
        <v>1458</v>
      </c>
      <c r="P161" s="11"/>
      <c r="Q161" s="11">
        <v>132</v>
      </c>
      <c r="R161" s="11">
        <v>399</v>
      </c>
      <c r="S161" s="11">
        <v>104</v>
      </c>
      <c r="T161" s="11">
        <v>253</v>
      </c>
      <c r="U161" s="11">
        <v>295</v>
      </c>
      <c r="V161" s="11">
        <v>262</v>
      </c>
      <c r="W161" s="11">
        <v>322</v>
      </c>
      <c r="X161" s="11"/>
      <c r="Y161" s="11">
        <v>0</v>
      </c>
      <c r="Z161" s="11">
        <v>658</v>
      </c>
      <c r="AA161" s="11">
        <v>598</v>
      </c>
      <c r="AB161" s="11">
        <v>697</v>
      </c>
      <c r="AC161" s="17">
        <f t="shared" si="33"/>
        <v>7.6604962456477313E-2</v>
      </c>
      <c r="AD161" s="11">
        <f t="shared" si="34"/>
        <v>1059.1428571428571</v>
      </c>
      <c r="AE161" s="11">
        <f t="shared" si="35"/>
        <v>252.42857142857142</v>
      </c>
      <c r="AF161" s="28">
        <f t="shared" si="28"/>
        <v>0.23833288373347719</v>
      </c>
      <c r="AG161" s="42">
        <f t="shared" si="26"/>
        <v>5.3371169340642828E-4</v>
      </c>
      <c r="AH161" s="14" t="str">
        <f t="shared" si="36"/>
        <v>***</v>
      </c>
      <c r="AI161" s="11">
        <f t="shared" si="29"/>
        <v>73</v>
      </c>
      <c r="AJ161" s="11">
        <f t="shared" si="30"/>
        <v>73</v>
      </c>
      <c r="AK161" s="11">
        <f t="shared" si="27"/>
        <v>1.528023889341692E-3</v>
      </c>
      <c r="AL161" s="42">
        <f t="shared" si="31"/>
        <v>1.528023889341692E-3</v>
      </c>
      <c r="AM161" s="14" t="str">
        <f t="shared" si="32"/>
        <v>**</v>
      </c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</row>
    <row r="162" spans="1:56" ht="27" customHeight="1" x14ac:dyDescent="0.2">
      <c r="A162" s="10" t="s">
        <v>357</v>
      </c>
      <c r="B162" s="11">
        <v>4902</v>
      </c>
      <c r="C162" s="2">
        <v>940.73645102539604</v>
      </c>
      <c r="D162" s="2">
        <v>14.1834500000001</v>
      </c>
      <c r="E162" s="2">
        <v>1</v>
      </c>
      <c r="F162" s="12" t="s">
        <v>660</v>
      </c>
      <c r="G162" s="12" t="s">
        <v>359</v>
      </c>
      <c r="H162" s="5"/>
      <c r="I162" s="11">
        <v>297</v>
      </c>
      <c r="J162" s="11">
        <v>146</v>
      </c>
      <c r="K162" s="11">
        <v>396</v>
      </c>
      <c r="L162" s="11">
        <v>312</v>
      </c>
      <c r="M162" s="11">
        <v>259</v>
      </c>
      <c r="N162" s="11">
        <v>314</v>
      </c>
      <c r="O162" s="11">
        <v>358</v>
      </c>
      <c r="P162" s="11"/>
      <c r="Q162" s="11">
        <v>109</v>
      </c>
      <c r="R162" s="11">
        <v>222</v>
      </c>
      <c r="S162" s="11">
        <v>102</v>
      </c>
      <c r="T162" s="11">
        <v>216</v>
      </c>
      <c r="U162" s="11">
        <v>195</v>
      </c>
      <c r="V162" s="11">
        <v>182</v>
      </c>
      <c r="W162" s="11">
        <v>181</v>
      </c>
      <c r="X162" s="11"/>
      <c r="Y162" s="11">
        <v>0</v>
      </c>
      <c r="Z162" s="11">
        <v>245</v>
      </c>
      <c r="AA162" s="11">
        <v>217</v>
      </c>
      <c r="AB162" s="11">
        <v>171</v>
      </c>
      <c r="AC162" s="17">
        <f t="shared" si="33"/>
        <v>0.17707622457127398</v>
      </c>
      <c r="AD162" s="11">
        <f t="shared" si="34"/>
        <v>297.42857142857144</v>
      </c>
      <c r="AE162" s="11">
        <f t="shared" si="35"/>
        <v>172.42857142857142</v>
      </c>
      <c r="AF162" s="28">
        <f t="shared" si="28"/>
        <v>0.57973102785782893</v>
      </c>
      <c r="AG162" s="42">
        <f t="shared" si="26"/>
        <v>5.4401543720568714E-3</v>
      </c>
      <c r="AH162" s="14" t="str">
        <f t="shared" si="36"/>
        <v>**</v>
      </c>
      <c r="AI162" s="11">
        <f t="shared" si="29"/>
        <v>107</v>
      </c>
      <c r="AJ162" s="11">
        <f t="shared" si="30"/>
        <v>107</v>
      </c>
      <c r="AK162" s="11">
        <f t="shared" si="27"/>
        <v>1.062609592298959E-2</v>
      </c>
      <c r="AL162" s="42">
        <f t="shared" si="31"/>
        <v>1.062609592298959E-2</v>
      </c>
      <c r="AM162" s="14" t="str">
        <f t="shared" si="32"/>
        <v>**</v>
      </c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</row>
    <row r="163" spans="1:56" ht="27" customHeight="1" x14ac:dyDescent="0.2">
      <c r="A163" s="10" t="s">
        <v>357</v>
      </c>
      <c r="B163" s="11">
        <v>6079</v>
      </c>
      <c r="C163" s="2">
        <v>1209.1391893023399</v>
      </c>
      <c r="D163" s="2">
        <v>18.115466666666599</v>
      </c>
      <c r="E163" s="2">
        <v>1</v>
      </c>
      <c r="F163" s="12" t="s">
        <v>661</v>
      </c>
      <c r="G163" s="12" t="s">
        <v>359</v>
      </c>
      <c r="H163" s="5"/>
      <c r="I163" s="11">
        <v>0</v>
      </c>
      <c r="J163" s="11">
        <v>250</v>
      </c>
      <c r="K163" s="11">
        <v>235</v>
      </c>
      <c r="L163" s="11">
        <v>161</v>
      </c>
      <c r="M163" s="11">
        <v>204</v>
      </c>
      <c r="N163" s="11">
        <v>201</v>
      </c>
      <c r="O163" s="11">
        <v>213</v>
      </c>
      <c r="P163" s="11"/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/>
      <c r="Y163" s="11">
        <v>0</v>
      </c>
      <c r="Z163" s="11">
        <v>0</v>
      </c>
      <c r="AA163" s="11">
        <v>0</v>
      </c>
      <c r="AB163" s="11">
        <v>0</v>
      </c>
      <c r="AC163" s="17">
        <f t="shared" si="33"/>
        <v>0</v>
      </c>
      <c r="AD163" s="11">
        <f t="shared" si="34"/>
        <v>180.57142857142858</v>
      </c>
      <c r="AE163" s="11">
        <f t="shared" si="35"/>
        <v>0</v>
      </c>
      <c r="AF163" s="28">
        <f t="shared" si="28"/>
        <v>0</v>
      </c>
      <c r="AG163" s="42">
        <f t="shared" si="26"/>
        <v>1.3102797706452832E-3</v>
      </c>
      <c r="AH163" s="14" t="str">
        <f t="shared" si="36"/>
        <v>**</v>
      </c>
      <c r="AI163" s="11">
        <f t="shared" si="29"/>
        <v>87</v>
      </c>
      <c r="AJ163" s="11">
        <f t="shared" si="30"/>
        <v>87</v>
      </c>
      <c r="AK163" s="11">
        <f t="shared" si="27"/>
        <v>3.147683586952462E-3</v>
      </c>
      <c r="AL163" s="42">
        <f t="shared" si="31"/>
        <v>3.1136706431699693E-3</v>
      </c>
      <c r="AM163" s="14" t="str">
        <f t="shared" si="32"/>
        <v>**</v>
      </c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</row>
    <row r="164" spans="1:56" ht="27" customHeight="1" x14ac:dyDescent="0.2">
      <c r="A164" s="10" t="s">
        <v>357</v>
      </c>
      <c r="B164" s="11">
        <v>8794</v>
      </c>
      <c r="C164" s="2">
        <v>764.67628145447304</v>
      </c>
      <c r="D164" s="2">
        <v>13.786691666666901</v>
      </c>
      <c r="E164" s="2">
        <v>1</v>
      </c>
      <c r="F164" s="12" t="s">
        <v>662</v>
      </c>
      <c r="G164" s="12" t="s">
        <v>359</v>
      </c>
      <c r="H164" s="5"/>
      <c r="I164" s="11">
        <v>110</v>
      </c>
      <c r="J164" s="11">
        <v>58</v>
      </c>
      <c r="K164" s="11">
        <v>159</v>
      </c>
      <c r="L164" s="11">
        <v>191</v>
      </c>
      <c r="M164" s="11">
        <v>109</v>
      </c>
      <c r="N164" s="11">
        <v>158</v>
      </c>
      <c r="O164" s="11">
        <v>138</v>
      </c>
      <c r="P164" s="11"/>
      <c r="Q164" s="11">
        <v>53</v>
      </c>
      <c r="R164" s="11">
        <v>137</v>
      </c>
      <c r="S164" s="11">
        <v>53</v>
      </c>
      <c r="T164" s="11">
        <v>0</v>
      </c>
      <c r="U164" s="11">
        <v>0</v>
      </c>
      <c r="V164" s="11">
        <v>30</v>
      </c>
      <c r="W164" s="11">
        <v>84</v>
      </c>
      <c r="X164" s="11"/>
      <c r="Y164" s="11">
        <v>0</v>
      </c>
      <c r="Z164" s="11">
        <v>76</v>
      </c>
      <c r="AA164" s="11">
        <v>87</v>
      </c>
      <c r="AB164" s="11">
        <v>89</v>
      </c>
      <c r="AC164" s="17">
        <f t="shared" si="33"/>
        <v>8.3333333333333329E-2</v>
      </c>
      <c r="AD164" s="11">
        <f t="shared" si="34"/>
        <v>131.85714285714286</v>
      </c>
      <c r="AE164" s="11">
        <f t="shared" si="35"/>
        <v>51</v>
      </c>
      <c r="AF164" s="28">
        <f t="shared" si="28"/>
        <v>0.38678223185265437</v>
      </c>
      <c r="AG164" s="42">
        <f t="shared" si="26"/>
        <v>6.6908710143995884E-3</v>
      </c>
      <c r="AH164" s="14" t="str">
        <f t="shared" si="36"/>
        <v>**</v>
      </c>
      <c r="AI164" s="11">
        <f t="shared" si="29"/>
        <v>112</v>
      </c>
      <c r="AJ164" s="11">
        <f t="shared" si="30"/>
        <v>112</v>
      </c>
      <c r="AK164" s="11">
        <f t="shared" si="27"/>
        <v>1.2485643232227802E-2</v>
      </c>
      <c r="AL164" s="42">
        <f t="shared" si="31"/>
        <v>1.2421705543977445E-2</v>
      </c>
      <c r="AM164" s="14" t="str">
        <f t="shared" si="32"/>
        <v>**</v>
      </c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</row>
    <row r="165" spans="1:56" ht="27" customHeight="1" x14ac:dyDescent="0.2">
      <c r="A165" s="10" t="s">
        <v>357</v>
      </c>
      <c r="B165" s="11">
        <v>760</v>
      </c>
      <c r="C165" s="2">
        <v>908.80306307866897</v>
      </c>
      <c r="D165" s="2">
        <v>16.189449999999798</v>
      </c>
      <c r="E165" s="2">
        <v>1</v>
      </c>
      <c r="F165" s="12" t="s">
        <v>616</v>
      </c>
      <c r="G165" s="12" t="s">
        <v>465</v>
      </c>
      <c r="H165" s="5"/>
      <c r="I165" s="11">
        <v>2534</v>
      </c>
      <c r="J165" s="11">
        <v>1707</v>
      </c>
      <c r="K165" s="11">
        <v>2777</v>
      </c>
      <c r="L165" s="11">
        <v>1541</v>
      </c>
      <c r="M165" s="11">
        <v>1834</v>
      </c>
      <c r="N165" s="11">
        <v>3236</v>
      </c>
      <c r="O165" s="11">
        <v>2903</v>
      </c>
      <c r="P165" s="11"/>
      <c r="Q165" s="11">
        <v>461</v>
      </c>
      <c r="R165" s="11">
        <v>1372</v>
      </c>
      <c r="S165" s="11">
        <v>440</v>
      </c>
      <c r="T165" s="11">
        <v>686</v>
      </c>
      <c r="U165" s="11">
        <v>855</v>
      </c>
      <c r="V165" s="11">
        <v>731</v>
      </c>
      <c r="W165" s="11">
        <v>1230</v>
      </c>
      <c r="X165" s="11"/>
      <c r="Y165" s="11">
        <v>0</v>
      </c>
      <c r="Z165" s="11">
        <v>1391</v>
      </c>
      <c r="AA165" s="11">
        <v>1526</v>
      </c>
      <c r="AB165" s="11">
        <v>1261</v>
      </c>
      <c r="AC165" s="17">
        <f t="shared" si="33"/>
        <v>9.5146860748209466E-2</v>
      </c>
      <c r="AD165" s="11">
        <f t="shared" si="34"/>
        <v>2361.7142857142858</v>
      </c>
      <c r="AE165" s="11">
        <f t="shared" si="35"/>
        <v>825</v>
      </c>
      <c r="AF165" s="28">
        <f t="shared" si="28"/>
        <v>0.34932252601016212</v>
      </c>
      <c r="AG165" s="42">
        <f t="shared" si="26"/>
        <v>4.0128267460632576E-4</v>
      </c>
      <c r="AH165" s="14" t="str">
        <f t="shared" si="36"/>
        <v>***</v>
      </c>
      <c r="AI165" s="11">
        <f t="shared" si="29"/>
        <v>67</v>
      </c>
      <c r="AJ165" s="11">
        <f t="shared" si="30"/>
        <v>67</v>
      </c>
      <c r="AK165" s="11">
        <f t="shared" si="27"/>
        <v>1.2517623730257028E-3</v>
      </c>
      <c r="AL165" s="42">
        <f t="shared" si="31"/>
        <v>1.2517623730257028E-3</v>
      </c>
      <c r="AM165" s="14" t="str">
        <f t="shared" si="32"/>
        <v>**</v>
      </c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</row>
    <row r="166" spans="1:56" ht="27" customHeight="1" x14ac:dyDescent="0.2">
      <c r="A166" s="10" t="s">
        <v>357</v>
      </c>
      <c r="B166" s="11">
        <v>1048</v>
      </c>
      <c r="C166" s="2">
        <v>936.83611339107597</v>
      </c>
      <c r="D166" s="2">
        <v>16.4969633333335</v>
      </c>
      <c r="E166" s="2">
        <v>1</v>
      </c>
      <c r="F166" s="12" t="s">
        <v>620</v>
      </c>
      <c r="G166" s="12" t="s">
        <v>465</v>
      </c>
      <c r="H166" s="5"/>
      <c r="I166" s="11">
        <v>1311</v>
      </c>
      <c r="J166" s="11">
        <v>1711</v>
      </c>
      <c r="K166" s="11">
        <v>1935</v>
      </c>
      <c r="L166" s="11">
        <v>1088</v>
      </c>
      <c r="M166" s="11">
        <v>1174</v>
      </c>
      <c r="N166" s="11">
        <v>1574</v>
      </c>
      <c r="O166" s="11">
        <v>2147</v>
      </c>
      <c r="P166" s="11"/>
      <c r="Q166" s="11">
        <v>274</v>
      </c>
      <c r="R166" s="11">
        <v>914</v>
      </c>
      <c r="S166" s="11">
        <v>303</v>
      </c>
      <c r="T166" s="11">
        <v>452</v>
      </c>
      <c r="U166" s="11">
        <v>378</v>
      </c>
      <c r="V166" s="11">
        <v>603</v>
      </c>
      <c r="W166" s="11">
        <v>628</v>
      </c>
      <c r="X166" s="11"/>
      <c r="Y166" s="11">
        <v>0</v>
      </c>
      <c r="Z166" s="11">
        <v>827</v>
      </c>
      <c r="AA166" s="11">
        <v>1075</v>
      </c>
      <c r="AB166" s="11">
        <v>738</v>
      </c>
      <c r="AC166" s="17">
        <f t="shared" si="33"/>
        <v>0.19845412380748945</v>
      </c>
      <c r="AD166" s="11">
        <f t="shared" si="34"/>
        <v>1562.8571428571429</v>
      </c>
      <c r="AE166" s="11">
        <f t="shared" si="35"/>
        <v>507.42857142857144</v>
      </c>
      <c r="AF166" s="28">
        <f t="shared" si="28"/>
        <v>0.32468007312614261</v>
      </c>
      <c r="AG166" s="42">
        <f t="shared" si="26"/>
        <v>1.3774203244537969E-4</v>
      </c>
      <c r="AH166" s="14" t="str">
        <f t="shared" si="36"/>
        <v>***</v>
      </c>
      <c r="AI166" s="11">
        <f t="shared" si="29"/>
        <v>47</v>
      </c>
      <c r="AJ166" s="11">
        <f t="shared" si="30"/>
        <v>47</v>
      </c>
      <c r="AK166" s="11">
        <f t="shared" si="27"/>
        <v>6.1251244215073102E-4</v>
      </c>
      <c r="AL166" s="42">
        <f t="shared" si="31"/>
        <v>6.1251244215073102E-4</v>
      </c>
      <c r="AM166" s="14" t="str">
        <f t="shared" si="32"/>
        <v>**</v>
      </c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</row>
    <row r="167" spans="1:56" ht="27" customHeight="1" x14ac:dyDescent="0.2">
      <c r="A167" s="10" t="s">
        <v>357</v>
      </c>
      <c r="B167" s="11">
        <v>1149</v>
      </c>
      <c r="C167" s="2">
        <v>882.79020872793501</v>
      </c>
      <c r="D167" s="2">
        <v>16.162842592592401</v>
      </c>
      <c r="E167" s="2">
        <v>1</v>
      </c>
      <c r="F167" s="12" t="s">
        <v>623</v>
      </c>
      <c r="G167" s="12" t="s">
        <v>465</v>
      </c>
      <c r="H167" s="5"/>
      <c r="I167" s="11">
        <v>1178</v>
      </c>
      <c r="J167" s="11">
        <v>772</v>
      </c>
      <c r="K167" s="11">
        <v>1723</v>
      </c>
      <c r="L167" s="11">
        <v>1063</v>
      </c>
      <c r="M167" s="11">
        <v>1064</v>
      </c>
      <c r="N167" s="11">
        <v>1702</v>
      </c>
      <c r="O167" s="11">
        <v>1884</v>
      </c>
      <c r="P167" s="11"/>
      <c r="Q167" s="11">
        <v>479</v>
      </c>
      <c r="R167" s="11">
        <v>960</v>
      </c>
      <c r="S167" s="11">
        <v>254</v>
      </c>
      <c r="T167" s="11">
        <v>497</v>
      </c>
      <c r="U167" s="11">
        <v>575</v>
      </c>
      <c r="V167" s="11">
        <v>582</v>
      </c>
      <c r="W167" s="11">
        <v>615</v>
      </c>
      <c r="X167" s="11"/>
      <c r="Y167" s="11">
        <v>0</v>
      </c>
      <c r="Z167" s="11">
        <v>989</v>
      </c>
      <c r="AA167" s="11">
        <v>882</v>
      </c>
      <c r="AB167" s="11">
        <v>645</v>
      </c>
      <c r="AC167" s="17">
        <f t="shared" si="33"/>
        <v>0.20991223616852187</v>
      </c>
      <c r="AD167" s="11">
        <f t="shared" si="34"/>
        <v>1340.8571428571429</v>
      </c>
      <c r="AE167" s="11">
        <f t="shared" si="35"/>
        <v>566</v>
      </c>
      <c r="AF167" s="28">
        <f t="shared" si="28"/>
        <v>0.4221180481568293</v>
      </c>
      <c r="AG167" s="42">
        <f t="shared" si="26"/>
        <v>1.9927872410011763E-3</v>
      </c>
      <c r="AH167" s="14" t="str">
        <f t="shared" si="36"/>
        <v>**</v>
      </c>
      <c r="AI167" s="11">
        <f t="shared" si="29"/>
        <v>91</v>
      </c>
      <c r="AJ167" s="11">
        <f t="shared" si="30"/>
        <v>91</v>
      </c>
      <c r="AK167" s="11">
        <f t="shared" si="27"/>
        <v>4.5768410260356683E-3</v>
      </c>
      <c r="AL167" s="42">
        <f t="shared" si="31"/>
        <v>4.5768410260356683E-3</v>
      </c>
      <c r="AM167" s="14" t="str">
        <f t="shared" si="32"/>
        <v>**</v>
      </c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</row>
    <row r="168" spans="1:56" ht="27" customHeight="1" x14ac:dyDescent="0.2">
      <c r="A168" s="10" t="s">
        <v>357</v>
      </c>
      <c r="B168" s="11">
        <v>1542</v>
      </c>
      <c r="C168" s="2">
        <v>910.82039498131803</v>
      </c>
      <c r="D168" s="2">
        <v>16.2830181818181</v>
      </c>
      <c r="E168" s="2">
        <v>1</v>
      </c>
      <c r="F168" s="12" t="s">
        <v>629</v>
      </c>
      <c r="G168" s="12" t="s">
        <v>465</v>
      </c>
      <c r="H168" s="5"/>
      <c r="I168" s="11">
        <v>981</v>
      </c>
      <c r="J168" s="11">
        <v>681</v>
      </c>
      <c r="K168" s="11">
        <v>1270</v>
      </c>
      <c r="L168" s="11">
        <v>712</v>
      </c>
      <c r="M168" s="11">
        <v>870</v>
      </c>
      <c r="N168" s="11">
        <v>1164</v>
      </c>
      <c r="O168" s="11">
        <v>1034</v>
      </c>
      <c r="P168" s="11"/>
      <c r="Q168" s="11">
        <v>167</v>
      </c>
      <c r="R168" s="11">
        <v>589</v>
      </c>
      <c r="S168" s="11">
        <v>198</v>
      </c>
      <c r="T168" s="11">
        <v>237</v>
      </c>
      <c r="U168" s="11">
        <v>321</v>
      </c>
      <c r="V168" s="11">
        <v>317</v>
      </c>
      <c r="W168" s="11">
        <v>567</v>
      </c>
      <c r="X168" s="11"/>
      <c r="Y168" s="11">
        <v>0</v>
      </c>
      <c r="Z168" s="11">
        <v>655</v>
      </c>
      <c r="AA168" s="11">
        <v>636</v>
      </c>
      <c r="AB168" s="11">
        <v>418</v>
      </c>
      <c r="AC168" s="17">
        <f t="shared" si="33"/>
        <v>0.23117078976977107</v>
      </c>
      <c r="AD168" s="11">
        <f t="shared" si="34"/>
        <v>958.85714285714289</v>
      </c>
      <c r="AE168" s="11">
        <f t="shared" si="35"/>
        <v>342.28571428571428</v>
      </c>
      <c r="AF168" s="28">
        <f t="shared" si="28"/>
        <v>0.35697258641239571</v>
      </c>
      <c r="AG168" s="42">
        <f t="shared" si="26"/>
        <v>9.9247063569776362E-5</v>
      </c>
      <c r="AH168" s="14" t="str">
        <f t="shared" si="36"/>
        <v>***</v>
      </c>
      <c r="AI168" s="11">
        <f t="shared" si="29"/>
        <v>40</v>
      </c>
      <c r="AJ168" s="11">
        <f t="shared" si="30"/>
        <v>40</v>
      </c>
      <c r="AK168" s="11">
        <f t="shared" si="27"/>
        <v>5.1856590715208145E-4</v>
      </c>
      <c r="AL168" s="42">
        <f t="shared" si="31"/>
        <v>5.1616895843263134E-4</v>
      </c>
      <c r="AM168" s="14" t="str">
        <f t="shared" si="32"/>
        <v>**</v>
      </c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</row>
    <row r="169" spans="1:56" ht="27" customHeight="1" x14ac:dyDescent="0.2">
      <c r="A169" s="10" t="s">
        <v>357</v>
      </c>
      <c r="B169" s="11">
        <v>1622</v>
      </c>
      <c r="C169" s="2">
        <v>836.80520754009603</v>
      </c>
      <c r="D169" s="2">
        <v>16.4795052083333</v>
      </c>
      <c r="E169" s="2">
        <v>1</v>
      </c>
      <c r="F169" s="12" t="s">
        <v>633</v>
      </c>
      <c r="G169" s="12" t="s">
        <v>465</v>
      </c>
      <c r="H169" s="5"/>
      <c r="I169" s="11">
        <v>1189</v>
      </c>
      <c r="J169" s="11">
        <v>863</v>
      </c>
      <c r="K169" s="11">
        <v>1192</v>
      </c>
      <c r="L169" s="11">
        <v>469</v>
      </c>
      <c r="M169" s="11">
        <v>939</v>
      </c>
      <c r="N169" s="11">
        <v>1030</v>
      </c>
      <c r="O169" s="11">
        <v>1079</v>
      </c>
      <c r="P169" s="11"/>
      <c r="Q169" s="11">
        <v>232</v>
      </c>
      <c r="R169" s="11">
        <v>644</v>
      </c>
      <c r="S169" s="11">
        <v>241</v>
      </c>
      <c r="T169" s="11">
        <v>358</v>
      </c>
      <c r="U169" s="11">
        <v>346</v>
      </c>
      <c r="V169" s="11">
        <v>289</v>
      </c>
      <c r="W169" s="11">
        <v>468</v>
      </c>
      <c r="X169" s="11"/>
      <c r="Y169" s="11">
        <v>113</v>
      </c>
      <c r="Z169" s="11">
        <v>739</v>
      </c>
      <c r="AA169" s="11">
        <v>621</v>
      </c>
      <c r="AB169" s="11">
        <v>481</v>
      </c>
      <c r="AC169" s="17">
        <f t="shared" si="33"/>
        <v>0.21046643585767694</v>
      </c>
      <c r="AD169" s="11">
        <f t="shared" si="34"/>
        <v>965.85714285714289</v>
      </c>
      <c r="AE169" s="11">
        <f t="shared" si="35"/>
        <v>368.28571428571428</v>
      </c>
      <c r="AF169" s="28">
        <f t="shared" si="28"/>
        <v>0.38130454074840997</v>
      </c>
      <c r="AG169" s="42">
        <f t="shared" si="26"/>
        <v>3.1487944399873573E-4</v>
      </c>
      <c r="AH169" s="14" t="str">
        <f t="shared" si="36"/>
        <v>***</v>
      </c>
      <c r="AI169" s="11">
        <f t="shared" si="29"/>
        <v>61</v>
      </c>
      <c r="AJ169" s="11">
        <f t="shared" si="30"/>
        <v>61</v>
      </c>
      <c r="AK169" s="11">
        <f t="shared" si="27"/>
        <v>1.0788492425530454E-3</v>
      </c>
      <c r="AL169" s="42">
        <f t="shared" si="31"/>
        <v>1.0788492425530454E-3</v>
      </c>
      <c r="AM169" s="14" t="str">
        <f t="shared" si="32"/>
        <v>**</v>
      </c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</row>
    <row r="170" spans="1:56" ht="27" customHeight="1" x14ac:dyDescent="0.2">
      <c r="A170" s="10" t="s">
        <v>357</v>
      </c>
      <c r="B170" s="11">
        <v>1638</v>
      </c>
      <c r="C170" s="2">
        <v>988.87027229222701</v>
      </c>
      <c r="D170" s="2">
        <v>16.570954166666699</v>
      </c>
      <c r="E170" s="2">
        <v>1</v>
      </c>
      <c r="F170" s="12" t="s">
        <v>489</v>
      </c>
      <c r="G170" s="12" t="s">
        <v>465</v>
      </c>
      <c r="H170" s="5"/>
      <c r="I170" s="11">
        <v>927</v>
      </c>
      <c r="J170" s="11">
        <v>637</v>
      </c>
      <c r="K170" s="11">
        <v>746</v>
      </c>
      <c r="L170" s="11">
        <v>1092</v>
      </c>
      <c r="M170" s="11">
        <v>1184</v>
      </c>
      <c r="N170" s="11">
        <v>936</v>
      </c>
      <c r="O170" s="11">
        <v>728</v>
      </c>
      <c r="P170" s="11"/>
      <c r="Q170" s="11">
        <v>119</v>
      </c>
      <c r="R170" s="11">
        <v>279</v>
      </c>
      <c r="S170" s="11">
        <v>170</v>
      </c>
      <c r="T170" s="11">
        <v>135</v>
      </c>
      <c r="U170" s="11">
        <v>75</v>
      </c>
      <c r="V170" s="11">
        <v>92</v>
      </c>
      <c r="W170" s="11">
        <v>146</v>
      </c>
      <c r="X170" s="11"/>
      <c r="Y170" s="11">
        <v>0</v>
      </c>
      <c r="Z170" s="11">
        <v>413</v>
      </c>
      <c r="AA170" s="11">
        <v>478</v>
      </c>
      <c r="AB170" s="11">
        <v>286</v>
      </c>
      <c r="AC170" s="17">
        <f t="shared" si="33"/>
        <v>0.24890607895698266</v>
      </c>
      <c r="AD170" s="11">
        <f t="shared" si="34"/>
        <v>892.85714285714289</v>
      </c>
      <c r="AE170" s="11">
        <f t="shared" si="35"/>
        <v>145.14285714285714</v>
      </c>
      <c r="AF170" s="28">
        <f t="shared" si="28"/>
        <v>0.16255999999999998</v>
      </c>
      <c r="AG170" s="42">
        <f t="shared" si="26"/>
        <v>2.4909629261022614E-5</v>
      </c>
      <c r="AH170" s="14" t="str">
        <f t="shared" si="36"/>
        <v>***</v>
      </c>
      <c r="AI170" s="11">
        <f t="shared" si="29"/>
        <v>16</v>
      </c>
      <c r="AJ170" s="11">
        <f t="shared" si="30"/>
        <v>16</v>
      </c>
      <c r="AK170" s="11">
        <f t="shared" si="27"/>
        <v>3.2538203222210789E-4</v>
      </c>
      <c r="AL170" s="42">
        <f t="shared" si="31"/>
        <v>3.180006068282448E-4</v>
      </c>
      <c r="AM170" s="14" t="str">
        <f t="shared" si="32"/>
        <v>**</v>
      </c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</row>
    <row r="171" spans="1:56" ht="27" customHeight="1" x14ac:dyDescent="0.2">
      <c r="A171" s="10" t="s">
        <v>357</v>
      </c>
      <c r="B171" s="11">
        <v>1651</v>
      </c>
      <c r="C171" s="2">
        <v>910.82048723888101</v>
      </c>
      <c r="D171" s="2">
        <v>16.4870988095238</v>
      </c>
      <c r="E171" s="2">
        <v>1</v>
      </c>
      <c r="F171" s="12" t="s">
        <v>634</v>
      </c>
      <c r="G171" s="12" t="s">
        <v>465</v>
      </c>
      <c r="H171" s="5"/>
      <c r="I171" s="11">
        <v>1170</v>
      </c>
      <c r="J171" s="11">
        <v>869</v>
      </c>
      <c r="K171" s="11">
        <v>1070</v>
      </c>
      <c r="L171" s="11">
        <v>645</v>
      </c>
      <c r="M171" s="11">
        <v>647</v>
      </c>
      <c r="N171" s="11">
        <v>1103</v>
      </c>
      <c r="O171" s="11">
        <v>1093</v>
      </c>
      <c r="P171" s="11"/>
      <c r="Q171" s="11">
        <v>190</v>
      </c>
      <c r="R171" s="11">
        <v>547</v>
      </c>
      <c r="S171" s="11">
        <v>320</v>
      </c>
      <c r="T171" s="11">
        <v>307</v>
      </c>
      <c r="U171" s="11">
        <v>344</v>
      </c>
      <c r="V171" s="11">
        <v>559</v>
      </c>
      <c r="W171" s="11">
        <v>571</v>
      </c>
      <c r="X171" s="11"/>
      <c r="Y171" s="11">
        <v>0</v>
      </c>
      <c r="Z171" s="11">
        <v>490</v>
      </c>
      <c r="AA171" s="11">
        <v>504</v>
      </c>
      <c r="AB171" s="11">
        <v>587</v>
      </c>
      <c r="AC171" s="17">
        <f t="shared" si="33"/>
        <v>9.9489386936761515E-2</v>
      </c>
      <c r="AD171" s="11">
        <f t="shared" si="34"/>
        <v>942.42857142857144</v>
      </c>
      <c r="AE171" s="11">
        <f t="shared" si="35"/>
        <v>405.42857142857144</v>
      </c>
      <c r="AF171" s="28">
        <f t="shared" si="28"/>
        <v>0.43019554342883132</v>
      </c>
      <c r="AG171" s="42">
        <f t="shared" si="26"/>
        <v>2.9989383603137599E-4</v>
      </c>
      <c r="AH171" s="14" t="str">
        <f t="shared" si="36"/>
        <v>***</v>
      </c>
      <c r="AI171" s="11">
        <f t="shared" si="29"/>
        <v>59</v>
      </c>
      <c r="AJ171" s="11">
        <f t="shared" si="30"/>
        <v>59</v>
      </c>
      <c r="AK171" s="11">
        <f t="shared" si="27"/>
        <v>1.0623357920433488E-3</v>
      </c>
      <c r="AL171" s="42">
        <f t="shared" si="31"/>
        <v>1.0623357920433488E-3</v>
      </c>
      <c r="AM171" s="14" t="str">
        <f t="shared" si="32"/>
        <v>**</v>
      </c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</row>
    <row r="172" spans="1:56" ht="27" customHeight="1" x14ac:dyDescent="0.2">
      <c r="A172" s="10" t="s">
        <v>357</v>
      </c>
      <c r="B172" s="11">
        <v>1797</v>
      </c>
      <c r="C172" s="2">
        <v>966.883363780639</v>
      </c>
      <c r="D172" s="2">
        <v>16.8490062499998</v>
      </c>
      <c r="E172" s="2">
        <v>1</v>
      </c>
      <c r="F172" s="12" t="s">
        <v>635</v>
      </c>
      <c r="G172" s="12" t="s">
        <v>465</v>
      </c>
      <c r="H172" s="5"/>
      <c r="I172" s="11">
        <v>620</v>
      </c>
      <c r="J172" s="11">
        <v>618</v>
      </c>
      <c r="K172" s="11">
        <v>1053</v>
      </c>
      <c r="L172" s="11">
        <v>630</v>
      </c>
      <c r="M172" s="11">
        <v>934</v>
      </c>
      <c r="N172" s="11">
        <v>714</v>
      </c>
      <c r="O172" s="11">
        <v>817</v>
      </c>
      <c r="P172" s="11"/>
      <c r="Q172" s="11">
        <v>70</v>
      </c>
      <c r="R172" s="11">
        <v>528</v>
      </c>
      <c r="S172" s="11">
        <v>0</v>
      </c>
      <c r="T172" s="11">
        <v>163</v>
      </c>
      <c r="U172" s="11">
        <v>136</v>
      </c>
      <c r="V172" s="11">
        <v>223</v>
      </c>
      <c r="W172" s="11">
        <v>262</v>
      </c>
      <c r="X172" s="11"/>
      <c r="Y172" s="11">
        <v>0</v>
      </c>
      <c r="Z172" s="11">
        <v>449</v>
      </c>
      <c r="AA172" s="11">
        <v>511</v>
      </c>
      <c r="AB172" s="11">
        <v>535</v>
      </c>
      <c r="AC172" s="17">
        <f t="shared" si="33"/>
        <v>8.9051179883037429E-2</v>
      </c>
      <c r="AD172" s="11">
        <f t="shared" si="34"/>
        <v>769.42857142857144</v>
      </c>
      <c r="AE172" s="11">
        <f t="shared" si="35"/>
        <v>197.42857142857142</v>
      </c>
      <c r="AF172" s="28">
        <f t="shared" si="28"/>
        <v>0.25659116227255846</v>
      </c>
      <c r="AG172" s="42">
        <f t="shared" si="26"/>
        <v>4.2571307242284602E-5</v>
      </c>
      <c r="AH172" s="14" t="str">
        <f t="shared" si="36"/>
        <v>***</v>
      </c>
      <c r="AI172" s="11">
        <f t="shared" si="29"/>
        <v>21</v>
      </c>
      <c r="AJ172" s="11">
        <f t="shared" si="30"/>
        <v>21</v>
      </c>
      <c r="AK172" s="11">
        <f t="shared" si="27"/>
        <v>4.2368586731607061E-4</v>
      </c>
      <c r="AL172" s="42">
        <f t="shared" si="31"/>
        <v>3.8828708123971544E-4</v>
      </c>
      <c r="AM172" s="14" t="str">
        <f t="shared" si="32"/>
        <v>**</v>
      </c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</row>
    <row r="173" spans="1:56" ht="27" customHeight="1" x14ac:dyDescent="0.2">
      <c r="A173" s="10" t="s">
        <v>357</v>
      </c>
      <c r="B173" s="11">
        <v>2074</v>
      </c>
      <c r="C173" s="2">
        <v>942.88439649040504</v>
      </c>
      <c r="D173" s="2">
        <v>16.857486666666698</v>
      </c>
      <c r="E173" s="2">
        <v>1</v>
      </c>
      <c r="F173" s="12" t="s">
        <v>639</v>
      </c>
      <c r="G173" s="12" t="s">
        <v>465</v>
      </c>
      <c r="H173" s="5"/>
      <c r="I173" s="11">
        <v>832</v>
      </c>
      <c r="J173" s="11">
        <v>458</v>
      </c>
      <c r="K173" s="11">
        <v>865</v>
      </c>
      <c r="L173" s="11">
        <v>883</v>
      </c>
      <c r="M173" s="11">
        <v>805</v>
      </c>
      <c r="N173" s="11">
        <v>672</v>
      </c>
      <c r="O173" s="11">
        <v>598</v>
      </c>
      <c r="P173" s="11"/>
      <c r="Q173" s="11">
        <v>0</v>
      </c>
      <c r="R173" s="11">
        <v>262</v>
      </c>
      <c r="S173" s="11">
        <v>0</v>
      </c>
      <c r="T173" s="11">
        <v>0</v>
      </c>
      <c r="U173" s="11">
        <v>0</v>
      </c>
      <c r="V173" s="11">
        <v>172</v>
      </c>
      <c r="W173" s="11">
        <v>95</v>
      </c>
      <c r="X173" s="11"/>
      <c r="Y173" s="11">
        <v>0</v>
      </c>
      <c r="Z173" s="11">
        <v>201</v>
      </c>
      <c r="AA173" s="11">
        <v>312</v>
      </c>
      <c r="AB173" s="11">
        <v>320</v>
      </c>
      <c r="AC173" s="17">
        <f t="shared" si="33"/>
        <v>0.23955220521961165</v>
      </c>
      <c r="AD173" s="11">
        <f t="shared" si="34"/>
        <v>730.42857142857144</v>
      </c>
      <c r="AE173" s="11">
        <f t="shared" si="35"/>
        <v>75.571428571428569</v>
      </c>
      <c r="AF173" s="28">
        <f t="shared" si="28"/>
        <v>0.10346176413064737</v>
      </c>
      <c r="AG173" s="42">
        <f t="shared" si="26"/>
        <v>2.9002958749439649E-6</v>
      </c>
      <c r="AH173" s="14" t="str">
        <f t="shared" si="36"/>
        <v>***</v>
      </c>
      <c r="AI173" s="11">
        <f t="shared" si="29"/>
        <v>5</v>
      </c>
      <c r="AJ173" s="11">
        <f t="shared" si="30"/>
        <v>5</v>
      </c>
      <c r="AK173" s="11">
        <f t="shared" si="27"/>
        <v>1.2123236757265773E-4</v>
      </c>
      <c r="AL173" s="42">
        <f t="shared" si="31"/>
        <v>1.2123236757265773E-4</v>
      </c>
      <c r="AM173" s="14" t="str">
        <f t="shared" si="32"/>
        <v>**</v>
      </c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</row>
    <row r="174" spans="1:56" ht="27" customHeight="1" x14ac:dyDescent="0.2">
      <c r="A174" s="10" t="s">
        <v>357</v>
      </c>
      <c r="B174" s="11">
        <v>2106</v>
      </c>
      <c r="C174" s="2">
        <v>962.849412074322</v>
      </c>
      <c r="D174" s="2">
        <v>16.573166666666602</v>
      </c>
      <c r="E174" s="2">
        <v>1</v>
      </c>
      <c r="F174" s="12" t="s">
        <v>640</v>
      </c>
      <c r="G174" s="12" t="s">
        <v>465</v>
      </c>
      <c r="H174" s="5"/>
      <c r="I174" s="11">
        <v>1733</v>
      </c>
      <c r="J174" s="11">
        <v>860</v>
      </c>
      <c r="K174" s="11">
        <v>1534</v>
      </c>
      <c r="L174" s="11">
        <v>1043</v>
      </c>
      <c r="M174" s="11">
        <v>1012</v>
      </c>
      <c r="N174" s="11">
        <v>1809</v>
      </c>
      <c r="O174" s="11">
        <v>1590</v>
      </c>
      <c r="P174" s="11"/>
      <c r="Q174" s="11">
        <v>125</v>
      </c>
      <c r="R174" s="11">
        <v>295</v>
      </c>
      <c r="S174" s="11">
        <v>86</v>
      </c>
      <c r="T174" s="11">
        <v>208</v>
      </c>
      <c r="U174" s="11">
        <v>128</v>
      </c>
      <c r="V174" s="11">
        <v>216</v>
      </c>
      <c r="W174" s="11">
        <v>186</v>
      </c>
      <c r="X174" s="11"/>
      <c r="Y174" s="11">
        <v>0</v>
      </c>
      <c r="Z174" s="11">
        <v>473</v>
      </c>
      <c r="AA174" s="11">
        <v>578</v>
      </c>
      <c r="AB174" s="11">
        <v>622</v>
      </c>
      <c r="AC174" s="17">
        <f t="shared" si="33"/>
        <v>0.13727342620411059</v>
      </c>
      <c r="AD174" s="11">
        <f t="shared" si="34"/>
        <v>1368.7142857142858</v>
      </c>
      <c r="AE174" s="11">
        <f t="shared" si="35"/>
        <v>177.71428571428572</v>
      </c>
      <c r="AF174" s="28">
        <f t="shared" si="28"/>
        <v>0.12984030894478657</v>
      </c>
      <c r="AG174" s="42">
        <f t="shared" si="26"/>
        <v>1.4348054874963783E-4</v>
      </c>
      <c r="AH174" s="14" t="str">
        <f t="shared" si="36"/>
        <v>***</v>
      </c>
      <c r="AI174" s="11">
        <f t="shared" si="29"/>
        <v>48</v>
      </c>
      <c r="AJ174" s="11">
        <f t="shared" si="30"/>
        <v>48</v>
      </c>
      <c r="AK174" s="11">
        <f t="shared" si="27"/>
        <v>6.247382226807147E-4</v>
      </c>
      <c r="AL174" s="42">
        <f t="shared" si="31"/>
        <v>6.247382226807147E-4</v>
      </c>
      <c r="AM174" s="14" t="str">
        <f t="shared" si="32"/>
        <v>**</v>
      </c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</row>
    <row r="175" spans="1:56" ht="27" customHeight="1" x14ac:dyDescent="0.2">
      <c r="A175" s="10" t="s">
        <v>357</v>
      </c>
      <c r="B175" s="11">
        <v>2657</v>
      </c>
      <c r="C175" s="2">
        <v>914.85127893266394</v>
      </c>
      <c r="D175" s="2">
        <v>16.660936666666299</v>
      </c>
      <c r="E175" s="2">
        <v>1</v>
      </c>
      <c r="F175" s="12" t="s">
        <v>649</v>
      </c>
      <c r="G175" s="12" t="s">
        <v>465</v>
      </c>
      <c r="H175" s="5"/>
      <c r="I175" s="11">
        <v>636</v>
      </c>
      <c r="J175" s="11">
        <v>430</v>
      </c>
      <c r="K175" s="11">
        <v>642</v>
      </c>
      <c r="L175" s="11">
        <v>399</v>
      </c>
      <c r="M175" s="11">
        <v>585</v>
      </c>
      <c r="N175" s="11">
        <v>563</v>
      </c>
      <c r="O175" s="11">
        <v>458</v>
      </c>
      <c r="P175" s="11"/>
      <c r="Q175" s="11">
        <v>0</v>
      </c>
      <c r="R175" s="11">
        <v>266</v>
      </c>
      <c r="S175" s="11">
        <v>0</v>
      </c>
      <c r="T175" s="11">
        <v>0</v>
      </c>
      <c r="U175" s="11">
        <v>0</v>
      </c>
      <c r="V175" s="11">
        <v>92</v>
      </c>
      <c r="W175" s="11">
        <v>83</v>
      </c>
      <c r="X175" s="11"/>
      <c r="Y175" s="11">
        <v>0</v>
      </c>
      <c r="Z175" s="11">
        <v>321</v>
      </c>
      <c r="AA175" s="11">
        <v>309</v>
      </c>
      <c r="AB175" s="11">
        <v>223</v>
      </c>
      <c r="AC175" s="17">
        <f t="shared" si="33"/>
        <v>0.18799776117609454</v>
      </c>
      <c r="AD175" s="11">
        <f t="shared" si="34"/>
        <v>530.42857142857144</v>
      </c>
      <c r="AE175" s="11">
        <f t="shared" si="35"/>
        <v>63</v>
      </c>
      <c r="AF175" s="28">
        <f t="shared" si="28"/>
        <v>0.11877188257473741</v>
      </c>
      <c r="AG175" s="42">
        <f t="shared" si="26"/>
        <v>1.4055958932494579E-6</v>
      </c>
      <c r="AH175" s="14" t="str">
        <f t="shared" si="36"/>
        <v>***</v>
      </c>
      <c r="AI175" s="11">
        <f t="shared" si="29"/>
        <v>2</v>
      </c>
      <c r="AJ175" s="11">
        <f t="shared" si="30"/>
        <v>2</v>
      </c>
      <c r="AK175" s="11">
        <f t="shared" si="27"/>
        <v>1.4688477084456836E-4</v>
      </c>
      <c r="AL175" s="42">
        <f t="shared" si="31"/>
        <v>8.9791768530532394E-5</v>
      </c>
      <c r="AM175" s="14" t="str">
        <f t="shared" si="32"/>
        <v>**</v>
      </c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</row>
    <row r="176" spans="1:56" ht="27" customHeight="1" x14ac:dyDescent="0.2">
      <c r="A176" s="10" t="s">
        <v>357</v>
      </c>
      <c r="B176" s="11">
        <v>3049</v>
      </c>
      <c r="C176" s="2">
        <v>994.91179751273796</v>
      </c>
      <c r="D176" s="2">
        <v>17.070531481481499</v>
      </c>
      <c r="E176" s="2">
        <v>1</v>
      </c>
      <c r="F176" s="12" t="s">
        <v>651</v>
      </c>
      <c r="G176" s="12" t="s">
        <v>465</v>
      </c>
      <c r="H176" s="5"/>
      <c r="I176" s="11">
        <v>347</v>
      </c>
      <c r="J176" s="11">
        <v>395</v>
      </c>
      <c r="K176" s="11">
        <v>531</v>
      </c>
      <c r="L176" s="11">
        <v>374</v>
      </c>
      <c r="M176" s="11">
        <v>429</v>
      </c>
      <c r="N176" s="11">
        <v>336</v>
      </c>
      <c r="O176" s="11">
        <v>367</v>
      </c>
      <c r="P176" s="11"/>
      <c r="Q176" s="11">
        <v>0</v>
      </c>
      <c r="R176" s="11">
        <v>359</v>
      </c>
      <c r="S176" s="11">
        <v>0</v>
      </c>
      <c r="T176" s="11">
        <v>0</v>
      </c>
      <c r="U176" s="11">
        <v>0</v>
      </c>
      <c r="V176" s="11">
        <v>0</v>
      </c>
      <c r="W176" s="11">
        <v>121</v>
      </c>
      <c r="X176" s="11"/>
      <c r="Y176" s="11">
        <v>0</v>
      </c>
      <c r="Z176" s="11">
        <v>238</v>
      </c>
      <c r="AA176" s="11">
        <v>225</v>
      </c>
      <c r="AB176" s="11">
        <v>197</v>
      </c>
      <c r="AC176" s="17">
        <f t="shared" si="33"/>
        <v>9.5237849271622557E-2</v>
      </c>
      <c r="AD176" s="11">
        <f t="shared" si="34"/>
        <v>397</v>
      </c>
      <c r="AE176" s="11">
        <f t="shared" si="35"/>
        <v>68.571428571428569</v>
      </c>
      <c r="AF176" s="28">
        <f t="shared" si="28"/>
        <v>0.17272400143936667</v>
      </c>
      <c r="AG176" s="42">
        <f t="shared" si="26"/>
        <v>3.114296968842916E-4</v>
      </c>
      <c r="AH176" s="14" t="str">
        <f t="shared" si="36"/>
        <v>***</v>
      </c>
      <c r="AI176" s="11">
        <f t="shared" si="29"/>
        <v>60</v>
      </c>
      <c r="AJ176" s="11">
        <f t="shared" si="30"/>
        <v>60</v>
      </c>
      <c r="AK176" s="11">
        <f t="shared" si="27"/>
        <v>1.084813444146949E-3</v>
      </c>
      <c r="AL176" s="42">
        <f t="shared" si="31"/>
        <v>1.0788492425530454E-3</v>
      </c>
      <c r="AM176" s="14" t="str">
        <f t="shared" si="32"/>
        <v>**</v>
      </c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</row>
    <row r="177" spans="1:56" ht="27" customHeight="1" x14ac:dyDescent="0.2">
      <c r="A177" s="10" t="s">
        <v>357</v>
      </c>
      <c r="B177" s="11">
        <v>3871</v>
      </c>
      <c r="C177" s="2">
        <v>1020.93055693965</v>
      </c>
      <c r="D177" s="2">
        <v>17.2320566666668</v>
      </c>
      <c r="E177" s="2">
        <v>1</v>
      </c>
      <c r="F177" s="12" t="s">
        <v>658</v>
      </c>
      <c r="G177" s="12" t="s">
        <v>465</v>
      </c>
      <c r="H177" s="5"/>
      <c r="I177" s="11">
        <v>398</v>
      </c>
      <c r="J177" s="11">
        <v>306</v>
      </c>
      <c r="K177" s="11">
        <v>347</v>
      </c>
      <c r="L177" s="11">
        <v>283</v>
      </c>
      <c r="M177" s="11">
        <v>340</v>
      </c>
      <c r="N177" s="11">
        <v>399</v>
      </c>
      <c r="O177" s="11">
        <v>395</v>
      </c>
      <c r="P177" s="11"/>
      <c r="Q177" s="11">
        <v>0</v>
      </c>
      <c r="R177" s="11">
        <v>89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/>
      <c r="Y177" s="11">
        <v>0</v>
      </c>
      <c r="Z177" s="11">
        <v>173</v>
      </c>
      <c r="AA177" s="11">
        <v>173</v>
      </c>
      <c r="AB177" s="11">
        <v>234</v>
      </c>
      <c r="AC177" s="17">
        <f t="shared" si="33"/>
        <v>0.18216396424431314</v>
      </c>
      <c r="AD177" s="11">
        <f t="shared" si="34"/>
        <v>352.57142857142856</v>
      </c>
      <c r="AE177" s="11">
        <f t="shared" si="35"/>
        <v>12.714285714285714</v>
      </c>
      <c r="AF177" s="28">
        <f t="shared" si="28"/>
        <v>3.606158833063209E-2</v>
      </c>
      <c r="AG177" s="42">
        <f t="shared" si="26"/>
        <v>8.8336018101640351E-9</v>
      </c>
      <c r="AH177" s="14" t="str">
        <f t="shared" si="36"/>
        <v>***</v>
      </c>
      <c r="AI177" s="11">
        <f t="shared" si="29"/>
        <v>1</v>
      </c>
      <c r="AJ177" s="11">
        <f t="shared" si="30"/>
        <v>1</v>
      </c>
      <c r="AK177" s="11">
        <f t="shared" si="27"/>
        <v>1.8462227783242834E-6</v>
      </c>
      <c r="AL177" s="42">
        <f t="shared" si="31"/>
        <v>1.8462227783242834E-6</v>
      </c>
      <c r="AM177" s="14" t="str">
        <f t="shared" si="32"/>
        <v>**</v>
      </c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</row>
    <row r="178" spans="1:56" ht="27" customHeight="1" x14ac:dyDescent="0.2">
      <c r="A178" s="10" t="s">
        <v>357</v>
      </c>
      <c r="B178" s="11">
        <v>1066</v>
      </c>
      <c r="C178" s="2">
        <v>300.28842654619899</v>
      </c>
      <c r="D178" s="2">
        <v>4.9441510416667498</v>
      </c>
      <c r="E178" s="2">
        <v>1</v>
      </c>
      <c r="F178" s="12" t="s">
        <v>483</v>
      </c>
      <c r="G178" s="12" t="s">
        <v>484</v>
      </c>
      <c r="H178" s="5"/>
      <c r="I178" s="11">
        <v>1130</v>
      </c>
      <c r="J178" s="11">
        <v>944</v>
      </c>
      <c r="K178" s="11">
        <v>1279</v>
      </c>
      <c r="L178" s="11">
        <v>1071</v>
      </c>
      <c r="M178" s="11">
        <v>1250</v>
      </c>
      <c r="N178" s="11">
        <v>1159</v>
      </c>
      <c r="O178" s="11">
        <v>1440</v>
      </c>
      <c r="P178" s="11"/>
      <c r="Q178" s="11">
        <v>1550</v>
      </c>
      <c r="R178" s="11">
        <v>1563</v>
      </c>
      <c r="S178" s="11">
        <v>1101</v>
      </c>
      <c r="T178" s="11">
        <v>1673</v>
      </c>
      <c r="U178" s="11">
        <v>1739</v>
      </c>
      <c r="V178" s="11">
        <v>2103</v>
      </c>
      <c r="W178" s="11">
        <v>2108</v>
      </c>
      <c r="X178" s="11"/>
      <c r="Y178" s="11">
        <v>238</v>
      </c>
      <c r="Z178" s="11">
        <v>1625</v>
      </c>
      <c r="AA178" s="11">
        <v>1092</v>
      </c>
      <c r="AB178" s="11">
        <v>1158</v>
      </c>
      <c r="AC178" s="17">
        <f t="shared" ref="AC178" si="37">IFERROR(STDEV(Z178:AB178)/AVERAGE(Z178:AB178),0)</f>
        <v>0.2249459733956809</v>
      </c>
      <c r="AD178" s="11">
        <f t="shared" ref="AD178" si="38">AVERAGE(I178:O178)</f>
        <v>1181.8571428571429</v>
      </c>
      <c r="AE178" s="11">
        <f t="shared" ref="AE178" si="39">AVERAGE(Q178:W178)</f>
        <v>1691</v>
      </c>
      <c r="AF178" s="28">
        <f t="shared" si="28"/>
        <v>1.4307989846488578</v>
      </c>
      <c r="AG178" s="42">
        <f t="shared" si="26"/>
        <v>7.3587869849012222E-3</v>
      </c>
      <c r="AH178" s="14" t="str">
        <f t="shared" ref="AH178" si="40">IF(AG178&lt;0.001,"***",IF(AG178&lt;0.01,"**",IF(AG178&lt;0.05,"*","-")))</f>
        <v>**</v>
      </c>
      <c r="AI178" s="11">
        <f t="shared" si="29"/>
        <v>116</v>
      </c>
      <c r="AJ178" s="11">
        <f t="shared" si="30"/>
        <v>116</v>
      </c>
      <c r="AK178" s="11">
        <f t="shared" si="27"/>
        <v>1.325850413658927E-2</v>
      </c>
      <c r="AL178" s="42">
        <f t="shared" si="31"/>
        <v>1.325850413658927E-2</v>
      </c>
      <c r="AM178" s="14" t="str">
        <f t="shared" si="32"/>
        <v>**</v>
      </c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</row>
    <row r="179" spans="1:56" ht="27" customHeight="1" x14ac:dyDescent="0.2">
      <c r="A179" s="10" t="s">
        <v>357</v>
      </c>
      <c r="B179" s="11">
        <v>58</v>
      </c>
      <c r="C179" s="2">
        <v>666.61761563148502</v>
      </c>
      <c r="D179" s="2">
        <v>15.6045480392157</v>
      </c>
      <c r="E179" s="2">
        <v>1</v>
      </c>
      <c r="F179" s="12" t="s">
        <v>390</v>
      </c>
      <c r="G179" s="12" t="s">
        <v>391</v>
      </c>
      <c r="H179" s="5"/>
      <c r="I179" s="11">
        <v>54338</v>
      </c>
      <c r="J179" s="11">
        <v>45058</v>
      </c>
      <c r="K179" s="11">
        <v>111857</v>
      </c>
      <c r="L179" s="11">
        <v>57801</v>
      </c>
      <c r="M179" s="11">
        <v>44297</v>
      </c>
      <c r="N179" s="11">
        <v>74684</v>
      </c>
      <c r="O179" s="11">
        <v>70499</v>
      </c>
      <c r="P179" s="11"/>
      <c r="Q179" s="11">
        <v>44038</v>
      </c>
      <c r="R179" s="11">
        <v>82772</v>
      </c>
      <c r="S179" s="11">
        <v>52578</v>
      </c>
      <c r="T179" s="11">
        <v>68967</v>
      </c>
      <c r="U179" s="11">
        <v>83750</v>
      </c>
      <c r="V179" s="11">
        <v>76565</v>
      </c>
      <c r="W179" s="11">
        <v>117984</v>
      </c>
      <c r="X179" s="11"/>
      <c r="Y179" s="11">
        <v>188</v>
      </c>
      <c r="Z179" s="11">
        <v>63725</v>
      </c>
      <c r="AA179" s="11">
        <v>69230</v>
      </c>
      <c r="AB179" s="11">
        <v>55813</v>
      </c>
      <c r="AC179" s="17">
        <f t="shared" ref="AC179:AC205" si="41">IFERROR(STDEV(Z179:AB179)/AVERAGE(Z179:AB179),0)</f>
        <v>0.10718535726921657</v>
      </c>
      <c r="AD179" s="11">
        <f t="shared" ref="AD179:AD205" si="42">AVERAGE(I179:O179)</f>
        <v>65504.857142857145</v>
      </c>
      <c r="AE179" s="11">
        <f t="shared" ref="AE179:AE205" si="43">AVERAGE(Q179:W179)</f>
        <v>75236.28571428571</v>
      </c>
      <c r="AF179" s="28">
        <f t="shared" si="28"/>
        <v>1.1485604120959405</v>
      </c>
      <c r="AG179" s="42">
        <f t="shared" si="26"/>
        <v>0.45898619212327652</v>
      </c>
      <c r="AH179" s="14" t="str">
        <f t="shared" ref="AH179:AH205" si="44">IF(AG179&lt;0.001,"***",IF(AG179&lt;0.01,"**",IF(AG179&lt;0.05,"*","-")))</f>
        <v>-</v>
      </c>
      <c r="AI179" s="11">
        <f t="shared" si="29"/>
        <v>187</v>
      </c>
      <c r="AJ179" s="11">
        <f t="shared" si="30"/>
        <v>187</v>
      </c>
      <c r="AK179" s="11">
        <f t="shared" si="27"/>
        <v>0.51298456766719147</v>
      </c>
      <c r="AL179" s="42">
        <f t="shared" si="31"/>
        <v>0.51298456766719147</v>
      </c>
      <c r="AM179" s="14" t="str">
        <f t="shared" si="32"/>
        <v/>
      </c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</row>
    <row r="180" spans="1:56" ht="27" customHeight="1" x14ac:dyDescent="0.2">
      <c r="A180" s="10" t="s">
        <v>357</v>
      </c>
      <c r="B180" s="11">
        <v>154</v>
      </c>
      <c r="C180" s="2">
        <v>668.63249374419195</v>
      </c>
      <c r="D180" s="2">
        <v>15.9858960784312</v>
      </c>
      <c r="E180" s="2">
        <v>1</v>
      </c>
      <c r="F180" s="12" t="s">
        <v>415</v>
      </c>
      <c r="G180" s="12" t="s">
        <v>391</v>
      </c>
      <c r="H180" s="5"/>
      <c r="I180" s="11">
        <v>11840</v>
      </c>
      <c r="J180" s="11">
        <v>13032</v>
      </c>
      <c r="K180" s="11">
        <v>31437</v>
      </c>
      <c r="L180" s="11">
        <v>13949</v>
      </c>
      <c r="M180" s="11">
        <v>12226</v>
      </c>
      <c r="N180" s="11">
        <v>17264</v>
      </c>
      <c r="O180" s="11">
        <v>17244</v>
      </c>
      <c r="P180" s="11"/>
      <c r="Q180" s="11">
        <v>10449</v>
      </c>
      <c r="R180" s="11">
        <v>22901</v>
      </c>
      <c r="S180" s="11">
        <v>14567</v>
      </c>
      <c r="T180" s="11">
        <v>16377</v>
      </c>
      <c r="U180" s="11">
        <v>21434</v>
      </c>
      <c r="V180" s="11">
        <v>20633</v>
      </c>
      <c r="W180" s="11">
        <v>30296</v>
      </c>
      <c r="X180" s="11"/>
      <c r="Y180" s="11">
        <v>209</v>
      </c>
      <c r="Z180" s="11">
        <v>17913</v>
      </c>
      <c r="AA180" s="11">
        <v>15471</v>
      </c>
      <c r="AB180" s="11">
        <v>13092</v>
      </c>
      <c r="AC180" s="17">
        <f t="shared" si="41"/>
        <v>0.15560086529318592</v>
      </c>
      <c r="AD180" s="11">
        <f t="shared" si="42"/>
        <v>16713.142857142859</v>
      </c>
      <c r="AE180" s="11">
        <f t="shared" si="43"/>
        <v>19522.428571428572</v>
      </c>
      <c r="AF180" s="28">
        <f t="shared" si="28"/>
        <v>1.1680884163019694</v>
      </c>
      <c r="AG180" s="42">
        <f t="shared" si="26"/>
        <v>0.44512120205329175</v>
      </c>
      <c r="AH180" s="14" t="str">
        <f t="shared" si="44"/>
        <v>-</v>
      </c>
      <c r="AI180" s="11">
        <f t="shared" si="29"/>
        <v>185</v>
      </c>
      <c r="AJ180" s="11">
        <f t="shared" si="30"/>
        <v>185</v>
      </c>
      <c r="AK180" s="11">
        <f t="shared" si="27"/>
        <v>0.50286665529263763</v>
      </c>
      <c r="AL180" s="42">
        <f t="shared" si="31"/>
        <v>0.50286665529263763</v>
      </c>
      <c r="AM180" s="14" t="str">
        <f t="shared" si="32"/>
        <v/>
      </c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</row>
    <row r="181" spans="1:56" ht="27" customHeight="1" x14ac:dyDescent="0.2">
      <c r="A181" s="10" t="s">
        <v>357</v>
      </c>
      <c r="B181" s="11">
        <v>167</v>
      </c>
      <c r="C181" s="2">
        <v>690.61688023236104</v>
      </c>
      <c r="D181" s="2">
        <v>15.439649999999901</v>
      </c>
      <c r="E181" s="2">
        <v>1</v>
      </c>
      <c r="F181" s="12" t="s">
        <v>424</v>
      </c>
      <c r="G181" s="12" t="s">
        <v>391</v>
      </c>
      <c r="H181" s="5"/>
      <c r="I181" s="11">
        <v>11077</v>
      </c>
      <c r="J181" s="11">
        <v>10440</v>
      </c>
      <c r="K181" s="11">
        <v>22502</v>
      </c>
      <c r="L181" s="11">
        <v>10244</v>
      </c>
      <c r="M181" s="11">
        <v>9406</v>
      </c>
      <c r="N181" s="11">
        <v>16124</v>
      </c>
      <c r="O181" s="11">
        <v>15365</v>
      </c>
      <c r="P181" s="11"/>
      <c r="Q181" s="11">
        <v>11131</v>
      </c>
      <c r="R181" s="11">
        <v>27065</v>
      </c>
      <c r="S181" s="11">
        <v>10740</v>
      </c>
      <c r="T181" s="11">
        <v>17684</v>
      </c>
      <c r="U181" s="11">
        <v>15140</v>
      </c>
      <c r="V181" s="11">
        <v>20350</v>
      </c>
      <c r="W181" s="11">
        <v>28815</v>
      </c>
      <c r="X181" s="11"/>
      <c r="Y181" s="11">
        <v>0</v>
      </c>
      <c r="Z181" s="11">
        <v>14830</v>
      </c>
      <c r="AA181" s="11">
        <v>15885</v>
      </c>
      <c r="AB181" s="11">
        <v>13347</v>
      </c>
      <c r="AC181" s="17">
        <f t="shared" si="41"/>
        <v>8.6809531311041924E-2</v>
      </c>
      <c r="AD181" s="11">
        <f t="shared" si="42"/>
        <v>13594</v>
      </c>
      <c r="AE181" s="11">
        <f t="shared" si="43"/>
        <v>18703.571428571428</v>
      </c>
      <c r="AF181" s="28">
        <f t="shared" si="28"/>
        <v>1.3758696063389311</v>
      </c>
      <c r="AG181" s="42">
        <f t="shared" si="26"/>
        <v>0.14575007329453807</v>
      </c>
      <c r="AH181" s="14" t="str">
        <f t="shared" si="44"/>
        <v>-</v>
      </c>
      <c r="AI181" s="11">
        <f t="shared" si="29"/>
        <v>163</v>
      </c>
      <c r="AJ181" s="11">
        <f t="shared" si="30"/>
        <v>163</v>
      </c>
      <c r="AK181" s="11">
        <f t="shared" si="27"/>
        <v>0.18688199581937703</v>
      </c>
      <c r="AL181" s="42">
        <f t="shared" si="31"/>
        <v>0.18688199581937703</v>
      </c>
      <c r="AM181" s="14" t="str">
        <f t="shared" si="32"/>
        <v/>
      </c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</row>
    <row r="182" spans="1:56" ht="27" customHeight="1" x14ac:dyDescent="0.2">
      <c r="A182" s="10" t="s">
        <v>357</v>
      </c>
      <c r="B182" s="11">
        <v>181</v>
      </c>
      <c r="C182" s="2">
        <v>714.61671521135099</v>
      </c>
      <c r="D182" s="2">
        <v>15.3286519607842</v>
      </c>
      <c r="E182" s="2">
        <v>1</v>
      </c>
      <c r="F182" s="12" t="s">
        <v>411</v>
      </c>
      <c r="G182" s="12" t="s">
        <v>391</v>
      </c>
      <c r="H182" s="5"/>
      <c r="I182" s="11">
        <v>8256</v>
      </c>
      <c r="J182" s="11">
        <v>8810</v>
      </c>
      <c r="K182" s="11">
        <v>23007</v>
      </c>
      <c r="L182" s="11">
        <v>10239</v>
      </c>
      <c r="M182" s="11">
        <v>9454</v>
      </c>
      <c r="N182" s="11">
        <v>13580</v>
      </c>
      <c r="O182" s="11">
        <v>13658</v>
      </c>
      <c r="P182" s="11"/>
      <c r="Q182" s="11">
        <v>9821</v>
      </c>
      <c r="R182" s="11">
        <v>25521</v>
      </c>
      <c r="S182" s="11">
        <v>13199</v>
      </c>
      <c r="T182" s="11">
        <v>15856</v>
      </c>
      <c r="U182" s="11">
        <v>16085</v>
      </c>
      <c r="V182" s="11">
        <v>17458</v>
      </c>
      <c r="W182" s="11">
        <v>26729</v>
      </c>
      <c r="X182" s="11"/>
      <c r="Y182" s="11">
        <v>84</v>
      </c>
      <c r="Z182" s="11">
        <v>14586</v>
      </c>
      <c r="AA182" s="11">
        <v>15091</v>
      </c>
      <c r="AB182" s="11">
        <v>12189</v>
      </c>
      <c r="AC182" s="17">
        <f t="shared" si="41"/>
        <v>0.11109652875475748</v>
      </c>
      <c r="AD182" s="11">
        <f t="shared" si="42"/>
        <v>12429.142857142857</v>
      </c>
      <c r="AE182" s="11">
        <f t="shared" si="43"/>
        <v>17809.857142857141</v>
      </c>
      <c r="AF182" s="28">
        <f t="shared" si="28"/>
        <v>1.4329111305227344</v>
      </c>
      <c r="AG182" s="42">
        <f t="shared" si="26"/>
        <v>0.10366676425393627</v>
      </c>
      <c r="AH182" s="14" t="str">
        <f t="shared" si="44"/>
        <v>-</v>
      </c>
      <c r="AI182" s="11">
        <f t="shared" si="29"/>
        <v>160</v>
      </c>
      <c r="AJ182" s="11">
        <f t="shared" si="30"/>
        <v>160</v>
      </c>
      <c r="AK182" s="11">
        <f t="shared" si="27"/>
        <v>0.13541471080670425</v>
      </c>
      <c r="AL182" s="42">
        <f t="shared" si="31"/>
        <v>0.13541471080670425</v>
      </c>
      <c r="AM182" s="14" t="str">
        <f t="shared" si="32"/>
        <v/>
      </c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</row>
    <row r="183" spans="1:56" ht="27" customHeight="1" x14ac:dyDescent="0.2">
      <c r="A183" s="10" t="s">
        <v>357</v>
      </c>
      <c r="B183" s="11">
        <v>238</v>
      </c>
      <c r="C183" s="2">
        <v>688.60163278402604</v>
      </c>
      <c r="D183" s="2">
        <v>15.0432362745098</v>
      </c>
      <c r="E183" s="2">
        <v>1</v>
      </c>
      <c r="F183" s="12" t="s">
        <v>443</v>
      </c>
      <c r="G183" s="12" t="s">
        <v>391</v>
      </c>
      <c r="H183" s="5"/>
      <c r="I183" s="11">
        <v>6935</v>
      </c>
      <c r="J183" s="11">
        <v>4661</v>
      </c>
      <c r="K183" s="11">
        <v>10974</v>
      </c>
      <c r="L183" s="11">
        <v>6021</v>
      </c>
      <c r="M183" s="11">
        <v>3957</v>
      </c>
      <c r="N183" s="11">
        <v>7095</v>
      </c>
      <c r="O183" s="11">
        <v>8575</v>
      </c>
      <c r="P183" s="11"/>
      <c r="Q183" s="11">
        <v>8592</v>
      </c>
      <c r="R183" s="11">
        <v>11599</v>
      </c>
      <c r="S183" s="11">
        <v>7053</v>
      </c>
      <c r="T183" s="11">
        <v>12986</v>
      </c>
      <c r="U183" s="11">
        <v>15428</v>
      </c>
      <c r="V183" s="11">
        <v>12095</v>
      </c>
      <c r="W183" s="11">
        <v>17568</v>
      </c>
      <c r="X183" s="11"/>
      <c r="Y183" s="11">
        <v>0</v>
      </c>
      <c r="Z183" s="11">
        <v>9365</v>
      </c>
      <c r="AA183" s="11">
        <v>9779</v>
      </c>
      <c r="AB183" s="11">
        <v>7820</v>
      </c>
      <c r="AC183" s="17">
        <f t="shared" si="41"/>
        <v>0.11487327465077014</v>
      </c>
      <c r="AD183" s="11">
        <f t="shared" si="42"/>
        <v>6888.2857142857147</v>
      </c>
      <c r="AE183" s="11">
        <f t="shared" si="43"/>
        <v>12188.714285714286</v>
      </c>
      <c r="AF183" s="28">
        <f t="shared" si="28"/>
        <v>1.7694844249035631</v>
      </c>
      <c r="AG183" s="42">
        <f t="shared" si="26"/>
        <v>8.7834431307171456E-3</v>
      </c>
      <c r="AH183" s="14" t="str">
        <f t="shared" si="44"/>
        <v>**</v>
      </c>
      <c r="AI183" s="11">
        <f t="shared" si="29"/>
        <v>119</v>
      </c>
      <c r="AJ183" s="11">
        <f t="shared" si="30"/>
        <v>119</v>
      </c>
      <c r="AK183" s="11">
        <f t="shared" si="27"/>
        <v>1.5426383313612466E-2</v>
      </c>
      <c r="AL183" s="42">
        <f t="shared" si="31"/>
        <v>1.5349170527069345E-2</v>
      </c>
      <c r="AM183" s="14" t="str">
        <f t="shared" si="32"/>
        <v>**</v>
      </c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</row>
    <row r="184" spans="1:56" ht="27" customHeight="1" x14ac:dyDescent="0.2">
      <c r="A184" s="10" t="s">
        <v>357</v>
      </c>
      <c r="B184" s="11">
        <v>308</v>
      </c>
      <c r="C184" s="2">
        <v>642.61621218581104</v>
      </c>
      <c r="D184" s="2">
        <v>15.9276352941176</v>
      </c>
      <c r="E184" s="2">
        <v>1</v>
      </c>
      <c r="F184" s="12" t="s">
        <v>441</v>
      </c>
      <c r="G184" s="12" t="s">
        <v>391</v>
      </c>
      <c r="H184" s="5"/>
      <c r="I184" s="11">
        <v>3771</v>
      </c>
      <c r="J184" s="11">
        <v>3804</v>
      </c>
      <c r="K184" s="11">
        <v>9869</v>
      </c>
      <c r="L184" s="11">
        <v>5146</v>
      </c>
      <c r="M184" s="11">
        <v>4096</v>
      </c>
      <c r="N184" s="11">
        <v>6447</v>
      </c>
      <c r="O184" s="11">
        <v>8009</v>
      </c>
      <c r="P184" s="11"/>
      <c r="Q184" s="11">
        <v>4113</v>
      </c>
      <c r="R184" s="11">
        <v>9803</v>
      </c>
      <c r="S184" s="11">
        <v>5853</v>
      </c>
      <c r="T184" s="11">
        <v>5796</v>
      </c>
      <c r="U184" s="11">
        <v>9174</v>
      </c>
      <c r="V184" s="11">
        <v>6355</v>
      </c>
      <c r="W184" s="11">
        <v>12110</v>
      </c>
      <c r="X184" s="11"/>
      <c r="Y184" s="11">
        <v>93</v>
      </c>
      <c r="Z184" s="11">
        <v>6010</v>
      </c>
      <c r="AA184" s="11">
        <v>6664</v>
      </c>
      <c r="AB184" s="11">
        <v>5359</v>
      </c>
      <c r="AC184" s="17">
        <f t="shared" si="41"/>
        <v>0.10855108546205135</v>
      </c>
      <c r="AD184" s="11">
        <f t="shared" si="42"/>
        <v>5877.4285714285716</v>
      </c>
      <c r="AE184" s="11">
        <f t="shared" si="43"/>
        <v>7600.5714285714284</v>
      </c>
      <c r="AF184" s="28">
        <f t="shared" si="28"/>
        <v>1.2931797190219241</v>
      </c>
      <c r="AG184" s="42">
        <f t="shared" si="26"/>
        <v>0.2389391040572223</v>
      </c>
      <c r="AH184" s="14" t="str">
        <f t="shared" si="44"/>
        <v>-</v>
      </c>
      <c r="AI184" s="11">
        <f t="shared" si="29"/>
        <v>174</v>
      </c>
      <c r="AJ184" s="11">
        <f t="shared" si="30"/>
        <v>174</v>
      </c>
      <c r="AK184" s="11">
        <f t="shared" si="27"/>
        <v>0.28700156751700839</v>
      </c>
      <c r="AL184" s="42">
        <f t="shared" si="31"/>
        <v>0.28700156751700839</v>
      </c>
      <c r="AM184" s="14" t="str">
        <f t="shared" si="32"/>
        <v/>
      </c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</row>
    <row r="185" spans="1:56" ht="27" customHeight="1" x14ac:dyDescent="0.2">
      <c r="A185" s="10" t="s">
        <v>357</v>
      </c>
      <c r="B185" s="11">
        <v>393</v>
      </c>
      <c r="C185" s="2">
        <v>696.66319437247205</v>
      </c>
      <c r="D185" s="2">
        <v>16.398416666666702</v>
      </c>
      <c r="E185" s="2">
        <v>1</v>
      </c>
      <c r="F185" s="12" t="s">
        <v>454</v>
      </c>
      <c r="G185" s="12" t="s">
        <v>391</v>
      </c>
      <c r="H185" s="5"/>
      <c r="I185" s="11">
        <v>2870</v>
      </c>
      <c r="J185" s="11">
        <v>3698</v>
      </c>
      <c r="K185" s="11">
        <v>8531</v>
      </c>
      <c r="L185" s="11">
        <v>2854</v>
      </c>
      <c r="M185" s="11">
        <v>4116</v>
      </c>
      <c r="N185" s="11">
        <v>4033</v>
      </c>
      <c r="O185" s="11">
        <v>4732</v>
      </c>
      <c r="P185" s="11"/>
      <c r="Q185" s="11">
        <v>512</v>
      </c>
      <c r="R185" s="11">
        <v>2534</v>
      </c>
      <c r="S185" s="11">
        <v>1158</v>
      </c>
      <c r="T185" s="11">
        <v>1017</v>
      </c>
      <c r="U185" s="11">
        <v>2159</v>
      </c>
      <c r="V185" s="11">
        <v>796</v>
      </c>
      <c r="W185" s="11">
        <v>2495</v>
      </c>
      <c r="X185" s="11"/>
      <c r="Y185" s="11">
        <v>0</v>
      </c>
      <c r="Z185" s="11">
        <v>3022</v>
      </c>
      <c r="AA185" s="11">
        <v>2898</v>
      </c>
      <c r="AB185" s="11">
        <v>2718</v>
      </c>
      <c r="AC185" s="17">
        <f t="shared" si="41"/>
        <v>5.3087716554068964E-2</v>
      </c>
      <c r="AD185" s="11">
        <f t="shared" si="42"/>
        <v>4404.8571428571431</v>
      </c>
      <c r="AE185" s="11">
        <f t="shared" si="43"/>
        <v>1524.4285714285713</v>
      </c>
      <c r="AF185" s="28">
        <f t="shared" si="28"/>
        <v>0.34607900369721734</v>
      </c>
      <c r="AG185" s="42">
        <f t="shared" si="26"/>
        <v>6.71604175344235E-3</v>
      </c>
      <c r="AH185" s="14" t="str">
        <f t="shared" si="44"/>
        <v>**</v>
      </c>
      <c r="AI185" s="11">
        <f t="shared" si="29"/>
        <v>113</v>
      </c>
      <c r="AJ185" s="11">
        <f t="shared" si="30"/>
        <v>113</v>
      </c>
      <c r="AK185" s="11">
        <f t="shared" si="27"/>
        <v>1.2421705543977445E-2</v>
      </c>
      <c r="AL185" s="42">
        <f t="shared" si="31"/>
        <v>1.2421705543977445E-2</v>
      </c>
      <c r="AM185" s="14" t="str">
        <f t="shared" si="32"/>
        <v>**</v>
      </c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</row>
    <row r="186" spans="1:56" ht="27" customHeight="1" x14ac:dyDescent="0.2">
      <c r="A186" s="10" t="s">
        <v>357</v>
      </c>
      <c r="B186" s="11">
        <v>423</v>
      </c>
      <c r="C186" s="2">
        <v>640.60011303859301</v>
      </c>
      <c r="D186" s="2">
        <v>15.4585941176469</v>
      </c>
      <c r="E186" s="2">
        <v>1</v>
      </c>
      <c r="F186" s="12" t="s">
        <v>455</v>
      </c>
      <c r="G186" s="12" t="s">
        <v>391</v>
      </c>
      <c r="H186" s="5"/>
      <c r="I186" s="11">
        <v>2622</v>
      </c>
      <c r="J186" s="11">
        <v>2394</v>
      </c>
      <c r="K186" s="11">
        <v>7113</v>
      </c>
      <c r="L186" s="11">
        <v>2684</v>
      </c>
      <c r="M186" s="11">
        <v>2413</v>
      </c>
      <c r="N186" s="11">
        <v>4078</v>
      </c>
      <c r="O186" s="11">
        <v>3401</v>
      </c>
      <c r="P186" s="11"/>
      <c r="Q186" s="11">
        <v>3604</v>
      </c>
      <c r="R186" s="11">
        <v>5128</v>
      </c>
      <c r="S186" s="11">
        <v>4476</v>
      </c>
      <c r="T186" s="11">
        <v>5429</v>
      </c>
      <c r="U186" s="11">
        <v>4309</v>
      </c>
      <c r="V186" s="11">
        <v>5138</v>
      </c>
      <c r="W186" s="11">
        <v>7738</v>
      </c>
      <c r="X186" s="11"/>
      <c r="Y186" s="11">
        <v>129</v>
      </c>
      <c r="Z186" s="11">
        <v>3956</v>
      </c>
      <c r="AA186" s="11">
        <v>3858</v>
      </c>
      <c r="AB186" s="11">
        <v>3095</v>
      </c>
      <c r="AC186" s="17">
        <f t="shared" si="41"/>
        <v>0.12962568805661084</v>
      </c>
      <c r="AD186" s="11">
        <f t="shared" si="42"/>
        <v>3529.2857142857142</v>
      </c>
      <c r="AE186" s="11">
        <f t="shared" si="43"/>
        <v>5117.4285714285716</v>
      </c>
      <c r="AF186" s="28">
        <f t="shared" si="28"/>
        <v>1.4499898805909734</v>
      </c>
      <c r="AG186" s="42">
        <f t="shared" si="26"/>
        <v>7.5044748737498904E-2</v>
      </c>
      <c r="AH186" s="14" t="str">
        <f t="shared" si="44"/>
        <v>-</v>
      </c>
      <c r="AI186" s="11">
        <f t="shared" si="29"/>
        <v>154</v>
      </c>
      <c r="AJ186" s="11">
        <f t="shared" si="30"/>
        <v>154</v>
      </c>
      <c r="AK186" s="11">
        <f t="shared" si="27"/>
        <v>0.10184644471517709</v>
      </c>
      <c r="AL186" s="42">
        <f t="shared" si="31"/>
        <v>0.10184644471517709</v>
      </c>
      <c r="AM186" s="14" t="str">
        <f t="shared" si="32"/>
        <v/>
      </c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</row>
    <row r="187" spans="1:56" ht="27" customHeight="1" x14ac:dyDescent="0.2">
      <c r="A187" s="10" t="s">
        <v>357</v>
      </c>
      <c r="B187" s="11">
        <v>458</v>
      </c>
      <c r="C187" s="2">
        <v>716.63137129304596</v>
      </c>
      <c r="D187" s="2">
        <v>15.5477568627451</v>
      </c>
      <c r="E187" s="2">
        <v>1</v>
      </c>
      <c r="F187" s="12" t="s">
        <v>438</v>
      </c>
      <c r="G187" s="12" t="s">
        <v>391</v>
      </c>
      <c r="H187" s="5"/>
      <c r="I187" s="11">
        <v>1945</v>
      </c>
      <c r="J187" s="11">
        <v>3432</v>
      </c>
      <c r="K187" s="11">
        <v>6901</v>
      </c>
      <c r="L187" s="11">
        <v>3691</v>
      </c>
      <c r="M187" s="11">
        <v>3464</v>
      </c>
      <c r="N187" s="11">
        <v>3915</v>
      </c>
      <c r="O187" s="11">
        <v>3904</v>
      </c>
      <c r="P187" s="11"/>
      <c r="Q187" s="11">
        <v>1675</v>
      </c>
      <c r="R187" s="11">
        <v>6445</v>
      </c>
      <c r="S187" s="11">
        <v>2703</v>
      </c>
      <c r="T187" s="11">
        <v>3351</v>
      </c>
      <c r="U187" s="11">
        <v>2676</v>
      </c>
      <c r="V187" s="11">
        <v>2595</v>
      </c>
      <c r="W187" s="11">
        <v>5939</v>
      </c>
      <c r="X187" s="11"/>
      <c r="Y187" s="11">
        <v>0</v>
      </c>
      <c r="Z187" s="11">
        <v>3485</v>
      </c>
      <c r="AA187" s="11">
        <v>3500</v>
      </c>
      <c r="AB187" s="11">
        <v>2751</v>
      </c>
      <c r="AC187" s="17">
        <f t="shared" si="41"/>
        <v>0.13193434142232685</v>
      </c>
      <c r="AD187" s="11">
        <f t="shared" si="42"/>
        <v>3893.1428571428573</v>
      </c>
      <c r="AE187" s="11">
        <f t="shared" si="43"/>
        <v>3626.2857142857142</v>
      </c>
      <c r="AF187" s="28">
        <f t="shared" si="28"/>
        <v>0.93145457214149419</v>
      </c>
      <c r="AG187" s="42">
        <f t="shared" si="26"/>
        <v>0.76966511072049393</v>
      </c>
      <c r="AH187" s="14" t="str">
        <f t="shared" si="44"/>
        <v>-</v>
      </c>
      <c r="AI187" s="11">
        <f t="shared" si="29"/>
        <v>200</v>
      </c>
      <c r="AJ187" s="11">
        <f t="shared" si="30"/>
        <v>200</v>
      </c>
      <c r="AK187" s="11">
        <f t="shared" si="27"/>
        <v>0.80430004070291616</v>
      </c>
      <c r="AL187" s="42">
        <f t="shared" si="31"/>
        <v>0.80430004070291616</v>
      </c>
      <c r="AM187" s="14" t="str">
        <f t="shared" si="32"/>
        <v/>
      </c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</row>
    <row r="188" spans="1:56" ht="27" customHeight="1" x14ac:dyDescent="0.2">
      <c r="A188" s="10" t="s">
        <v>357</v>
      </c>
      <c r="B188" s="11">
        <v>646</v>
      </c>
      <c r="C188" s="2">
        <v>724.69432767043998</v>
      </c>
      <c r="D188" s="2">
        <v>16.7445294117645</v>
      </c>
      <c r="E188" s="2">
        <v>1</v>
      </c>
      <c r="F188" s="12" t="s">
        <v>487</v>
      </c>
      <c r="G188" s="12" t="s">
        <v>391</v>
      </c>
      <c r="H188" s="5"/>
      <c r="I188" s="11">
        <v>1050</v>
      </c>
      <c r="J188" s="11">
        <v>1513</v>
      </c>
      <c r="K188" s="11">
        <v>4086</v>
      </c>
      <c r="L188" s="11">
        <v>1154</v>
      </c>
      <c r="M188" s="11">
        <v>1628</v>
      </c>
      <c r="N188" s="11">
        <v>1470</v>
      </c>
      <c r="O188" s="11">
        <v>2298</v>
      </c>
      <c r="P188" s="11"/>
      <c r="Q188" s="11">
        <v>284</v>
      </c>
      <c r="R188" s="11">
        <v>1149</v>
      </c>
      <c r="S188" s="11">
        <v>555</v>
      </c>
      <c r="T188" s="11">
        <v>845</v>
      </c>
      <c r="U188" s="11">
        <v>862</v>
      </c>
      <c r="V188" s="11">
        <v>552</v>
      </c>
      <c r="W188" s="11">
        <v>1152</v>
      </c>
      <c r="X188" s="11"/>
      <c r="Y188" s="11">
        <v>0</v>
      </c>
      <c r="Z188" s="11">
        <v>1300</v>
      </c>
      <c r="AA188" s="11">
        <v>1485</v>
      </c>
      <c r="AB188" s="11">
        <v>1200</v>
      </c>
      <c r="AC188" s="17">
        <f t="shared" si="41"/>
        <v>0.10885606638265481</v>
      </c>
      <c r="AD188" s="11">
        <f t="shared" si="42"/>
        <v>1885.5714285714287</v>
      </c>
      <c r="AE188" s="11">
        <f t="shared" si="43"/>
        <v>771.28571428571433</v>
      </c>
      <c r="AF188" s="28">
        <f t="shared" si="28"/>
        <v>0.40904613985908023</v>
      </c>
      <c r="AG188" s="42">
        <f t="shared" si="26"/>
        <v>3.0942466418934667E-2</v>
      </c>
      <c r="AH188" s="14" t="str">
        <f t="shared" si="44"/>
        <v>*</v>
      </c>
      <c r="AI188" s="11">
        <f t="shared" si="29"/>
        <v>142</v>
      </c>
      <c r="AJ188" s="11">
        <f t="shared" si="30"/>
        <v>142</v>
      </c>
      <c r="AK188" s="11">
        <f t="shared" si="27"/>
        <v>4.5542080856037649E-2</v>
      </c>
      <c r="AL188" s="42">
        <f t="shared" si="31"/>
        <v>4.5542080856037649E-2</v>
      </c>
      <c r="AM188" s="14" t="str">
        <f t="shared" si="32"/>
        <v>**</v>
      </c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</row>
    <row r="189" spans="1:56" ht="27" customHeight="1" x14ac:dyDescent="0.2">
      <c r="A189" s="10" t="s">
        <v>357</v>
      </c>
      <c r="B189" s="11">
        <v>657</v>
      </c>
      <c r="C189" s="2">
        <v>664.60095626438294</v>
      </c>
      <c r="D189" s="2">
        <v>15.220601041666599</v>
      </c>
      <c r="E189" s="2">
        <v>1</v>
      </c>
      <c r="F189" s="12" t="s">
        <v>472</v>
      </c>
      <c r="G189" s="12" t="s">
        <v>391</v>
      </c>
      <c r="H189" s="5"/>
      <c r="I189" s="11">
        <v>1476</v>
      </c>
      <c r="J189" s="11">
        <v>1511</v>
      </c>
      <c r="K189" s="11">
        <v>3084</v>
      </c>
      <c r="L189" s="11">
        <v>1765</v>
      </c>
      <c r="M189" s="11">
        <v>1577</v>
      </c>
      <c r="N189" s="11">
        <v>2095</v>
      </c>
      <c r="O189" s="11">
        <v>2388</v>
      </c>
      <c r="P189" s="11"/>
      <c r="Q189" s="11">
        <v>1476</v>
      </c>
      <c r="R189" s="11">
        <v>3107</v>
      </c>
      <c r="S189" s="11">
        <v>1746</v>
      </c>
      <c r="T189" s="11">
        <v>2397</v>
      </c>
      <c r="U189" s="11">
        <v>3260</v>
      </c>
      <c r="V189" s="11">
        <v>2468</v>
      </c>
      <c r="W189" s="11">
        <v>4006</v>
      </c>
      <c r="X189" s="11"/>
      <c r="Y189" s="11">
        <v>0</v>
      </c>
      <c r="Z189" s="11">
        <v>2203</v>
      </c>
      <c r="AA189" s="11">
        <v>2351</v>
      </c>
      <c r="AB189" s="11">
        <v>2034</v>
      </c>
      <c r="AC189" s="17">
        <f t="shared" si="41"/>
        <v>7.222945730108285E-2</v>
      </c>
      <c r="AD189" s="11">
        <f t="shared" si="42"/>
        <v>1985.1428571428571</v>
      </c>
      <c r="AE189" s="11">
        <f t="shared" si="43"/>
        <v>2637.1428571428573</v>
      </c>
      <c r="AF189" s="28">
        <f t="shared" si="28"/>
        <v>1.3284398388025331</v>
      </c>
      <c r="AG189" s="42">
        <f t="shared" si="26"/>
        <v>0.13474019695669387</v>
      </c>
      <c r="AH189" s="14" t="str">
        <f t="shared" si="44"/>
        <v>-</v>
      </c>
      <c r="AI189" s="11">
        <f t="shared" si="29"/>
        <v>162</v>
      </c>
      <c r="AJ189" s="11">
        <f t="shared" si="30"/>
        <v>162</v>
      </c>
      <c r="AK189" s="11">
        <f t="shared" si="27"/>
        <v>0.17383148866635195</v>
      </c>
      <c r="AL189" s="42">
        <f t="shared" si="31"/>
        <v>0.17383148866635195</v>
      </c>
      <c r="AM189" s="14" t="str">
        <f t="shared" si="32"/>
        <v/>
      </c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</row>
    <row r="190" spans="1:56" ht="27" customHeight="1" x14ac:dyDescent="0.2">
      <c r="A190" s="10" t="s">
        <v>357</v>
      </c>
      <c r="B190" s="11">
        <v>708</v>
      </c>
      <c r="C190" s="2">
        <v>692.63194850925299</v>
      </c>
      <c r="D190" s="2">
        <v>15.7432072916666</v>
      </c>
      <c r="E190" s="2">
        <v>1</v>
      </c>
      <c r="F190" s="12" t="s">
        <v>473</v>
      </c>
      <c r="G190" s="12" t="s">
        <v>391</v>
      </c>
      <c r="H190" s="5"/>
      <c r="I190" s="11">
        <v>1294</v>
      </c>
      <c r="J190" s="11">
        <v>1258</v>
      </c>
      <c r="K190" s="11">
        <v>3606</v>
      </c>
      <c r="L190" s="11">
        <v>1571</v>
      </c>
      <c r="M190" s="11">
        <v>1533</v>
      </c>
      <c r="N190" s="11">
        <v>2876</v>
      </c>
      <c r="O190" s="11">
        <v>2399</v>
      </c>
      <c r="P190" s="11"/>
      <c r="Q190" s="11">
        <v>1075</v>
      </c>
      <c r="R190" s="11">
        <v>3506</v>
      </c>
      <c r="S190" s="11">
        <v>1411</v>
      </c>
      <c r="T190" s="11">
        <v>1833</v>
      </c>
      <c r="U190" s="11">
        <v>1854</v>
      </c>
      <c r="V190" s="11">
        <v>2187</v>
      </c>
      <c r="W190" s="11">
        <v>3355</v>
      </c>
      <c r="X190" s="11"/>
      <c r="Y190" s="11">
        <v>0</v>
      </c>
      <c r="Z190" s="11">
        <v>1911</v>
      </c>
      <c r="AA190" s="11">
        <v>1864</v>
      </c>
      <c r="AB190" s="11">
        <v>1467</v>
      </c>
      <c r="AC190" s="17">
        <f t="shared" si="41"/>
        <v>0.13959013890436697</v>
      </c>
      <c r="AD190" s="11">
        <f t="shared" si="42"/>
        <v>2076.7142857142858</v>
      </c>
      <c r="AE190" s="11">
        <f t="shared" si="43"/>
        <v>2174.4285714285716</v>
      </c>
      <c r="AF190" s="28">
        <f t="shared" si="28"/>
        <v>1.0470523491779598</v>
      </c>
      <c r="AG190" s="42">
        <f t="shared" si="26"/>
        <v>0.84534865745635779</v>
      </c>
      <c r="AH190" s="14" t="str">
        <f t="shared" si="44"/>
        <v>-</v>
      </c>
      <c r="AI190" s="11">
        <f t="shared" si="29"/>
        <v>204</v>
      </c>
      <c r="AJ190" s="11">
        <f t="shared" si="30"/>
        <v>204</v>
      </c>
      <c r="AK190" s="11">
        <f t="shared" si="27"/>
        <v>0.86606798729597434</v>
      </c>
      <c r="AL190" s="42">
        <f t="shared" si="31"/>
        <v>0.86606798729597434</v>
      </c>
      <c r="AM190" s="14" t="str">
        <f t="shared" si="32"/>
        <v/>
      </c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</row>
    <row r="191" spans="1:56" ht="27" customHeight="1" x14ac:dyDescent="0.2">
      <c r="A191" s="10" t="s">
        <v>357</v>
      </c>
      <c r="B191" s="11">
        <v>821</v>
      </c>
      <c r="C191" s="2">
        <v>670.64742082626503</v>
      </c>
      <c r="D191" s="2">
        <v>16.365727450980401</v>
      </c>
      <c r="E191" s="2">
        <v>1</v>
      </c>
      <c r="F191" s="12" t="s">
        <v>485</v>
      </c>
      <c r="G191" s="12" t="s">
        <v>391</v>
      </c>
      <c r="H191" s="5"/>
      <c r="I191" s="11">
        <v>592</v>
      </c>
      <c r="J191" s="11">
        <v>933</v>
      </c>
      <c r="K191" s="11">
        <v>2435</v>
      </c>
      <c r="L191" s="11">
        <v>1022</v>
      </c>
      <c r="M191" s="11">
        <v>1233</v>
      </c>
      <c r="N191" s="11">
        <v>1727</v>
      </c>
      <c r="O191" s="11">
        <v>1745</v>
      </c>
      <c r="P191" s="11"/>
      <c r="Q191" s="11">
        <v>564</v>
      </c>
      <c r="R191" s="11">
        <v>2157</v>
      </c>
      <c r="S191" s="11">
        <v>1468</v>
      </c>
      <c r="T191" s="11">
        <v>1816</v>
      </c>
      <c r="U191" s="11">
        <v>1821</v>
      </c>
      <c r="V191" s="11">
        <v>1436</v>
      </c>
      <c r="W191" s="11">
        <v>2932</v>
      </c>
      <c r="X191" s="11"/>
      <c r="Y191" s="11">
        <v>61</v>
      </c>
      <c r="Z191" s="11">
        <v>1519</v>
      </c>
      <c r="AA191" s="11">
        <v>1438</v>
      </c>
      <c r="AB191" s="11">
        <v>1233</v>
      </c>
      <c r="AC191" s="17">
        <f t="shared" si="41"/>
        <v>0.10554567115544934</v>
      </c>
      <c r="AD191" s="11">
        <f t="shared" si="42"/>
        <v>1383.8571428571429</v>
      </c>
      <c r="AE191" s="11">
        <f t="shared" si="43"/>
        <v>1742</v>
      </c>
      <c r="AF191" s="28">
        <f t="shared" si="28"/>
        <v>1.2588004542169917</v>
      </c>
      <c r="AG191" s="42">
        <f t="shared" si="26"/>
        <v>0.34201332002870011</v>
      </c>
      <c r="AH191" s="14" t="str">
        <f t="shared" si="44"/>
        <v>-</v>
      </c>
      <c r="AI191" s="11">
        <f t="shared" si="29"/>
        <v>181</v>
      </c>
      <c r="AJ191" s="11">
        <f t="shared" si="30"/>
        <v>181</v>
      </c>
      <c r="AK191" s="11">
        <f t="shared" si="27"/>
        <v>0.39492145793369238</v>
      </c>
      <c r="AL191" s="42">
        <f t="shared" si="31"/>
        <v>0.39492145793369238</v>
      </c>
      <c r="AM191" s="14" t="str">
        <f t="shared" si="32"/>
        <v/>
      </c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</row>
    <row r="192" spans="1:56" ht="27" customHeight="1" x14ac:dyDescent="0.2">
      <c r="A192" s="10" t="s">
        <v>357</v>
      </c>
      <c r="B192" s="11">
        <v>1560</v>
      </c>
      <c r="C192" s="2">
        <v>718.64688537783798</v>
      </c>
      <c r="D192" s="2">
        <v>15.8726022222222</v>
      </c>
      <c r="E192" s="2">
        <v>1</v>
      </c>
      <c r="F192" s="12" t="s">
        <v>494</v>
      </c>
      <c r="G192" s="12" t="s">
        <v>391</v>
      </c>
      <c r="H192" s="5"/>
      <c r="I192" s="11">
        <v>274</v>
      </c>
      <c r="J192" s="11">
        <v>400</v>
      </c>
      <c r="K192" s="11">
        <v>1254</v>
      </c>
      <c r="L192" s="11">
        <v>455</v>
      </c>
      <c r="M192" s="11">
        <v>461</v>
      </c>
      <c r="N192" s="11">
        <v>643</v>
      </c>
      <c r="O192" s="11">
        <v>641</v>
      </c>
      <c r="P192" s="11"/>
      <c r="Q192" s="11">
        <v>329</v>
      </c>
      <c r="R192" s="11">
        <v>1025</v>
      </c>
      <c r="S192" s="11">
        <v>367</v>
      </c>
      <c r="T192" s="11">
        <v>524</v>
      </c>
      <c r="U192" s="11">
        <v>272</v>
      </c>
      <c r="V192" s="11">
        <v>179</v>
      </c>
      <c r="W192" s="11">
        <v>915</v>
      </c>
      <c r="X192" s="11"/>
      <c r="Y192" s="11">
        <v>0</v>
      </c>
      <c r="Z192" s="11">
        <v>406</v>
      </c>
      <c r="AA192" s="11">
        <v>463</v>
      </c>
      <c r="AB192" s="11">
        <v>486</v>
      </c>
      <c r="AC192" s="17">
        <f t="shared" si="41"/>
        <v>9.1187972080168087E-2</v>
      </c>
      <c r="AD192" s="11">
        <f t="shared" si="42"/>
        <v>589.71428571428567</v>
      </c>
      <c r="AE192" s="11">
        <f t="shared" si="43"/>
        <v>515.85714285714289</v>
      </c>
      <c r="AF192" s="28">
        <f t="shared" si="28"/>
        <v>0.87475775193798466</v>
      </c>
      <c r="AG192" s="42">
        <f t="shared" si="26"/>
        <v>0.67804700771815707</v>
      </c>
      <c r="AH192" s="14" t="str">
        <f t="shared" si="44"/>
        <v>-</v>
      </c>
      <c r="AI192" s="11">
        <f t="shared" si="29"/>
        <v>196</v>
      </c>
      <c r="AJ192" s="11">
        <f t="shared" si="30"/>
        <v>196</v>
      </c>
      <c r="AK192" s="11">
        <f t="shared" si="27"/>
        <v>0.72301951333211645</v>
      </c>
      <c r="AL192" s="42">
        <f t="shared" si="31"/>
        <v>0.72301951333211645</v>
      </c>
      <c r="AM192" s="14" t="str">
        <f t="shared" si="32"/>
        <v/>
      </c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</row>
    <row r="193" spans="1:56" ht="27" customHeight="1" x14ac:dyDescent="0.2">
      <c r="A193" s="10" t="s">
        <v>357</v>
      </c>
      <c r="B193" s="11">
        <v>1629</v>
      </c>
      <c r="C193" s="2">
        <v>694.64876268077603</v>
      </c>
      <c r="D193" s="2">
        <v>16.081298958333299</v>
      </c>
      <c r="E193" s="2">
        <v>1</v>
      </c>
      <c r="F193" s="12" t="s">
        <v>492</v>
      </c>
      <c r="G193" s="12" t="s">
        <v>391</v>
      </c>
      <c r="H193" s="5"/>
      <c r="I193" s="11">
        <v>251</v>
      </c>
      <c r="J193" s="11">
        <v>387</v>
      </c>
      <c r="K193" s="11">
        <v>1189</v>
      </c>
      <c r="L193" s="11">
        <v>540</v>
      </c>
      <c r="M193" s="11">
        <v>388</v>
      </c>
      <c r="N193" s="11">
        <v>611</v>
      </c>
      <c r="O193" s="11">
        <v>540</v>
      </c>
      <c r="P193" s="11"/>
      <c r="Q193" s="11">
        <v>158</v>
      </c>
      <c r="R193" s="11">
        <v>814</v>
      </c>
      <c r="S193" s="11">
        <v>366</v>
      </c>
      <c r="T193" s="11">
        <v>657</v>
      </c>
      <c r="U193" s="11">
        <v>490</v>
      </c>
      <c r="V193" s="11">
        <v>463</v>
      </c>
      <c r="W193" s="11">
        <v>900</v>
      </c>
      <c r="X193" s="11"/>
      <c r="Y193" s="11">
        <v>0</v>
      </c>
      <c r="Z193" s="11">
        <v>473</v>
      </c>
      <c r="AA193" s="11">
        <v>461</v>
      </c>
      <c r="AB193" s="11">
        <v>444</v>
      </c>
      <c r="AC193" s="17">
        <f t="shared" si="41"/>
        <v>3.1723502168932355E-2</v>
      </c>
      <c r="AD193" s="11">
        <f t="shared" si="42"/>
        <v>558</v>
      </c>
      <c r="AE193" s="11">
        <f t="shared" si="43"/>
        <v>549.71428571428567</v>
      </c>
      <c r="AF193" s="28">
        <f t="shared" si="28"/>
        <v>0.98515104966717859</v>
      </c>
      <c r="AG193" s="42">
        <f t="shared" si="26"/>
        <v>0.95713654608872645</v>
      </c>
      <c r="AH193" s="14" t="str">
        <f t="shared" si="44"/>
        <v>-</v>
      </c>
      <c r="AI193" s="11">
        <f t="shared" si="29"/>
        <v>209</v>
      </c>
      <c r="AJ193" s="11">
        <f t="shared" si="30"/>
        <v>209</v>
      </c>
      <c r="AK193" s="11">
        <f t="shared" si="27"/>
        <v>0.95713654608872645</v>
      </c>
      <c r="AL193" s="42">
        <f t="shared" si="31"/>
        <v>0.95713654608872645</v>
      </c>
      <c r="AM193" s="14" t="str">
        <f t="shared" si="32"/>
        <v/>
      </c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</row>
    <row r="194" spans="1:56" ht="27" customHeight="1" x14ac:dyDescent="0.2">
      <c r="A194" s="10" t="s">
        <v>357</v>
      </c>
      <c r="B194" s="11">
        <v>2227</v>
      </c>
      <c r="C194" s="2">
        <v>614.58286826652795</v>
      </c>
      <c r="D194" s="2">
        <v>15.3865435897435</v>
      </c>
      <c r="E194" s="2">
        <v>1</v>
      </c>
      <c r="F194" s="12" t="s">
        <v>643</v>
      </c>
      <c r="G194" s="12" t="s">
        <v>391</v>
      </c>
      <c r="H194" s="5"/>
      <c r="I194" s="11">
        <v>252</v>
      </c>
      <c r="J194" s="11">
        <v>185</v>
      </c>
      <c r="K194" s="11">
        <v>607</v>
      </c>
      <c r="L194" s="11">
        <v>391</v>
      </c>
      <c r="M194" s="11">
        <v>255</v>
      </c>
      <c r="N194" s="11">
        <v>271</v>
      </c>
      <c r="O194" s="11">
        <v>296</v>
      </c>
      <c r="P194" s="11"/>
      <c r="Q194" s="11">
        <v>260</v>
      </c>
      <c r="R194" s="11">
        <v>457</v>
      </c>
      <c r="S194" s="11">
        <v>354</v>
      </c>
      <c r="T194" s="11">
        <v>395</v>
      </c>
      <c r="U194" s="11">
        <v>440</v>
      </c>
      <c r="V194" s="11">
        <v>280</v>
      </c>
      <c r="W194" s="11">
        <v>803</v>
      </c>
      <c r="X194" s="11"/>
      <c r="Y194" s="11">
        <v>0</v>
      </c>
      <c r="Z194" s="11">
        <v>386</v>
      </c>
      <c r="AA194" s="11">
        <v>319</v>
      </c>
      <c r="AB194" s="11">
        <v>270</v>
      </c>
      <c r="AC194" s="17">
        <f t="shared" si="41"/>
        <v>0.17917628752665438</v>
      </c>
      <c r="AD194" s="11">
        <f t="shared" si="42"/>
        <v>322.42857142857144</v>
      </c>
      <c r="AE194" s="11">
        <f t="shared" si="43"/>
        <v>427</v>
      </c>
      <c r="AF194" s="28">
        <f t="shared" si="28"/>
        <v>1.3243243243243243</v>
      </c>
      <c r="AG194" s="42">
        <f t="shared" si="26"/>
        <v>0.25250167766395226</v>
      </c>
      <c r="AH194" s="14" t="str">
        <f t="shared" si="44"/>
        <v>-</v>
      </c>
      <c r="AI194" s="11">
        <f t="shared" si="29"/>
        <v>175</v>
      </c>
      <c r="AJ194" s="11">
        <f t="shared" si="30"/>
        <v>175</v>
      </c>
      <c r="AK194" s="11">
        <f t="shared" si="27"/>
        <v>0.30155914646723442</v>
      </c>
      <c r="AL194" s="42">
        <f t="shared" si="31"/>
        <v>0.30155914646723442</v>
      </c>
      <c r="AM194" s="14" t="str">
        <f t="shared" si="32"/>
        <v/>
      </c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</row>
    <row r="195" spans="1:56" ht="27" customHeight="1" x14ac:dyDescent="0.2">
      <c r="A195" s="10" t="s">
        <v>357</v>
      </c>
      <c r="B195" s="11">
        <v>3019</v>
      </c>
      <c r="C195" s="2">
        <v>752.72579009485196</v>
      </c>
      <c r="D195" s="2">
        <v>17.021325641025602</v>
      </c>
      <c r="E195" s="2">
        <v>1</v>
      </c>
      <c r="F195" s="12" t="s">
        <v>496</v>
      </c>
      <c r="G195" s="12" t="s">
        <v>391</v>
      </c>
      <c r="H195" s="5"/>
      <c r="I195" s="11">
        <v>166</v>
      </c>
      <c r="J195" s="11">
        <v>205</v>
      </c>
      <c r="K195" s="11">
        <v>577</v>
      </c>
      <c r="L195" s="11">
        <v>238</v>
      </c>
      <c r="M195" s="11">
        <v>361</v>
      </c>
      <c r="N195" s="11">
        <v>146</v>
      </c>
      <c r="O195" s="11">
        <v>290</v>
      </c>
      <c r="P195" s="11"/>
      <c r="Q195" s="11">
        <v>161</v>
      </c>
      <c r="R195" s="11">
        <v>439</v>
      </c>
      <c r="S195" s="11">
        <v>210</v>
      </c>
      <c r="T195" s="11">
        <v>538</v>
      </c>
      <c r="U195" s="11">
        <v>401</v>
      </c>
      <c r="V195" s="11">
        <v>413</v>
      </c>
      <c r="W195" s="11">
        <v>516</v>
      </c>
      <c r="X195" s="11"/>
      <c r="Y195" s="11">
        <v>0</v>
      </c>
      <c r="Z195" s="11">
        <v>233</v>
      </c>
      <c r="AA195" s="11">
        <v>297</v>
      </c>
      <c r="AB195" s="11">
        <v>193</v>
      </c>
      <c r="AC195" s="17">
        <f t="shared" si="41"/>
        <v>0.21767430786064731</v>
      </c>
      <c r="AD195" s="11">
        <f t="shared" si="42"/>
        <v>283.28571428571428</v>
      </c>
      <c r="AE195" s="11">
        <f t="shared" si="43"/>
        <v>382.57142857142856</v>
      </c>
      <c r="AF195" s="28">
        <f t="shared" si="28"/>
        <v>1.35047907211296</v>
      </c>
      <c r="AG195" s="42">
        <f t="shared" si="26"/>
        <v>0.22964773179658102</v>
      </c>
      <c r="AH195" s="14" t="str">
        <f t="shared" si="44"/>
        <v>-</v>
      </c>
      <c r="AI195" s="11">
        <f t="shared" si="29"/>
        <v>173</v>
      </c>
      <c r="AJ195" s="11">
        <f t="shared" si="30"/>
        <v>173</v>
      </c>
      <c r="AK195" s="11">
        <f t="shared" si="27"/>
        <v>0.27743569910685223</v>
      </c>
      <c r="AL195" s="42">
        <f t="shared" si="31"/>
        <v>0.27743569910685223</v>
      </c>
      <c r="AM195" s="14" t="str">
        <f t="shared" si="32"/>
        <v/>
      </c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</row>
    <row r="196" spans="1:56" ht="27" customHeight="1" x14ac:dyDescent="0.2">
      <c r="A196" s="10" t="s">
        <v>357</v>
      </c>
      <c r="B196" s="11">
        <v>3544</v>
      </c>
      <c r="C196" s="2">
        <v>744.66250080175303</v>
      </c>
      <c r="D196" s="2">
        <v>16.019198148148099</v>
      </c>
      <c r="E196" s="2">
        <v>1</v>
      </c>
      <c r="F196" s="12" t="s">
        <v>654</v>
      </c>
      <c r="G196" s="12" t="s">
        <v>391</v>
      </c>
      <c r="H196" s="5"/>
      <c r="I196" s="11">
        <v>0</v>
      </c>
      <c r="J196" s="11">
        <v>99</v>
      </c>
      <c r="K196" s="11">
        <v>204</v>
      </c>
      <c r="L196" s="11">
        <v>131</v>
      </c>
      <c r="M196" s="11">
        <v>125</v>
      </c>
      <c r="N196" s="11">
        <v>0</v>
      </c>
      <c r="O196" s="11">
        <v>0</v>
      </c>
      <c r="P196" s="11"/>
      <c r="Q196" s="11">
        <v>161</v>
      </c>
      <c r="R196" s="11">
        <v>439</v>
      </c>
      <c r="S196" s="11">
        <v>241</v>
      </c>
      <c r="T196" s="11">
        <v>196</v>
      </c>
      <c r="U196" s="11">
        <v>196</v>
      </c>
      <c r="V196" s="11">
        <v>161</v>
      </c>
      <c r="W196" s="11">
        <v>291</v>
      </c>
      <c r="X196" s="11"/>
      <c r="Y196" s="11">
        <v>0</v>
      </c>
      <c r="Z196" s="11">
        <v>121</v>
      </c>
      <c r="AA196" s="11">
        <v>164</v>
      </c>
      <c r="AB196" s="11">
        <v>178</v>
      </c>
      <c r="AC196" s="17">
        <f t="shared" si="41"/>
        <v>0.19246714625239081</v>
      </c>
      <c r="AD196" s="11">
        <f t="shared" si="42"/>
        <v>79.857142857142861</v>
      </c>
      <c r="AE196" s="11">
        <f t="shared" si="43"/>
        <v>240.71428571428572</v>
      </c>
      <c r="AF196" s="28">
        <f t="shared" si="28"/>
        <v>3.0143112701252237</v>
      </c>
      <c r="AG196" s="42">
        <f t="shared" ref="AG196:AG212" si="45">TTEST(I196:O196,Q196:W196,2,3)</f>
        <v>6.3091762226787206E-3</v>
      </c>
      <c r="AH196" s="14" t="str">
        <f t="shared" si="44"/>
        <v>**</v>
      </c>
      <c r="AI196" s="11">
        <f t="shared" si="29"/>
        <v>110</v>
      </c>
      <c r="AJ196" s="11">
        <f t="shared" si="30"/>
        <v>110</v>
      </c>
      <c r="AK196" s="11">
        <f t="shared" ref="AK196:AK212" si="46">MIN(AG196*$AJ$3/AJ196,1)</f>
        <v>1.1987434823089569E-2</v>
      </c>
      <c r="AL196" s="42">
        <f t="shared" si="31"/>
        <v>1.1987434823089569E-2</v>
      </c>
      <c r="AM196" s="14" t="str">
        <f t="shared" si="32"/>
        <v>**</v>
      </c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</row>
    <row r="197" spans="1:56" ht="27" customHeight="1" x14ac:dyDescent="0.2">
      <c r="A197" s="10" t="s">
        <v>357</v>
      </c>
      <c r="B197" s="11">
        <v>3765</v>
      </c>
      <c r="C197" s="2">
        <v>698.67860890245095</v>
      </c>
      <c r="D197" s="2">
        <v>16.717911111111</v>
      </c>
      <c r="E197" s="2">
        <v>2</v>
      </c>
      <c r="F197" s="12" t="s">
        <v>657</v>
      </c>
      <c r="G197" s="12" t="s">
        <v>391</v>
      </c>
      <c r="H197" s="5"/>
      <c r="I197" s="11">
        <v>125</v>
      </c>
      <c r="J197" s="11">
        <v>163</v>
      </c>
      <c r="K197" s="11">
        <v>409</v>
      </c>
      <c r="L197" s="11">
        <v>156</v>
      </c>
      <c r="M197" s="11">
        <v>284</v>
      </c>
      <c r="N197" s="11">
        <v>216</v>
      </c>
      <c r="O197" s="11">
        <v>222</v>
      </c>
      <c r="P197" s="11"/>
      <c r="Q197" s="11">
        <v>0</v>
      </c>
      <c r="R197" s="11">
        <v>194</v>
      </c>
      <c r="S197" s="11">
        <v>119</v>
      </c>
      <c r="T197" s="11">
        <v>125</v>
      </c>
      <c r="U197" s="11">
        <v>144</v>
      </c>
      <c r="V197" s="11">
        <v>101</v>
      </c>
      <c r="W197" s="11">
        <v>333</v>
      </c>
      <c r="X197" s="11"/>
      <c r="Y197" s="11">
        <v>0</v>
      </c>
      <c r="Z197" s="11">
        <v>188</v>
      </c>
      <c r="AA197" s="11">
        <v>179</v>
      </c>
      <c r="AB197" s="11">
        <v>142</v>
      </c>
      <c r="AC197" s="17">
        <f t="shared" si="41"/>
        <v>0.14368734383675116</v>
      </c>
      <c r="AD197" s="11">
        <f t="shared" si="42"/>
        <v>225</v>
      </c>
      <c r="AE197" s="11">
        <f t="shared" si="43"/>
        <v>145.14285714285714</v>
      </c>
      <c r="AF197" s="28">
        <f t="shared" ref="AF197:AF212" si="47">AE197/AD197</f>
        <v>0.64507936507936503</v>
      </c>
      <c r="AG197" s="42">
        <f t="shared" si="45"/>
        <v>0.15753860064668365</v>
      </c>
      <c r="AH197" s="14" t="str">
        <f t="shared" si="44"/>
        <v>-</v>
      </c>
      <c r="AI197" s="11">
        <f t="shared" ref="AI197:AI212" si="48">_xlfn.RANK.EQ(AG197,$AG$4:$AG$212,1)</f>
        <v>166</v>
      </c>
      <c r="AJ197" s="11">
        <f t="shared" ref="AJ197:AJ212" si="49">COUNTIF($AI$4:$AI$212,AI197)+AI197-1</f>
        <v>166</v>
      </c>
      <c r="AK197" s="11">
        <f t="shared" si="46"/>
        <v>0.19834679238046313</v>
      </c>
      <c r="AL197" s="42">
        <f t="shared" ref="AL197:AL212" si="50">MIN(AK197,IFERROR(VLOOKUP(AJ197+1,$AJ$4:$AL$212,3,FALSE),1))</f>
        <v>0.19834679238046313</v>
      </c>
      <c r="AM197" s="14" t="str">
        <f t="shared" ref="AM197:AM212" si="51">IF(AL197&lt;0.05,"**",IF(AL197&lt;0.1,"*",""))</f>
        <v/>
      </c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</row>
    <row r="198" spans="1:56" ht="27" customHeight="1" x14ac:dyDescent="0.2">
      <c r="A198" s="10" t="s">
        <v>357</v>
      </c>
      <c r="B198" s="11">
        <v>1314</v>
      </c>
      <c r="C198" s="2">
        <v>738.67379191560406</v>
      </c>
      <c r="D198" s="2">
        <v>15.605980952381</v>
      </c>
      <c r="E198" s="2">
        <v>1</v>
      </c>
      <c r="F198" s="12" t="s">
        <v>625</v>
      </c>
      <c r="G198" s="12" t="s">
        <v>626</v>
      </c>
      <c r="H198" s="5"/>
      <c r="I198" s="11">
        <v>659</v>
      </c>
      <c r="J198" s="11">
        <v>739</v>
      </c>
      <c r="K198" s="11">
        <v>1237</v>
      </c>
      <c r="L198" s="11">
        <v>579</v>
      </c>
      <c r="M198" s="11">
        <v>702</v>
      </c>
      <c r="N198" s="11">
        <v>658</v>
      </c>
      <c r="O198" s="11">
        <v>1559</v>
      </c>
      <c r="P198" s="11"/>
      <c r="Q198" s="11">
        <v>680</v>
      </c>
      <c r="R198" s="11">
        <v>1081</v>
      </c>
      <c r="S198" s="11">
        <v>755</v>
      </c>
      <c r="T198" s="11">
        <v>922</v>
      </c>
      <c r="U198" s="11">
        <v>1112</v>
      </c>
      <c r="V198" s="11">
        <v>1024</v>
      </c>
      <c r="W198" s="11">
        <v>1499</v>
      </c>
      <c r="X198" s="11"/>
      <c r="Y198" s="11">
        <v>0</v>
      </c>
      <c r="Z198" s="11">
        <v>888</v>
      </c>
      <c r="AA198" s="11">
        <v>918</v>
      </c>
      <c r="AB198" s="11">
        <v>770</v>
      </c>
      <c r="AC198" s="17">
        <f t="shared" si="41"/>
        <v>9.1116789865923475E-2</v>
      </c>
      <c r="AD198" s="11">
        <f t="shared" si="42"/>
        <v>876.14285714285711</v>
      </c>
      <c r="AE198" s="11">
        <f t="shared" si="43"/>
        <v>1010.4285714285714</v>
      </c>
      <c r="AF198" s="28">
        <f t="shared" si="47"/>
        <v>1.1532691994130115</v>
      </c>
      <c r="AG198" s="42">
        <f t="shared" si="45"/>
        <v>0.4554725947440259</v>
      </c>
      <c r="AH198" s="14" t="str">
        <f t="shared" si="44"/>
        <v>-</v>
      </c>
      <c r="AI198" s="11">
        <f t="shared" si="48"/>
        <v>186</v>
      </c>
      <c r="AJ198" s="11">
        <f t="shared" si="49"/>
        <v>186</v>
      </c>
      <c r="AK198" s="11">
        <f t="shared" si="46"/>
        <v>0.51179447473925488</v>
      </c>
      <c r="AL198" s="42">
        <f t="shared" si="50"/>
        <v>0.51179447473925488</v>
      </c>
      <c r="AM198" s="14" t="str">
        <f t="shared" si="51"/>
        <v/>
      </c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</row>
    <row r="199" spans="1:56" ht="27" customHeight="1" x14ac:dyDescent="0.2">
      <c r="A199" s="10" t="s">
        <v>357</v>
      </c>
      <c r="B199" s="11">
        <v>3428</v>
      </c>
      <c r="C199" s="2">
        <v>740.68700823537597</v>
      </c>
      <c r="D199" s="2">
        <v>15.9809242424241</v>
      </c>
      <c r="E199" s="2">
        <v>1</v>
      </c>
      <c r="F199" s="12" t="s">
        <v>653</v>
      </c>
      <c r="G199" s="12" t="s">
        <v>626</v>
      </c>
      <c r="H199" s="5"/>
      <c r="I199" s="11">
        <v>234</v>
      </c>
      <c r="J199" s="11">
        <v>148</v>
      </c>
      <c r="K199" s="11">
        <v>383</v>
      </c>
      <c r="L199" s="11">
        <v>309</v>
      </c>
      <c r="M199" s="11">
        <v>194</v>
      </c>
      <c r="N199" s="11">
        <v>348</v>
      </c>
      <c r="O199" s="11">
        <v>196</v>
      </c>
      <c r="P199" s="11"/>
      <c r="Q199" s="11">
        <v>126</v>
      </c>
      <c r="R199" s="11">
        <v>457</v>
      </c>
      <c r="S199" s="11">
        <v>181</v>
      </c>
      <c r="T199" s="11">
        <v>247</v>
      </c>
      <c r="U199" s="11">
        <v>300</v>
      </c>
      <c r="V199" s="11">
        <v>289</v>
      </c>
      <c r="W199" s="11">
        <v>274</v>
      </c>
      <c r="X199" s="11"/>
      <c r="Y199" s="11">
        <v>0</v>
      </c>
      <c r="Z199" s="11">
        <v>173</v>
      </c>
      <c r="AA199" s="11">
        <v>212</v>
      </c>
      <c r="AB199" s="11">
        <v>199</v>
      </c>
      <c r="AC199" s="17">
        <f t="shared" si="41"/>
        <v>0.10200939046990741</v>
      </c>
      <c r="AD199" s="11">
        <f t="shared" si="42"/>
        <v>258.85714285714283</v>
      </c>
      <c r="AE199" s="11">
        <f t="shared" si="43"/>
        <v>267.71428571428572</v>
      </c>
      <c r="AF199" s="28">
        <f t="shared" si="47"/>
        <v>1.0342163355408389</v>
      </c>
      <c r="AG199" s="42">
        <f t="shared" si="45"/>
        <v>0.86694627559682491</v>
      </c>
      <c r="AH199" s="14" t="str">
        <f t="shared" si="44"/>
        <v>-</v>
      </c>
      <c r="AI199" s="11">
        <f t="shared" si="48"/>
        <v>206</v>
      </c>
      <c r="AJ199" s="11">
        <f t="shared" si="49"/>
        <v>206</v>
      </c>
      <c r="AK199" s="11">
        <f t="shared" si="46"/>
        <v>0.87957170679483687</v>
      </c>
      <c r="AL199" s="42">
        <f t="shared" si="50"/>
        <v>0.87957170679483687</v>
      </c>
      <c r="AM199" s="14" t="str">
        <f t="shared" si="51"/>
        <v/>
      </c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</row>
    <row r="200" spans="1:56" ht="27" customHeight="1" x14ac:dyDescent="0.2">
      <c r="A200" s="10" t="s">
        <v>357</v>
      </c>
      <c r="B200" s="11">
        <v>3608</v>
      </c>
      <c r="C200" s="2">
        <v>762.67170264372396</v>
      </c>
      <c r="D200" s="2">
        <v>15.435703333333301</v>
      </c>
      <c r="E200" s="2">
        <v>1</v>
      </c>
      <c r="F200" s="12" t="s">
        <v>655</v>
      </c>
      <c r="G200" s="12" t="s">
        <v>626</v>
      </c>
      <c r="H200" s="5"/>
      <c r="I200" s="11">
        <v>148</v>
      </c>
      <c r="J200" s="11">
        <v>177</v>
      </c>
      <c r="K200" s="11">
        <v>313</v>
      </c>
      <c r="L200" s="11">
        <v>120</v>
      </c>
      <c r="M200" s="11">
        <v>138</v>
      </c>
      <c r="N200" s="11">
        <v>219</v>
      </c>
      <c r="O200" s="11">
        <v>127</v>
      </c>
      <c r="P200" s="11"/>
      <c r="Q200" s="11">
        <v>201</v>
      </c>
      <c r="R200" s="11">
        <v>394</v>
      </c>
      <c r="S200" s="11">
        <v>185</v>
      </c>
      <c r="T200" s="11">
        <v>430</v>
      </c>
      <c r="U200" s="11">
        <v>211</v>
      </c>
      <c r="V200" s="11">
        <v>354</v>
      </c>
      <c r="W200" s="11">
        <v>583</v>
      </c>
      <c r="X200" s="11"/>
      <c r="Y200" s="11">
        <v>0</v>
      </c>
      <c r="Z200" s="11">
        <v>300</v>
      </c>
      <c r="AA200" s="11">
        <v>261</v>
      </c>
      <c r="AB200" s="11">
        <v>239</v>
      </c>
      <c r="AC200" s="17">
        <f t="shared" si="41"/>
        <v>0.1158460724409766</v>
      </c>
      <c r="AD200" s="11">
        <f t="shared" si="42"/>
        <v>177.42857142857142</v>
      </c>
      <c r="AE200" s="11">
        <f t="shared" si="43"/>
        <v>336.85714285714283</v>
      </c>
      <c r="AF200" s="28">
        <f t="shared" si="47"/>
        <v>1.8985507246376812</v>
      </c>
      <c r="AG200" s="42">
        <f t="shared" si="45"/>
        <v>3.0343196278060466E-2</v>
      </c>
      <c r="AH200" s="14" t="str">
        <f t="shared" si="44"/>
        <v>*</v>
      </c>
      <c r="AI200" s="11">
        <f t="shared" si="48"/>
        <v>141</v>
      </c>
      <c r="AJ200" s="11">
        <f t="shared" si="49"/>
        <v>141</v>
      </c>
      <c r="AK200" s="11">
        <f t="shared" si="46"/>
        <v>4.4976794483082533E-2</v>
      </c>
      <c r="AL200" s="42">
        <f t="shared" si="50"/>
        <v>4.4976794483082533E-2</v>
      </c>
      <c r="AM200" s="14" t="str">
        <f t="shared" si="51"/>
        <v>**</v>
      </c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</row>
    <row r="201" spans="1:56" ht="27" customHeight="1" x14ac:dyDescent="0.2">
      <c r="A201" s="10" t="s">
        <v>357</v>
      </c>
      <c r="B201" s="11">
        <v>813</v>
      </c>
      <c r="C201" s="2">
        <v>404.38627227882</v>
      </c>
      <c r="D201" s="2">
        <v>7.7367166666666902</v>
      </c>
      <c r="E201" s="2">
        <v>1</v>
      </c>
      <c r="F201" s="12" t="s">
        <v>696</v>
      </c>
      <c r="G201" s="12" t="s">
        <v>697</v>
      </c>
      <c r="H201" s="5"/>
      <c r="I201" s="11">
        <v>1760</v>
      </c>
      <c r="J201" s="11">
        <v>1111</v>
      </c>
      <c r="K201" s="11">
        <v>2670</v>
      </c>
      <c r="L201" s="11">
        <v>1528</v>
      </c>
      <c r="M201" s="11">
        <v>1502</v>
      </c>
      <c r="N201" s="11">
        <v>1430</v>
      </c>
      <c r="O201" s="11">
        <v>2102</v>
      </c>
      <c r="P201" s="11"/>
      <c r="Q201" s="11">
        <v>1221</v>
      </c>
      <c r="R201" s="11">
        <v>2080</v>
      </c>
      <c r="S201" s="11">
        <v>1524</v>
      </c>
      <c r="T201" s="11">
        <v>1679</v>
      </c>
      <c r="U201" s="11">
        <v>2330</v>
      </c>
      <c r="V201" s="11">
        <v>2406</v>
      </c>
      <c r="W201" s="11">
        <v>2994</v>
      </c>
      <c r="X201" s="11"/>
      <c r="Y201" s="11">
        <v>77</v>
      </c>
      <c r="Z201" s="11">
        <v>2350</v>
      </c>
      <c r="AA201" s="11">
        <v>1622</v>
      </c>
      <c r="AB201" s="11">
        <v>1610</v>
      </c>
      <c r="AC201" s="17">
        <f t="shared" si="41"/>
        <v>0.22777726844345936</v>
      </c>
      <c r="AD201" s="11">
        <f t="shared" si="42"/>
        <v>1729</v>
      </c>
      <c r="AE201" s="11">
        <f t="shared" si="43"/>
        <v>2033.4285714285713</v>
      </c>
      <c r="AF201" s="28">
        <f t="shared" si="47"/>
        <v>1.1760720482524993</v>
      </c>
      <c r="AG201" s="42">
        <f t="shared" si="45"/>
        <v>0.33109354978016936</v>
      </c>
      <c r="AH201" s="14" t="str">
        <f t="shared" si="44"/>
        <v>-</v>
      </c>
      <c r="AI201" s="11">
        <f t="shared" si="48"/>
        <v>180</v>
      </c>
      <c r="AJ201" s="11">
        <f t="shared" si="49"/>
        <v>180</v>
      </c>
      <c r="AK201" s="11">
        <f t="shared" si="46"/>
        <v>0.38443639946697439</v>
      </c>
      <c r="AL201" s="42">
        <f t="shared" si="50"/>
        <v>0.38443639946697439</v>
      </c>
      <c r="AM201" s="14" t="str">
        <f t="shared" si="51"/>
        <v/>
      </c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</row>
    <row r="202" spans="1:56" ht="27" customHeight="1" x14ac:dyDescent="0.2">
      <c r="A202" s="10" t="s">
        <v>357</v>
      </c>
      <c r="B202" s="11">
        <v>25</v>
      </c>
      <c r="C202" s="2">
        <v>812.65566380148903</v>
      </c>
      <c r="D202" s="2">
        <v>13.019092592592701</v>
      </c>
      <c r="E202" s="2">
        <v>1</v>
      </c>
      <c r="F202" s="12" t="s">
        <v>373</v>
      </c>
      <c r="G202" s="12" t="s">
        <v>504</v>
      </c>
      <c r="H202" s="5"/>
      <c r="I202" s="11">
        <v>186880</v>
      </c>
      <c r="J202" s="11">
        <v>176121</v>
      </c>
      <c r="K202" s="11">
        <v>323056</v>
      </c>
      <c r="L202" s="11">
        <v>206576</v>
      </c>
      <c r="M202" s="11">
        <v>173927</v>
      </c>
      <c r="N202" s="11">
        <v>250459</v>
      </c>
      <c r="O202" s="11">
        <v>279443</v>
      </c>
      <c r="P202" s="11"/>
      <c r="Q202" s="11">
        <v>114707</v>
      </c>
      <c r="R202" s="11">
        <v>186018</v>
      </c>
      <c r="S202" s="11">
        <v>123866</v>
      </c>
      <c r="T202" s="11">
        <v>157807</v>
      </c>
      <c r="U202" s="11">
        <v>179716</v>
      </c>
      <c r="V202" s="11">
        <v>202334</v>
      </c>
      <c r="W202" s="11">
        <v>239849</v>
      </c>
      <c r="X202" s="11"/>
      <c r="Y202" s="11">
        <v>314</v>
      </c>
      <c r="Z202" s="11">
        <v>183010</v>
      </c>
      <c r="AA202" s="11">
        <v>195820</v>
      </c>
      <c r="AB202" s="11">
        <v>152323</v>
      </c>
      <c r="AC202" s="17">
        <f t="shared" si="41"/>
        <v>0.12624833465295832</v>
      </c>
      <c r="AD202" s="11">
        <f t="shared" si="42"/>
        <v>228066</v>
      </c>
      <c r="AE202" s="11">
        <f t="shared" si="43"/>
        <v>172042.42857142858</v>
      </c>
      <c r="AF202" s="28">
        <f t="shared" si="47"/>
        <v>0.75435368959611948</v>
      </c>
      <c r="AG202" s="42">
        <f t="shared" si="45"/>
        <v>6.5102402345692104E-2</v>
      </c>
      <c r="AH202" s="14" t="str">
        <f t="shared" si="44"/>
        <v>-</v>
      </c>
      <c r="AI202" s="11">
        <f t="shared" si="48"/>
        <v>150</v>
      </c>
      <c r="AJ202" s="11">
        <f t="shared" si="49"/>
        <v>150</v>
      </c>
      <c r="AK202" s="11">
        <f t="shared" si="46"/>
        <v>9.0709347268331006E-2</v>
      </c>
      <c r="AL202" s="42">
        <f t="shared" si="50"/>
        <v>9.0709347268331006E-2</v>
      </c>
      <c r="AM202" s="14" t="str">
        <f t="shared" si="51"/>
        <v>*</v>
      </c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</row>
    <row r="203" spans="1:56" ht="27" customHeight="1" x14ac:dyDescent="0.2">
      <c r="A203" s="10" t="s">
        <v>357</v>
      </c>
      <c r="B203" s="11">
        <v>59</v>
      </c>
      <c r="C203" s="2">
        <v>814.67202599820905</v>
      </c>
      <c r="D203" s="2">
        <v>11.820313725490101</v>
      </c>
      <c r="E203" s="2">
        <v>1</v>
      </c>
      <c r="F203" s="12" t="s">
        <v>378</v>
      </c>
      <c r="G203" s="12" t="s">
        <v>504</v>
      </c>
      <c r="H203" s="5"/>
      <c r="I203" s="11">
        <v>91314</v>
      </c>
      <c r="J203" s="11">
        <v>84716</v>
      </c>
      <c r="K203" s="11">
        <v>97845</v>
      </c>
      <c r="L203" s="11">
        <v>36530</v>
      </c>
      <c r="M203" s="11">
        <v>78559</v>
      </c>
      <c r="N203" s="11">
        <v>102521</v>
      </c>
      <c r="O203" s="11">
        <v>116594</v>
      </c>
      <c r="P203" s="11"/>
      <c r="Q203" s="11">
        <v>45468</v>
      </c>
      <c r="R203" s="11">
        <v>67418</v>
      </c>
      <c r="S203" s="11">
        <v>26685</v>
      </c>
      <c r="T203" s="11">
        <v>88587</v>
      </c>
      <c r="U203" s="11">
        <v>70291</v>
      </c>
      <c r="V203" s="11">
        <v>87140</v>
      </c>
      <c r="W203" s="11">
        <v>90225</v>
      </c>
      <c r="X203" s="11"/>
      <c r="Y203" s="11">
        <v>47</v>
      </c>
      <c r="Z203" s="11">
        <v>75003</v>
      </c>
      <c r="AA203" s="11">
        <v>71196</v>
      </c>
      <c r="AB203" s="11">
        <v>52797</v>
      </c>
      <c r="AC203" s="17">
        <f t="shared" si="41"/>
        <v>0.17902678136340991</v>
      </c>
      <c r="AD203" s="11">
        <f t="shared" si="42"/>
        <v>86868.428571428565</v>
      </c>
      <c r="AE203" s="11">
        <f t="shared" si="43"/>
        <v>67973.428571428565</v>
      </c>
      <c r="AF203" s="28">
        <f t="shared" si="47"/>
        <v>0.78248714394017882</v>
      </c>
      <c r="AG203" s="42">
        <f t="shared" si="45"/>
        <v>0.17961031528474108</v>
      </c>
      <c r="AH203" s="14" t="str">
        <f t="shared" si="44"/>
        <v>-</v>
      </c>
      <c r="AI203" s="11">
        <f t="shared" si="48"/>
        <v>170</v>
      </c>
      <c r="AJ203" s="11">
        <f t="shared" si="49"/>
        <v>170</v>
      </c>
      <c r="AK203" s="11">
        <f t="shared" si="46"/>
        <v>0.22081503467359345</v>
      </c>
      <c r="AL203" s="42">
        <f t="shared" si="50"/>
        <v>0.22081503467359345</v>
      </c>
      <c r="AM203" s="14" t="str">
        <f t="shared" si="51"/>
        <v/>
      </c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</row>
    <row r="204" spans="1:56" ht="27" customHeight="1" x14ac:dyDescent="0.2">
      <c r="A204" s="10" t="s">
        <v>357</v>
      </c>
      <c r="B204" s="11">
        <v>124</v>
      </c>
      <c r="C204" s="2">
        <v>880.71720228895401</v>
      </c>
      <c r="D204" s="2">
        <v>14.452887254902</v>
      </c>
      <c r="E204" s="2">
        <v>1</v>
      </c>
      <c r="F204" s="12" t="s">
        <v>407</v>
      </c>
      <c r="G204" s="12" t="s">
        <v>504</v>
      </c>
      <c r="H204" s="5"/>
      <c r="I204" s="11">
        <v>22229</v>
      </c>
      <c r="J204" s="11">
        <v>18793</v>
      </c>
      <c r="K204" s="11">
        <v>40334</v>
      </c>
      <c r="L204" s="11">
        <v>21717</v>
      </c>
      <c r="M204" s="11">
        <v>19119</v>
      </c>
      <c r="N204" s="11">
        <v>25412</v>
      </c>
      <c r="O204" s="11">
        <v>31048</v>
      </c>
      <c r="P204" s="11"/>
      <c r="Q204" s="11">
        <v>12718</v>
      </c>
      <c r="R204" s="11">
        <v>21941</v>
      </c>
      <c r="S204" s="11">
        <v>15058</v>
      </c>
      <c r="T204" s="11">
        <v>20250</v>
      </c>
      <c r="U204" s="11">
        <v>18081</v>
      </c>
      <c r="V204" s="11">
        <v>19895</v>
      </c>
      <c r="W204" s="11">
        <v>25541</v>
      </c>
      <c r="X204" s="11"/>
      <c r="Y204" s="11">
        <v>0</v>
      </c>
      <c r="Z204" s="11">
        <v>21019</v>
      </c>
      <c r="AA204" s="11">
        <v>21288</v>
      </c>
      <c r="AB204" s="11">
        <v>17035</v>
      </c>
      <c r="AC204" s="17">
        <f t="shared" si="41"/>
        <v>0.12040130130938702</v>
      </c>
      <c r="AD204" s="11">
        <f t="shared" si="42"/>
        <v>25521.714285714286</v>
      </c>
      <c r="AE204" s="11">
        <f t="shared" si="43"/>
        <v>19069.142857142859</v>
      </c>
      <c r="AF204" s="28">
        <f t="shared" si="47"/>
        <v>0.74717327541813139</v>
      </c>
      <c r="AG204" s="42">
        <f t="shared" si="45"/>
        <v>8.4997799711214794E-2</v>
      </c>
      <c r="AH204" s="14" t="str">
        <f t="shared" si="44"/>
        <v>-</v>
      </c>
      <c r="AI204" s="11">
        <f t="shared" si="48"/>
        <v>158</v>
      </c>
      <c r="AJ204" s="11">
        <f t="shared" si="49"/>
        <v>158</v>
      </c>
      <c r="AK204" s="11">
        <f t="shared" si="46"/>
        <v>0.11243379835217653</v>
      </c>
      <c r="AL204" s="42">
        <f t="shared" si="50"/>
        <v>0.11243379835217653</v>
      </c>
      <c r="AM204" s="14" t="str">
        <f t="shared" si="51"/>
        <v/>
      </c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</row>
    <row r="205" spans="1:56" ht="27" customHeight="1" x14ac:dyDescent="0.2">
      <c r="A205" s="10" t="s">
        <v>357</v>
      </c>
      <c r="B205" s="11">
        <v>350</v>
      </c>
      <c r="C205" s="2">
        <v>882.73127231635203</v>
      </c>
      <c r="D205" s="2">
        <v>13.2525647058823</v>
      </c>
      <c r="E205" s="2">
        <v>1</v>
      </c>
      <c r="F205" s="12" t="s">
        <v>427</v>
      </c>
      <c r="G205" s="12" t="s">
        <v>504</v>
      </c>
      <c r="H205" s="5"/>
      <c r="I205" s="11">
        <v>8281</v>
      </c>
      <c r="J205" s="11">
        <v>7438</v>
      </c>
      <c r="K205" s="11">
        <v>8947</v>
      </c>
      <c r="L205" s="11">
        <v>4246</v>
      </c>
      <c r="M205" s="11">
        <v>7862</v>
      </c>
      <c r="N205" s="11">
        <v>8194</v>
      </c>
      <c r="O205" s="11">
        <v>10210</v>
      </c>
      <c r="P205" s="11"/>
      <c r="Q205" s="11">
        <v>4388</v>
      </c>
      <c r="R205" s="11">
        <v>6420</v>
      </c>
      <c r="S205" s="11">
        <v>2724</v>
      </c>
      <c r="T205" s="11">
        <v>8081</v>
      </c>
      <c r="U205" s="11">
        <v>7112</v>
      </c>
      <c r="V205" s="11">
        <v>7825</v>
      </c>
      <c r="W205" s="11">
        <v>8879</v>
      </c>
      <c r="X205" s="11"/>
      <c r="Y205" s="11">
        <v>0</v>
      </c>
      <c r="Z205" s="11">
        <v>6993</v>
      </c>
      <c r="AA205" s="11">
        <v>6918</v>
      </c>
      <c r="AB205" s="11">
        <v>5284</v>
      </c>
      <c r="AC205" s="17">
        <f t="shared" si="41"/>
        <v>0.15094076000875753</v>
      </c>
      <c r="AD205" s="11">
        <f t="shared" si="42"/>
        <v>7882.5714285714284</v>
      </c>
      <c r="AE205" s="11">
        <f t="shared" si="43"/>
        <v>6489.8571428571431</v>
      </c>
      <c r="AF205" s="28">
        <f t="shared" si="47"/>
        <v>0.82331726412700723</v>
      </c>
      <c r="AG205" s="42">
        <f t="shared" si="45"/>
        <v>0.22338031334666578</v>
      </c>
      <c r="AH205" s="14" t="str">
        <f t="shared" si="44"/>
        <v>-</v>
      </c>
      <c r="AI205" s="11">
        <f t="shared" si="48"/>
        <v>172</v>
      </c>
      <c r="AJ205" s="11">
        <f t="shared" si="49"/>
        <v>172</v>
      </c>
      <c r="AK205" s="11">
        <f t="shared" si="46"/>
        <v>0.27143305517123922</v>
      </c>
      <c r="AL205" s="42">
        <f t="shared" si="50"/>
        <v>0.27143305517123922</v>
      </c>
      <c r="AM205" s="14" t="str">
        <f t="shared" si="51"/>
        <v/>
      </c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</row>
    <row r="206" spans="1:56" ht="27" customHeight="1" x14ac:dyDescent="0.2">
      <c r="A206" s="10" t="s">
        <v>357</v>
      </c>
      <c r="B206" s="11">
        <v>383</v>
      </c>
      <c r="C206" s="2">
        <v>812.65400911034703</v>
      </c>
      <c r="D206" s="2">
        <v>12.5594027777778</v>
      </c>
      <c r="E206" s="2">
        <v>1</v>
      </c>
      <c r="F206" s="12" t="s">
        <v>373</v>
      </c>
      <c r="G206" s="12" t="s">
        <v>504</v>
      </c>
      <c r="H206" s="5"/>
      <c r="I206" s="11">
        <v>3897</v>
      </c>
      <c r="J206" s="11">
        <v>5250</v>
      </c>
      <c r="K206" s="11">
        <v>10868</v>
      </c>
      <c r="L206" s="11">
        <v>5831</v>
      </c>
      <c r="M206" s="11">
        <v>4078</v>
      </c>
      <c r="N206" s="11">
        <v>6664</v>
      </c>
      <c r="O206" s="11">
        <v>8343</v>
      </c>
      <c r="P206" s="11"/>
      <c r="Q206" s="11">
        <v>2830</v>
      </c>
      <c r="R206" s="11">
        <v>8563</v>
      </c>
      <c r="S206" s="11">
        <v>6942</v>
      </c>
      <c r="T206" s="11">
        <v>3784</v>
      </c>
      <c r="U206" s="11">
        <v>4024</v>
      </c>
      <c r="V206" s="11">
        <v>4707</v>
      </c>
      <c r="W206" s="11">
        <v>8995</v>
      </c>
      <c r="X206" s="11"/>
      <c r="Y206" s="11">
        <v>0</v>
      </c>
      <c r="Z206" s="11">
        <v>5874</v>
      </c>
      <c r="AA206" s="11">
        <v>5759</v>
      </c>
      <c r="AB206" s="11">
        <v>4420</v>
      </c>
      <c r="AC206" s="17">
        <f t="shared" ref="AC206:AC212" si="52">IFERROR(STDEV(Z206:AB206)/AVERAGE(Z206:AB206),0)</f>
        <v>0.15105912692186207</v>
      </c>
      <c r="AD206" s="11">
        <f t="shared" ref="AD206:AD212" si="53">AVERAGE(I206:O206)</f>
        <v>6418.7142857142853</v>
      </c>
      <c r="AE206" s="11">
        <f t="shared" ref="AE206:AE212" si="54">AVERAGE(Q206:W206)</f>
        <v>5692.1428571428569</v>
      </c>
      <c r="AF206" s="28">
        <f t="shared" si="47"/>
        <v>0.88680421090115957</v>
      </c>
      <c r="AG206" s="42">
        <f t="shared" si="45"/>
        <v>0.59268785793982137</v>
      </c>
      <c r="AH206" s="14" t="str">
        <f t="shared" ref="AH206:AH212" si="55">IF(AG206&lt;0.001,"***",IF(AG206&lt;0.01,"**",IF(AG206&lt;0.05,"*","-")))</f>
        <v>-</v>
      </c>
      <c r="AI206" s="11">
        <f t="shared" si="48"/>
        <v>192</v>
      </c>
      <c r="AJ206" s="11">
        <f t="shared" si="49"/>
        <v>192</v>
      </c>
      <c r="AK206" s="11">
        <f t="shared" si="46"/>
        <v>0.64516542869490967</v>
      </c>
      <c r="AL206" s="42">
        <f t="shared" si="50"/>
        <v>0.64516542869490967</v>
      </c>
      <c r="AM206" s="14" t="str">
        <f t="shared" si="51"/>
        <v/>
      </c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</row>
    <row r="207" spans="1:56" ht="27" customHeight="1" x14ac:dyDescent="0.2">
      <c r="A207" s="10" t="s">
        <v>357</v>
      </c>
      <c r="B207" s="11">
        <v>587</v>
      </c>
      <c r="C207" s="2">
        <v>744.59096438161396</v>
      </c>
      <c r="D207" s="2">
        <v>11.499052564102399</v>
      </c>
      <c r="E207" s="2">
        <v>1</v>
      </c>
      <c r="F207" s="12" t="s">
        <v>464</v>
      </c>
      <c r="G207" s="12" t="s">
        <v>504</v>
      </c>
      <c r="H207" s="5"/>
      <c r="I207" s="11">
        <v>2277</v>
      </c>
      <c r="J207" s="11">
        <v>1965</v>
      </c>
      <c r="K207" s="11">
        <v>4598</v>
      </c>
      <c r="L207" s="11">
        <v>2520</v>
      </c>
      <c r="M207" s="11">
        <v>2064</v>
      </c>
      <c r="N207" s="11">
        <v>3208</v>
      </c>
      <c r="O207" s="11">
        <v>3186</v>
      </c>
      <c r="P207" s="11"/>
      <c r="Q207" s="11">
        <v>1558</v>
      </c>
      <c r="R207" s="11">
        <v>2360</v>
      </c>
      <c r="S207" s="11">
        <v>1525</v>
      </c>
      <c r="T207" s="11">
        <v>1931</v>
      </c>
      <c r="U207" s="11">
        <v>2079</v>
      </c>
      <c r="V207" s="11">
        <v>2908</v>
      </c>
      <c r="W207" s="11">
        <v>2956</v>
      </c>
      <c r="X207" s="11"/>
      <c r="Y207" s="11">
        <v>0</v>
      </c>
      <c r="Z207" s="11">
        <v>2384</v>
      </c>
      <c r="AA207" s="11">
        <v>2480</v>
      </c>
      <c r="AB207" s="11">
        <v>2110</v>
      </c>
      <c r="AC207" s="17">
        <f t="shared" si="52"/>
        <v>8.2593980007524853E-2</v>
      </c>
      <c r="AD207" s="11">
        <f t="shared" si="53"/>
        <v>2831.1428571428573</v>
      </c>
      <c r="AE207" s="11">
        <f t="shared" si="54"/>
        <v>2188.1428571428573</v>
      </c>
      <c r="AF207" s="28">
        <f t="shared" si="47"/>
        <v>0.77288323746089416</v>
      </c>
      <c r="AG207" s="42">
        <f t="shared" si="45"/>
        <v>0.15066783188901098</v>
      </c>
      <c r="AH207" s="14" t="str">
        <f t="shared" si="55"/>
        <v>-</v>
      </c>
      <c r="AI207" s="11">
        <f t="shared" si="48"/>
        <v>164</v>
      </c>
      <c r="AJ207" s="11">
        <f t="shared" si="49"/>
        <v>164</v>
      </c>
      <c r="AK207" s="11">
        <f t="shared" si="46"/>
        <v>0.19200961502928837</v>
      </c>
      <c r="AL207" s="42">
        <f t="shared" si="50"/>
        <v>0.19200961502928837</v>
      </c>
      <c r="AM207" s="14" t="str">
        <f t="shared" si="51"/>
        <v/>
      </c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</row>
    <row r="208" spans="1:56" ht="27" customHeight="1" x14ac:dyDescent="0.2">
      <c r="A208" s="10" t="s">
        <v>357</v>
      </c>
      <c r="B208" s="11">
        <v>1362</v>
      </c>
      <c r="C208" s="2">
        <v>746.60653537526298</v>
      </c>
      <c r="D208" s="2">
        <v>10.416372222222201</v>
      </c>
      <c r="E208" s="2">
        <v>1</v>
      </c>
      <c r="F208" s="12" t="s">
        <v>478</v>
      </c>
      <c r="G208" s="12" t="s">
        <v>504</v>
      </c>
      <c r="H208" s="5"/>
      <c r="I208" s="11">
        <v>1304</v>
      </c>
      <c r="J208" s="11">
        <v>787</v>
      </c>
      <c r="K208" s="11">
        <v>1201</v>
      </c>
      <c r="L208" s="11">
        <v>819</v>
      </c>
      <c r="M208" s="11">
        <v>965</v>
      </c>
      <c r="N208" s="11">
        <v>1145</v>
      </c>
      <c r="O208" s="11">
        <v>1485</v>
      </c>
      <c r="P208" s="11"/>
      <c r="Q208" s="11">
        <v>561</v>
      </c>
      <c r="R208" s="11">
        <v>1067</v>
      </c>
      <c r="S208" s="11">
        <v>369</v>
      </c>
      <c r="T208" s="11">
        <v>855</v>
      </c>
      <c r="U208" s="11">
        <v>1008</v>
      </c>
      <c r="V208" s="11">
        <v>1041</v>
      </c>
      <c r="W208" s="11">
        <v>1202</v>
      </c>
      <c r="X208" s="11"/>
      <c r="Y208" s="11">
        <v>28</v>
      </c>
      <c r="Z208" s="11">
        <v>799</v>
      </c>
      <c r="AA208" s="11">
        <v>939</v>
      </c>
      <c r="AB208" s="11">
        <v>696</v>
      </c>
      <c r="AC208" s="17">
        <f t="shared" si="52"/>
        <v>0.15033102940151752</v>
      </c>
      <c r="AD208" s="11">
        <f t="shared" si="53"/>
        <v>1100.8571428571429</v>
      </c>
      <c r="AE208" s="11">
        <f t="shared" si="54"/>
        <v>871.85714285714289</v>
      </c>
      <c r="AF208" s="28">
        <f t="shared" si="47"/>
        <v>0.79198027511030367</v>
      </c>
      <c r="AG208" s="42">
        <f t="shared" si="45"/>
        <v>0.15262649329016675</v>
      </c>
      <c r="AH208" s="14" t="str">
        <f t="shared" si="55"/>
        <v>-</v>
      </c>
      <c r="AI208" s="11">
        <f t="shared" si="48"/>
        <v>165</v>
      </c>
      <c r="AJ208" s="11">
        <f t="shared" si="49"/>
        <v>165</v>
      </c>
      <c r="AK208" s="11">
        <f t="shared" si="46"/>
        <v>0.1933268915008779</v>
      </c>
      <c r="AL208" s="42">
        <f t="shared" si="50"/>
        <v>0.1933268915008779</v>
      </c>
      <c r="AM208" s="14" t="str">
        <f t="shared" si="51"/>
        <v/>
      </c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</row>
    <row r="209" spans="1:56" ht="27" customHeight="1" x14ac:dyDescent="0.2">
      <c r="A209" s="10" t="s">
        <v>357</v>
      </c>
      <c r="B209" s="11">
        <v>1867</v>
      </c>
      <c r="C209" s="2">
        <v>880.71608004179302</v>
      </c>
      <c r="D209" s="2">
        <v>14.0226757575757</v>
      </c>
      <c r="E209" s="2">
        <v>1</v>
      </c>
      <c r="F209" s="12" t="s">
        <v>407</v>
      </c>
      <c r="G209" s="12" t="s">
        <v>504</v>
      </c>
      <c r="H209" s="5"/>
      <c r="I209" s="11">
        <v>512</v>
      </c>
      <c r="J209" s="11">
        <v>581</v>
      </c>
      <c r="K209" s="11">
        <v>1104</v>
      </c>
      <c r="L209" s="11">
        <v>765</v>
      </c>
      <c r="M209" s="11">
        <v>574</v>
      </c>
      <c r="N209" s="11">
        <v>706</v>
      </c>
      <c r="O209" s="11">
        <v>919</v>
      </c>
      <c r="P209" s="11"/>
      <c r="Q209" s="11">
        <v>477</v>
      </c>
      <c r="R209" s="11">
        <v>1156</v>
      </c>
      <c r="S209" s="11">
        <v>828</v>
      </c>
      <c r="T209" s="11">
        <v>530</v>
      </c>
      <c r="U209" s="11">
        <v>649</v>
      </c>
      <c r="V209" s="11">
        <v>619</v>
      </c>
      <c r="W209" s="11">
        <v>1009</v>
      </c>
      <c r="X209" s="11"/>
      <c r="Y209" s="11">
        <v>0</v>
      </c>
      <c r="Z209" s="11">
        <v>824</v>
      </c>
      <c r="AA209" s="11">
        <v>794</v>
      </c>
      <c r="AB209" s="11">
        <v>614</v>
      </c>
      <c r="AC209" s="17">
        <f t="shared" si="52"/>
        <v>0.15265882650000737</v>
      </c>
      <c r="AD209" s="11">
        <f t="shared" si="53"/>
        <v>737.28571428571433</v>
      </c>
      <c r="AE209" s="11">
        <f t="shared" si="54"/>
        <v>752.57142857142856</v>
      </c>
      <c r="AF209" s="28">
        <f t="shared" si="47"/>
        <v>1.020732416198411</v>
      </c>
      <c r="AG209" s="42">
        <f t="shared" si="45"/>
        <v>0.90498160940271055</v>
      </c>
      <c r="AH209" s="14" t="str">
        <f t="shared" si="55"/>
        <v>-</v>
      </c>
      <c r="AI209" s="11">
        <f t="shared" si="48"/>
        <v>208</v>
      </c>
      <c r="AJ209" s="11">
        <f t="shared" si="49"/>
        <v>208</v>
      </c>
      <c r="AK209" s="11">
        <f t="shared" si="46"/>
        <v>0.90933248252483889</v>
      </c>
      <c r="AL209" s="42">
        <f t="shared" si="50"/>
        <v>0.90933248252483889</v>
      </c>
      <c r="AM209" s="14" t="str">
        <f t="shared" si="51"/>
        <v/>
      </c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</row>
    <row r="210" spans="1:56" ht="27" customHeight="1" x14ac:dyDescent="0.2">
      <c r="A210" s="10" t="s">
        <v>357</v>
      </c>
      <c r="B210" s="11">
        <v>91</v>
      </c>
      <c r="C210" s="2">
        <v>829.79762558510095</v>
      </c>
      <c r="D210" s="2">
        <v>15.5717314814815</v>
      </c>
      <c r="E210" s="2">
        <v>1</v>
      </c>
      <c r="F210" s="12" t="s">
        <v>401</v>
      </c>
      <c r="G210" s="12" t="s">
        <v>53</v>
      </c>
      <c r="H210" s="5"/>
      <c r="I210" s="11">
        <v>36535</v>
      </c>
      <c r="J210" s="11">
        <v>28763</v>
      </c>
      <c r="K210" s="11">
        <v>50257</v>
      </c>
      <c r="L210" s="11">
        <v>30217</v>
      </c>
      <c r="M210" s="11">
        <v>28851</v>
      </c>
      <c r="N210" s="11">
        <v>33799</v>
      </c>
      <c r="O210" s="11">
        <v>37166</v>
      </c>
      <c r="P210" s="11"/>
      <c r="Q210" s="11">
        <v>26184</v>
      </c>
      <c r="R210" s="11">
        <v>39253</v>
      </c>
      <c r="S210" s="11">
        <v>25369</v>
      </c>
      <c r="T210" s="11">
        <v>36863</v>
      </c>
      <c r="U210" s="11">
        <v>33391</v>
      </c>
      <c r="V210" s="11">
        <v>37083</v>
      </c>
      <c r="W210" s="11">
        <v>40705</v>
      </c>
      <c r="X210" s="11"/>
      <c r="Y210" s="11">
        <v>62872</v>
      </c>
      <c r="Z210" s="11">
        <v>32964</v>
      </c>
      <c r="AA210" s="11">
        <v>30194</v>
      </c>
      <c r="AB210" s="11">
        <v>25694</v>
      </c>
      <c r="AC210" s="17">
        <f t="shared" si="52"/>
        <v>0.1238850942477851</v>
      </c>
      <c r="AD210" s="11">
        <f t="shared" si="53"/>
        <v>35084</v>
      </c>
      <c r="AE210" s="11">
        <f t="shared" si="54"/>
        <v>34121.142857142855</v>
      </c>
      <c r="AF210" s="28">
        <f t="shared" si="47"/>
        <v>0.97255566232877821</v>
      </c>
      <c r="AG210" s="42">
        <f t="shared" si="45"/>
        <v>0.79788578472453098</v>
      </c>
      <c r="AH210" s="14" t="str">
        <f t="shared" si="55"/>
        <v>-</v>
      </c>
      <c r="AI210" s="11">
        <f t="shared" si="48"/>
        <v>201</v>
      </c>
      <c r="AJ210" s="11">
        <f t="shared" si="49"/>
        <v>201</v>
      </c>
      <c r="AK210" s="11">
        <f t="shared" si="46"/>
        <v>0.82964243287277106</v>
      </c>
      <c r="AL210" s="42">
        <f t="shared" si="50"/>
        <v>0.82964243287277106</v>
      </c>
      <c r="AM210" s="14" t="str">
        <f t="shared" si="51"/>
        <v/>
      </c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</row>
    <row r="211" spans="1:56" ht="27" customHeight="1" x14ac:dyDescent="0.2">
      <c r="A211" s="10" t="s">
        <v>357</v>
      </c>
      <c r="B211" s="11">
        <v>98</v>
      </c>
      <c r="C211" s="2">
        <v>605.583021969328</v>
      </c>
      <c r="D211" s="2">
        <v>9.5548814814813898</v>
      </c>
      <c r="E211" s="2">
        <v>1</v>
      </c>
      <c r="F211" s="12" t="s">
        <v>425</v>
      </c>
      <c r="G211" s="12" t="s">
        <v>53</v>
      </c>
      <c r="H211" s="5"/>
      <c r="I211" s="11">
        <v>28029</v>
      </c>
      <c r="J211" s="11">
        <v>26382</v>
      </c>
      <c r="K211" s="11">
        <v>42088</v>
      </c>
      <c r="L211" s="11">
        <v>27679</v>
      </c>
      <c r="M211" s="11">
        <v>26274</v>
      </c>
      <c r="N211" s="11">
        <v>29318</v>
      </c>
      <c r="O211" s="11">
        <v>30553</v>
      </c>
      <c r="P211" s="11"/>
      <c r="Q211" s="11">
        <v>23756</v>
      </c>
      <c r="R211" s="11">
        <v>31025</v>
      </c>
      <c r="S211" s="11">
        <v>22200</v>
      </c>
      <c r="T211" s="11">
        <v>31574</v>
      </c>
      <c r="U211" s="11">
        <v>27138</v>
      </c>
      <c r="V211" s="11">
        <v>29758</v>
      </c>
      <c r="W211" s="11">
        <v>32635</v>
      </c>
      <c r="X211" s="11"/>
      <c r="Y211" s="11">
        <v>55225</v>
      </c>
      <c r="Z211" s="11">
        <v>28317</v>
      </c>
      <c r="AA211" s="11">
        <v>26627</v>
      </c>
      <c r="AB211" s="11">
        <v>21849</v>
      </c>
      <c r="AC211" s="17">
        <f t="shared" si="52"/>
        <v>0.1310513576276694</v>
      </c>
      <c r="AD211" s="11">
        <f t="shared" si="53"/>
        <v>30046.142857142859</v>
      </c>
      <c r="AE211" s="11">
        <f t="shared" si="54"/>
        <v>28298</v>
      </c>
      <c r="AF211" s="28">
        <f t="shared" si="47"/>
        <v>0.94181806079220998</v>
      </c>
      <c r="AG211" s="42">
        <f t="shared" si="45"/>
        <v>0.51338359074808149</v>
      </c>
      <c r="AH211" s="14" t="str">
        <f t="shared" si="55"/>
        <v>-</v>
      </c>
      <c r="AI211" s="11">
        <f t="shared" si="48"/>
        <v>189</v>
      </c>
      <c r="AJ211" s="11">
        <f t="shared" si="49"/>
        <v>189</v>
      </c>
      <c r="AK211" s="11">
        <f t="shared" si="46"/>
        <v>0.56770989664734939</v>
      </c>
      <c r="AL211" s="42">
        <f t="shared" si="50"/>
        <v>0.56770989664734939</v>
      </c>
      <c r="AM211" s="14" t="str">
        <f t="shared" si="51"/>
        <v/>
      </c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</row>
    <row r="212" spans="1:56" ht="27" customHeight="1" x14ac:dyDescent="0.2">
      <c r="A212" s="10" t="s">
        <v>357</v>
      </c>
      <c r="B212" s="11">
        <v>112</v>
      </c>
      <c r="C212" s="2">
        <v>675.67634701836903</v>
      </c>
      <c r="D212" s="2">
        <v>15.962624074074</v>
      </c>
      <c r="E212" s="2">
        <v>1</v>
      </c>
      <c r="F212" s="12" t="s">
        <v>418</v>
      </c>
      <c r="G212" s="12" t="s">
        <v>53</v>
      </c>
      <c r="H212" s="5"/>
      <c r="I212" s="11">
        <v>24068</v>
      </c>
      <c r="J212" s="11">
        <v>21225</v>
      </c>
      <c r="K212" s="11">
        <v>34869</v>
      </c>
      <c r="L212" s="11">
        <v>24185</v>
      </c>
      <c r="M212" s="11">
        <v>23764</v>
      </c>
      <c r="N212" s="11">
        <v>26569</v>
      </c>
      <c r="O212" s="11">
        <v>26868</v>
      </c>
      <c r="P212" s="11"/>
      <c r="Q212" s="11">
        <v>19419</v>
      </c>
      <c r="R212" s="11">
        <v>29259</v>
      </c>
      <c r="S212" s="11">
        <v>19450</v>
      </c>
      <c r="T212" s="11">
        <v>26422</v>
      </c>
      <c r="U212" s="11">
        <v>22157</v>
      </c>
      <c r="V212" s="11">
        <v>26335</v>
      </c>
      <c r="W212" s="11">
        <v>30001</v>
      </c>
      <c r="X212" s="11"/>
      <c r="Y212" s="11">
        <v>46752</v>
      </c>
      <c r="Z212" s="11">
        <v>22907</v>
      </c>
      <c r="AA212" s="11">
        <v>23667</v>
      </c>
      <c r="AB212" s="11">
        <v>20701</v>
      </c>
      <c r="AC212" s="17">
        <f t="shared" si="52"/>
        <v>6.8701321963386075E-2</v>
      </c>
      <c r="AD212" s="11">
        <f t="shared" si="53"/>
        <v>25935.428571428572</v>
      </c>
      <c r="AE212" s="11">
        <f t="shared" si="54"/>
        <v>24720.428571428572</v>
      </c>
      <c r="AF212" s="28">
        <f t="shared" si="47"/>
        <v>0.9531528851873885</v>
      </c>
      <c r="AG212" s="42">
        <f t="shared" si="45"/>
        <v>0.61380266406059458</v>
      </c>
      <c r="AH212" s="14" t="str">
        <f t="shared" si="55"/>
        <v>-</v>
      </c>
      <c r="AI212" s="11">
        <f t="shared" si="48"/>
        <v>193</v>
      </c>
      <c r="AJ212" s="11">
        <f t="shared" si="49"/>
        <v>193</v>
      </c>
      <c r="AK212" s="11">
        <f t="shared" si="46"/>
        <v>0.66468785900862304</v>
      </c>
      <c r="AL212" s="42">
        <f t="shared" si="50"/>
        <v>0.66468785900862304</v>
      </c>
      <c r="AM212" s="14" t="str">
        <f t="shared" si="51"/>
        <v/>
      </c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</row>
    <row r="214" spans="1:56" x14ac:dyDescent="0.2">
      <c r="F214" s="18" t="s">
        <v>730</v>
      </c>
      <c r="AG214" s="33" t="s">
        <v>723</v>
      </c>
      <c r="AL214" s="33" t="s">
        <v>724</v>
      </c>
    </row>
    <row r="215" spans="1:56" x14ac:dyDescent="0.2">
      <c r="F215" s="18" t="s">
        <v>733</v>
      </c>
      <c r="G215" s="16"/>
      <c r="H215"/>
      <c r="AG215" s="33" t="s">
        <v>725</v>
      </c>
      <c r="AL215" s="33" t="s">
        <v>726</v>
      </c>
    </row>
    <row r="216" spans="1:56" x14ac:dyDescent="0.2">
      <c r="F216" s="18" t="s">
        <v>731</v>
      </c>
      <c r="G216" s="16"/>
      <c r="H216"/>
      <c r="AG216" s="33" t="s">
        <v>727</v>
      </c>
      <c r="AL216" s="33" t="s">
        <v>728</v>
      </c>
    </row>
    <row r="217" spans="1:56" ht="15" customHeight="1" x14ac:dyDescent="0.2">
      <c r="F217" s="18" t="s">
        <v>732</v>
      </c>
      <c r="G217" s="16"/>
      <c r="H217"/>
      <c r="AG217" s="33" t="s">
        <v>729</v>
      </c>
    </row>
    <row r="218" spans="1:56" x14ac:dyDescent="0.2">
      <c r="F218" s="26"/>
    </row>
  </sheetData>
  <autoFilter ref="A3:AM3" xr:uid="{6C397623-4956-4882-90B7-B23C2DB31B88}"/>
  <mergeCells count="214">
    <mergeCell ref="AN211:BD211"/>
    <mergeCell ref="AN212:BD212"/>
    <mergeCell ref="AN210:BD210"/>
    <mergeCell ref="AN206:BD206"/>
    <mergeCell ref="AN207:BD207"/>
    <mergeCell ref="AN208:BD208"/>
    <mergeCell ref="AN209:BD209"/>
    <mergeCell ref="AN201:BD201"/>
    <mergeCell ref="AN202:BD202"/>
    <mergeCell ref="AN203:BD203"/>
    <mergeCell ref="AN204:BD204"/>
    <mergeCell ref="AN205:BD205"/>
    <mergeCell ref="AN195:BD195"/>
    <mergeCell ref="AN196:BD196"/>
    <mergeCell ref="AN197:BD197"/>
    <mergeCell ref="AN198:BD198"/>
    <mergeCell ref="AN199:BD199"/>
    <mergeCell ref="AN200:BD200"/>
    <mergeCell ref="AN189:BD189"/>
    <mergeCell ref="AN190:BD190"/>
    <mergeCell ref="AN191:BD191"/>
    <mergeCell ref="AN192:BD192"/>
    <mergeCell ref="AN193:BD193"/>
    <mergeCell ref="AN194:BD194"/>
    <mergeCell ref="AN183:BD183"/>
    <mergeCell ref="AN184:BD184"/>
    <mergeCell ref="AN185:BD185"/>
    <mergeCell ref="AN186:BD186"/>
    <mergeCell ref="AN187:BD187"/>
    <mergeCell ref="AN188:BD188"/>
    <mergeCell ref="AN179:BD179"/>
    <mergeCell ref="AN180:BD180"/>
    <mergeCell ref="AN181:BD181"/>
    <mergeCell ref="AN182:BD182"/>
    <mergeCell ref="AN178:BD178"/>
    <mergeCell ref="AN177:BD177"/>
    <mergeCell ref="AN171:BD171"/>
    <mergeCell ref="AN172:BD172"/>
    <mergeCell ref="AN173:BD173"/>
    <mergeCell ref="AN174:BD174"/>
    <mergeCell ref="AN175:BD175"/>
    <mergeCell ref="AN176:BD176"/>
    <mergeCell ref="AN165:BD165"/>
    <mergeCell ref="AN166:BD166"/>
    <mergeCell ref="AN167:BD167"/>
    <mergeCell ref="AN168:BD168"/>
    <mergeCell ref="AN169:BD169"/>
    <mergeCell ref="AN170:BD170"/>
    <mergeCell ref="AN159:BD159"/>
    <mergeCell ref="AN160:BD160"/>
    <mergeCell ref="AN161:BD161"/>
    <mergeCell ref="AN162:BD162"/>
    <mergeCell ref="AN163:BD163"/>
    <mergeCell ref="AN164:BD164"/>
    <mergeCell ref="AN153:BD153"/>
    <mergeCell ref="AN154:BD154"/>
    <mergeCell ref="AN155:BD155"/>
    <mergeCell ref="AN156:BD156"/>
    <mergeCell ref="AN157:BD157"/>
    <mergeCell ref="AN158:BD158"/>
    <mergeCell ref="AN147:BD147"/>
    <mergeCell ref="AN148:BD148"/>
    <mergeCell ref="AN149:BD149"/>
    <mergeCell ref="AN150:BD150"/>
    <mergeCell ref="AN151:BD151"/>
    <mergeCell ref="AN152:BD152"/>
    <mergeCell ref="AN141:BD141"/>
    <mergeCell ref="AN142:BD142"/>
    <mergeCell ref="AN143:BD143"/>
    <mergeCell ref="AN144:BD144"/>
    <mergeCell ref="AN145:BD145"/>
    <mergeCell ref="AN146:BD146"/>
    <mergeCell ref="AN135:BD135"/>
    <mergeCell ref="AN136:BD136"/>
    <mergeCell ref="AN137:BD137"/>
    <mergeCell ref="AN138:BD138"/>
    <mergeCell ref="AN139:BD139"/>
    <mergeCell ref="AN140:BD140"/>
    <mergeCell ref="AN129:BD129"/>
    <mergeCell ref="AN130:BD130"/>
    <mergeCell ref="AN131:BD131"/>
    <mergeCell ref="AN132:BD132"/>
    <mergeCell ref="AN133:BD133"/>
    <mergeCell ref="AN134:BD134"/>
    <mergeCell ref="AN123:BD123"/>
    <mergeCell ref="AN124:BD124"/>
    <mergeCell ref="AN125:BD125"/>
    <mergeCell ref="AN126:BD126"/>
    <mergeCell ref="AN127:BD127"/>
    <mergeCell ref="AN128:BD128"/>
    <mergeCell ref="AN117:BD117"/>
    <mergeCell ref="AN118:BD118"/>
    <mergeCell ref="AN119:BD119"/>
    <mergeCell ref="AN120:BD120"/>
    <mergeCell ref="AN121:BD121"/>
    <mergeCell ref="AN122:BD122"/>
    <mergeCell ref="AN111:BD111"/>
    <mergeCell ref="AN112:BD112"/>
    <mergeCell ref="AN113:BD113"/>
    <mergeCell ref="AN114:BD114"/>
    <mergeCell ref="AN115:BD115"/>
    <mergeCell ref="AN116:BD116"/>
    <mergeCell ref="AN105:BD105"/>
    <mergeCell ref="AN106:BD106"/>
    <mergeCell ref="AN107:BD107"/>
    <mergeCell ref="AN108:BD108"/>
    <mergeCell ref="AN109:BD109"/>
    <mergeCell ref="AN110:BD110"/>
    <mergeCell ref="AN99:BD99"/>
    <mergeCell ref="AN100:BD100"/>
    <mergeCell ref="AN101:BD101"/>
    <mergeCell ref="AN102:BD102"/>
    <mergeCell ref="AN103:BD103"/>
    <mergeCell ref="AN104:BD104"/>
    <mergeCell ref="AN93:BD93"/>
    <mergeCell ref="AN94:BD94"/>
    <mergeCell ref="AN95:BD95"/>
    <mergeCell ref="AN96:BD96"/>
    <mergeCell ref="AN97:BD97"/>
    <mergeCell ref="AN98:BD98"/>
    <mergeCell ref="AN87:BD87"/>
    <mergeCell ref="AN88:BD88"/>
    <mergeCell ref="AN89:BD89"/>
    <mergeCell ref="AN90:BD90"/>
    <mergeCell ref="AN91:BD91"/>
    <mergeCell ref="AN92:BD92"/>
    <mergeCell ref="AN81:BD81"/>
    <mergeCell ref="AN82:BD82"/>
    <mergeCell ref="AN83:BD83"/>
    <mergeCell ref="AN84:BD84"/>
    <mergeCell ref="AN85:BD85"/>
    <mergeCell ref="AN86:BD86"/>
    <mergeCell ref="AN75:BD75"/>
    <mergeCell ref="AN76:BD76"/>
    <mergeCell ref="AN77:BD77"/>
    <mergeCell ref="AN78:BD78"/>
    <mergeCell ref="AN79:BD79"/>
    <mergeCell ref="AN80:BD80"/>
    <mergeCell ref="AN69:BD69"/>
    <mergeCell ref="AN70:BD70"/>
    <mergeCell ref="AN71:BD71"/>
    <mergeCell ref="AN72:BD72"/>
    <mergeCell ref="AN73:BD73"/>
    <mergeCell ref="AN74:BD74"/>
    <mergeCell ref="AN63:BD63"/>
    <mergeCell ref="AN64:BD64"/>
    <mergeCell ref="AN65:BD65"/>
    <mergeCell ref="AN66:BD66"/>
    <mergeCell ref="AN67:BD67"/>
    <mergeCell ref="AN68:BD68"/>
    <mergeCell ref="AN57:BD57"/>
    <mergeCell ref="AN58:BD58"/>
    <mergeCell ref="AN59:BD59"/>
    <mergeCell ref="AN60:BD60"/>
    <mergeCell ref="AN61:BD61"/>
    <mergeCell ref="AN62:BD62"/>
    <mergeCell ref="AN52:BD52"/>
    <mergeCell ref="AN53:BD53"/>
    <mergeCell ref="AN54:BD54"/>
    <mergeCell ref="AN55:BD55"/>
    <mergeCell ref="AN56:BD56"/>
    <mergeCell ref="AN51:BD51"/>
    <mergeCell ref="AN45:BD45"/>
    <mergeCell ref="AN46:BD46"/>
    <mergeCell ref="AN47:BD47"/>
    <mergeCell ref="AN48:BD48"/>
    <mergeCell ref="AN49:BD49"/>
    <mergeCell ref="AN50:BD50"/>
    <mergeCell ref="AN39:BD39"/>
    <mergeCell ref="AN40:BD40"/>
    <mergeCell ref="AN41:BD41"/>
    <mergeCell ref="AN42:BD42"/>
    <mergeCell ref="AN43:BD43"/>
    <mergeCell ref="AN44:BD44"/>
    <mergeCell ref="AN33:BD33"/>
    <mergeCell ref="AN34:BD34"/>
    <mergeCell ref="AN35:BD35"/>
    <mergeCell ref="AN36:BD36"/>
    <mergeCell ref="AN37:BD37"/>
    <mergeCell ref="AN38:BD38"/>
    <mergeCell ref="AN27:BD27"/>
    <mergeCell ref="AN28:BD28"/>
    <mergeCell ref="AN29:BD29"/>
    <mergeCell ref="AN30:BD30"/>
    <mergeCell ref="AN31:BD31"/>
    <mergeCell ref="AN32:BD32"/>
    <mergeCell ref="AN21:BD21"/>
    <mergeCell ref="AN22:BD22"/>
    <mergeCell ref="AN23:BD23"/>
    <mergeCell ref="AN24:BD24"/>
    <mergeCell ref="AN25:BD25"/>
    <mergeCell ref="AN26:BD26"/>
    <mergeCell ref="AN15:BD15"/>
    <mergeCell ref="AN16:BD16"/>
    <mergeCell ref="AN17:BD17"/>
    <mergeCell ref="AN18:BD18"/>
    <mergeCell ref="AN19:BD19"/>
    <mergeCell ref="AN20:BD20"/>
    <mergeCell ref="AN9:BD9"/>
    <mergeCell ref="AN10:BD10"/>
    <mergeCell ref="AN11:BD11"/>
    <mergeCell ref="AN12:BD12"/>
    <mergeCell ref="AN13:BD13"/>
    <mergeCell ref="AN14:BD14"/>
    <mergeCell ref="AN4:BD4"/>
    <mergeCell ref="AN5:BD5"/>
    <mergeCell ref="AN6:BD6"/>
    <mergeCell ref="AN7:BD7"/>
    <mergeCell ref="AN8:BD8"/>
    <mergeCell ref="AN1:AT1"/>
    <mergeCell ref="AV1:BB1"/>
    <mergeCell ref="AD2:AE2"/>
    <mergeCell ref="AG2:AH2"/>
    <mergeCell ref="AL2:AM2"/>
  </mergeCells>
  <phoneticPr fontId="2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26B7FA21-17E7-4A8E-8D75-4C14FA14C295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'Molecules_Positive ion mode'!I4:Y4</xm:f>
              <xm:sqref>AN4</xm:sqref>
            </x14:sparkline>
            <x14:sparkline>
              <xm:f>'Molecules_Positive ion mode'!I5:Y5</xm:f>
              <xm:sqref>AN5</xm:sqref>
            </x14:sparkline>
            <x14:sparkline>
              <xm:f>'Molecules_Positive ion mode'!I6:Y6</xm:f>
              <xm:sqref>AN6</xm:sqref>
            </x14:sparkline>
            <x14:sparkline>
              <xm:f>'Molecules_Positive ion mode'!I7:Y7</xm:f>
              <xm:sqref>AN7</xm:sqref>
            </x14:sparkline>
            <x14:sparkline>
              <xm:f>'Molecules_Positive ion mode'!I8:Y8</xm:f>
              <xm:sqref>AN8</xm:sqref>
            </x14:sparkline>
            <x14:sparkline>
              <xm:f>'Molecules_Positive ion mode'!I9:Y9</xm:f>
              <xm:sqref>AN9</xm:sqref>
            </x14:sparkline>
            <x14:sparkline>
              <xm:f>'Molecules_Positive ion mode'!I10:Y10</xm:f>
              <xm:sqref>AN10</xm:sqref>
            </x14:sparkline>
            <x14:sparkline>
              <xm:f>'Molecules_Positive ion mode'!I11:Y11</xm:f>
              <xm:sqref>AN11</xm:sqref>
            </x14:sparkline>
            <x14:sparkline>
              <xm:f>'Molecules_Positive ion mode'!I12:Y12</xm:f>
              <xm:sqref>AN12</xm:sqref>
            </x14:sparkline>
            <x14:sparkline>
              <xm:f>'Molecules_Positive ion mode'!I13:Y13</xm:f>
              <xm:sqref>AN13</xm:sqref>
            </x14:sparkline>
            <x14:sparkline>
              <xm:f>'Molecules_Positive ion mode'!I14:Y14</xm:f>
              <xm:sqref>AN14</xm:sqref>
            </x14:sparkline>
            <x14:sparkline>
              <xm:f>'Molecules_Positive ion mode'!I15:Y15</xm:f>
              <xm:sqref>AN15</xm:sqref>
            </x14:sparkline>
            <x14:sparkline>
              <xm:f>'Molecules_Positive ion mode'!I16:Y16</xm:f>
              <xm:sqref>AN16</xm:sqref>
            </x14:sparkline>
            <x14:sparkline>
              <xm:f>'Molecules_Positive ion mode'!I17:Y17</xm:f>
              <xm:sqref>AN17</xm:sqref>
            </x14:sparkline>
            <x14:sparkline>
              <xm:f>'Molecules_Positive ion mode'!I18:Y18</xm:f>
              <xm:sqref>AN18</xm:sqref>
            </x14:sparkline>
            <x14:sparkline>
              <xm:f>'Molecules_Positive ion mode'!I19:Y19</xm:f>
              <xm:sqref>AN19</xm:sqref>
            </x14:sparkline>
            <x14:sparkline>
              <xm:f>'Molecules_Positive ion mode'!I20:Y20</xm:f>
              <xm:sqref>AN20</xm:sqref>
            </x14:sparkline>
            <x14:sparkline>
              <xm:f>'Molecules_Positive ion mode'!I21:Y21</xm:f>
              <xm:sqref>AN21</xm:sqref>
            </x14:sparkline>
            <x14:sparkline>
              <xm:f>'Molecules_Positive ion mode'!I22:Y22</xm:f>
              <xm:sqref>AN22</xm:sqref>
            </x14:sparkline>
            <x14:sparkline>
              <xm:f>'Molecules_Positive ion mode'!I23:Y23</xm:f>
              <xm:sqref>AN23</xm:sqref>
            </x14:sparkline>
            <x14:sparkline>
              <xm:f>'Molecules_Positive ion mode'!I24:Y24</xm:f>
              <xm:sqref>AN24</xm:sqref>
            </x14:sparkline>
            <x14:sparkline>
              <xm:f>'Molecules_Positive ion mode'!I25:Y25</xm:f>
              <xm:sqref>AN25</xm:sqref>
            </x14:sparkline>
            <x14:sparkline>
              <xm:f>'Molecules_Positive ion mode'!I26:Y26</xm:f>
              <xm:sqref>AN26</xm:sqref>
            </x14:sparkline>
            <x14:sparkline>
              <xm:f>'Molecules_Positive ion mode'!I27:Y27</xm:f>
              <xm:sqref>AN27</xm:sqref>
            </x14:sparkline>
            <x14:sparkline>
              <xm:f>'Molecules_Positive ion mode'!I28:Y28</xm:f>
              <xm:sqref>AN28</xm:sqref>
            </x14:sparkline>
            <x14:sparkline>
              <xm:f>'Molecules_Positive ion mode'!I29:Y29</xm:f>
              <xm:sqref>AN29</xm:sqref>
            </x14:sparkline>
            <x14:sparkline>
              <xm:f>'Molecules_Positive ion mode'!I30:Y30</xm:f>
              <xm:sqref>AN30</xm:sqref>
            </x14:sparkline>
            <x14:sparkline>
              <xm:f>'Molecules_Positive ion mode'!I31:Y31</xm:f>
              <xm:sqref>AN31</xm:sqref>
            </x14:sparkline>
            <x14:sparkline>
              <xm:f>'Molecules_Positive ion mode'!I32:Y32</xm:f>
              <xm:sqref>AN32</xm:sqref>
            </x14:sparkline>
            <x14:sparkline>
              <xm:f>'Molecules_Positive ion mode'!I33:Y33</xm:f>
              <xm:sqref>AN33</xm:sqref>
            </x14:sparkline>
            <x14:sparkline>
              <xm:f>'Molecules_Positive ion mode'!I34:Y34</xm:f>
              <xm:sqref>AN34</xm:sqref>
            </x14:sparkline>
            <x14:sparkline>
              <xm:f>'Molecules_Positive ion mode'!I35:Y35</xm:f>
              <xm:sqref>AN35</xm:sqref>
            </x14:sparkline>
            <x14:sparkline>
              <xm:f>'Molecules_Positive ion mode'!I36:Y36</xm:f>
              <xm:sqref>AN36</xm:sqref>
            </x14:sparkline>
            <x14:sparkline>
              <xm:f>'Molecules_Positive ion mode'!I37:Y37</xm:f>
              <xm:sqref>AN37</xm:sqref>
            </x14:sparkline>
            <x14:sparkline>
              <xm:f>'Molecules_Positive ion mode'!I38:Y38</xm:f>
              <xm:sqref>AN38</xm:sqref>
            </x14:sparkline>
            <x14:sparkline>
              <xm:f>'Molecules_Positive ion mode'!I39:Y39</xm:f>
              <xm:sqref>AN39</xm:sqref>
            </x14:sparkline>
            <x14:sparkline>
              <xm:f>'Molecules_Positive ion mode'!I40:Y40</xm:f>
              <xm:sqref>AN40</xm:sqref>
            </x14:sparkline>
            <x14:sparkline>
              <xm:f>'Molecules_Positive ion mode'!I41:Y41</xm:f>
              <xm:sqref>AN41</xm:sqref>
            </x14:sparkline>
            <x14:sparkline>
              <xm:f>'Molecules_Positive ion mode'!I42:Y42</xm:f>
              <xm:sqref>AN42</xm:sqref>
            </x14:sparkline>
            <x14:sparkline>
              <xm:f>'Molecules_Positive ion mode'!I43:Y43</xm:f>
              <xm:sqref>AN43</xm:sqref>
            </x14:sparkline>
            <x14:sparkline>
              <xm:f>'Molecules_Positive ion mode'!I44:Y44</xm:f>
              <xm:sqref>AN44</xm:sqref>
            </x14:sparkline>
            <x14:sparkline>
              <xm:f>'Molecules_Positive ion mode'!I45:Y45</xm:f>
              <xm:sqref>AN45</xm:sqref>
            </x14:sparkline>
            <x14:sparkline>
              <xm:f>'Molecules_Positive ion mode'!I46:Y46</xm:f>
              <xm:sqref>AN46</xm:sqref>
            </x14:sparkline>
            <x14:sparkline>
              <xm:f>'Molecules_Positive ion mode'!I47:Y47</xm:f>
              <xm:sqref>AN47</xm:sqref>
            </x14:sparkline>
            <x14:sparkline>
              <xm:f>'Molecules_Positive ion mode'!I48:Y48</xm:f>
              <xm:sqref>AN48</xm:sqref>
            </x14:sparkline>
            <x14:sparkline>
              <xm:f>'Molecules_Positive ion mode'!I49:Y49</xm:f>
              <xm:sqref>AN49</xm:sqref>
            </x14:sparkline>
            <x14:sparkline>
              <xm:f>'Molecules_Positive ion mode'!I50:Y50</xm:f>
              <xm:sqref>AN50</xm:sqref>
            </x14:sparkline>
            <x14:sparkline>
              <xm:f>'Molecules_Positive ion mode'!I51:Y51</xm:f>
              <xm:sqref>AN51</xm:sqref>
            </x14:sparkline>
            <x14:sparkline>
              <xm:f>'Molecules_Positive ion mode'!I52:Y52</xm:f>
              <xm:sqref>AN52</xm:sqref>
            </x14:sparkline>
            <x14:sparkline>
              <xm:f>'Molecules_Positive ion mode'!I53:Y53</xm:f>
              <xm:sqref>AN53</xm:sqref>
            </x14:sparkline>
            <x14:sparkline>
              <xm:f>'Molecules_Positive ion mode'!I54:Y54</xm:f>
              <xm:sqref>AN54</xm:sqref>
            </x14:sparkline>
            <x14:sparkline>
              <xm:f>'Molecules_Positive ion mode'!I55:Y55</xm:f>
              <xm:sqref>AN55</xm:sqref>
            </x14:sparkline>
            <x14:sparkline>
              <xm:f>'Molecules_Positive ion mode'!I56:Y56</xm:f>
              <xm:sqref>AN56</xm:sqref>
            </x14:sparkline>
            <x14:sparkline>
              <xm:f>'Molecules_Positive ion mode'!I57:Y57</xm:f>
              <xm:sqref>AN57</xm:sqref>
            </x14:sparkline>
            <x14:sparkline>
              <xm:f>'Molecules_Positive ion mode'!I58:Y58</xm:f>
              <xm:sqref>AN58</xm:sqref>
            </x14:sparkline>
            <x14:sparkline>
              <xm:f>'Molecules_Positive ion mode'!I59:Y59</xm:f>
              <xm:sqref>AN59</xm:sqref>
            </x14:sparkline>
            <x14:sparkline>
              <xm:f>'Molecules_Positive ion mode'!I60:Y60</xm:f>
              <xm:sqref>AN60</xm:sqref>
            </x14:sparkline>
            <x14:sparkline>
              <xm:f>'Molecules_Positive ion mode'!I61:Y61</xm:f>
              <xm:sqref>AN61</xm:sqref>
            </x14:sparkline>
            <x14:sparkline>
              <xm:f>'Molecules_Positive ion mode'!I62:Y62</xm:f>
              <xm:sqref>AN62</xm:sqref>
            </x14:sparkline>
            <x14:sparkline>
              <xm:f>'Molecules_Positive ion mode'!I63:Y63</xm:f>
              <xm:sqref>AN63</xm:sqref>
            </x14:sparkline>
            <x14:sparkline>
              <xm:f>'Molecules_Positive ion mode'!I64:Y64</xm:f>
              <xm:sqref>AN64</xm:sqref>
            </x14:sparkline>
            <x14:sparkline>
              <xm:f>'Molecules_Positive ion mode'!I65:Y65</xm:f>
              <xm:sqref>AN65</xm:sqref>
            </x14:sparkline>
            <x14:sparkline>
              <xm:f>'Molecules_Positive ion mode'!I66:Y66</xm:f>
              <xm:sqref>AN66</xm:sqref>
            </x14:sparkline>
            <x14:sparkline>
              <xm:f>'Molecules_Positive ion mode'!I67:Y67</xm:f>
              <xm:sqref>AN67</xm:sqref>
            </x14:sparkline>
            <x14:sparkline>
              <xm:f>'Molecules_Positive ion mode'!I68:Y68</xm:f>
              <xm:sqref>AN68</xm:sqref>
            </x14:sparkline>
            <x14:sparkline>
              <xm:f>'Molecules_Positive ion mode'!I69:Y69</xm:f>
              <xm:sqref>AN69</xm:sqref>
            </x14:sparkline>
            <x14:sparkline>
              <xm:f>'Molecules_Positive ion mode'!I70:Y70</xm:f>
              <xm:sqref>AN70</xm:sqref>
            </x14:sparkline>
            <x14:sparkline>
              <xm:f>'Molecules_Positive ion mode'!I71:Y71</xm:f>
              <xm:sqref>AN71</xm:sqref>
            </x14:sparkline>
            <x14:sparkline>
              <xm:f>'Molecules_Positive ion mode'!I72:Y72</xm:f>
              <xm:sqref>AN72</xm:sqref>
            </x14:sparkline>
            <x14:sparkline>
              <xm:f>'Molecules_Positive ion mode'!I73:Y73</xm:f>
              <xm:sqref>AN73</xm:sqref>
            </x14:sparkline>
            <x14:sparkline>
              <xm:f>'Molecules_Positive ion mode'!I74:Y74</xm:f>
              <xm:sqref>AN74</xm:sqref>
            </x14:sparkline>
            <x14:sparkline>
              <xm:f>'Molecules_Positive ion mode'!I75:Y75</xm:f>
              <xm:sqref>AN75</xm:sqref>
            </x14:sparkline>
            <x14:sparkline>
              <xm:f>'Molecules_Positive ion mode'!I76:Y76</xm:f>
              <xm:sqref>AN76</xm:sqref>
            </x14:sparkline>
            <x14:sparkline>
              <xm:f>'Molecules_Positive ion mode'!I77:Y77</xm:f>
              <xm:sqref>AN77</xm:sqref>
            </x14:sparkline>
            <x14:sparkline>
              <xm:f>'Molecules_Positive ion mode'!I78:Y78</xm:f>
              <xm:sqref>AN78</xm:sqref>
            </x14:sparkline>
            <x14:sparkline>
              <xm:f>'Molecules_Positive ion mode'!I79:Y79</xm:f>
              <xm:sqref>AN79</xm:sqref>
            </x14:sparkline>
            <x14:sparkline>
              <xm:f>'Molecules_Positive ion mode'!I80:Y80</xm:f>
              <xm:sqref>AN80</xm:sqref>
            </x14:sparkline>
            <x14:sparkline>
              <xm:f>'Molecules_Positive ion mode'!I81:Y81</xm:f>
              <xm:sqref>AN81</xm:sqref>
            </x14:sparkline>
            <x14:sparkline>
              <xm:f>'Molecules_Positive ion mode'!I82:Y82</xm:f>
              <xm:sqref>AN82</xm:sqref>
            </x14:sparkline>
            <x14:sparkline>
              <xm:f>'Molecules_Positive ion mode'!I83:Y83</xm:f>
              <xm:sqref>AN83</xm:sqref>
            </x14:sparkline>
            <x14:sparkline>
              <xm:f>'Molecules_Positive ion mode'!I84:Y84</xm:f>
              <xm:sqref>AN84</xm:sqref>
            </x14:sparkline>
            <x14:sparkline>
              <xm:f>'Molecules_Positive ion mode'!I85:Y85</xm:f>
              <xm:sqref>AN85</xm:sqref>
            </x14:sparkline>
            <x14:sparkline>
              <xm:f>'Molecules_Positive ion mode'!I86:Y86</xm:f>
              <xm:sqref>AN86</xm:sqref>
            </x14:sparkline>
            <x14:sparkline>
              <xm:f>'Molecules_Positive ion mode'!I87:Y87</xm:f>
              <xm:sqref>AN87</xm:sqref>
            </x14:sparkline>
            <x14:sparkline>
              <xm:f>'Molecules_Positive ion mode'!I88:Y88</xm:f>
              <xm:sqref>AN88</xm:sqref>
            </x14:sparkline>
            <x14:sparkline>
              <xm:f>'Molecules_Positive ion mode'!I89:Y89</xm:f>
              <xm:sqref>AN89</xm:sqref>
            </x14:sparkline>
            <x14:sparkline>
              <xm:f>'Molecules_Positive ion mode'!I90:Y90</xm:f>
              <xm:sqref>AN90</xm:sqref>
            </x14:sparkline>
            <x14:sparkline>
              <xm:f>'Molecules_Positive ion mode'!I91:Y91</xm:f>
              <xm:sqref>AN91</xm:sqref>
            </x14:sparkline>
            <x14:sparkline>
              <xm:f>'Molecules_Positive ion mode'!I92:Y92</xm:f>
              <xm:sqref>AN92</xm:sqref>
            </x14:sparkline>
            <x14:sparkline>
              <xm:f>'Molecules_Positive ion mode'!I93:Y93</xm:f>
              <xm:sqref>AN93</xm:sqref>
            </x14:sparkline>
            <x14:sparkline>
              <xm:f>'Molecules_Positive ion mode'!I94:Y94</xm:f>
              <xm:sqref>AN94</xm:sqref>
            </x14:sparkline>
            <x14:sparkline>
              <xm:f>'Molecules_Positive ion mode'!I95:Y95</xm:f>
              <xm:sqref>AN95</xm:sqref>
            </x14:sparkline>
            <x14:sparkline>
              <xm:f>'Molecules_Positive ion mode'!I96:Y96</xm:f>
              <xm:sqref>AN96</xm:sqref>
            </x14:sparkline>
            <x14:sparkline>
              <xm:f>'Molecules_Positive ion mode'!I97:Y97</xm:f>
              <xm:sqref>AN97</xm:sqref>
            </x14:sparkline>
            <x14:sparkline>
              <xm:f>'Molecules_Positive ion mode'!I98:Y98</xm:f>
              <xm:sqref>AN98</xm:sqref>
            </x14:sparkline>
            <x14:sparkline>
              <xm:f>'Molecules_Positive ion mode'!I99:Y99</xm:f>
              <xm:sqref>AN99</xm:sqref>
            </x14:sparkline>
            <x14:sparkline>
              <xm:f>'Molecules_Positive ion mode'!I100:Y100</xm:f>
              <xm:sqref>AN100</xm:sqref>
            </x14:sparkline>
            <x14:sparkline>
              <xm:f>'Molecules_Positive ion mode'!I101:Y101</xm:f>
              <xm:sqref>AN101</xm:sqref>
            </x14:sparkline>
            <x14:sparkline>
              <xm:f>'Molecules_Positive ion mode'!I102:Y102</xm:f>
              <xm:sqref>AN102</xm:sqref>
            </x14:sparkline>
            <x14:sparkline>
              <xm:f>'Molecules_Positive ion mode'!I103:Y103</xm:f>
              <xm:sqref>AN103</xm:sqref>
            </x14:sparkline>
            <x14:sparkline>
              <xm:f>'Molecules_Positive ion mode'!I104:Y104</xm:f>
              <xm:sqref>AN104</xm:sqref>
            </x14:sparkline>
            <x14:sparkline>
              <xm:f>'Molecules_Positive ion mode'!I105:Y105</xm:f>
              <xm:sqref>AN105</xm:sqref>
            </x14:sparkline>
            <x14:sparkline>
              <xm:f>'Molecules_Positive ion mode'!I106:Y106</xm:f>
              <xm:sqref>AN106</xm:sqref>
            </x14:sparkline>
            <x14:sparkline>
              <xm:f>'Molecules_Positive ion mode'!I107:Y107</xm:f>
              <xm:sqref>AN107</xm:sqref>
            </x14:sparkline>
            <x14:sparkline>
              <xm:f>'Molecules_Positive ion mode'!I108:Y108</xm:f>
              <xm:sqref>AN108</xm:sqref>
            </x14:sparkline>
            <x14:sparkline>
              <xm:f>'Molecules_Positive ion mode'!I109:Y109</xm:f>
              <xm:sqref>AN109</xm:sqref>
            </x14:sparkline>
            <x14:sparkline>
              <xm:f>'Molecules_Positive ion mode'!I110:Y110</xm:f>
              <xm:sqref>AN110</xm:sqref>
            </x14:sparkline>
            <x14:sparkline>
              <xm:f>'Molecules_Positive ion mode'!I111:Y111</xm:f>
              <xm:sqref>AN111</xm:sqref>
            </x14:sparkline>
            <x14:sparkline>
              <xm:f>'Molecules_Positive ion mode'!I112:Y112</xm:f>
              <xm:sqref>AN112</xm:sqref>
            </x14:sparkline>
            <x14:sparkline>
              <xm:f>'Molecules_Positive ion mode'!I113:Y113</xm:f>
              <xm:sqref>AN113</xm:sqref>
            </x14:sparkline>
            <x14:sparkline>
              <xm:f>'Molecules_Positive ion mode'!I114:Y114</xm:f>
              <xm:sqref>AN114</xm:sqref>
            </x14:sparkline>
            <x14:sparkline>
              <xm:f>'Molecules_Positive ion mode'!I115:Y115</xm:f>
              <xm:sqref>AN115</xm:sqref>
            </x14:sparkline>
            <x14:sparkline>
              <xm:f>'Molecules_Positive ion mode'!I116:Y116</xm:f>
              <xm:sqref>AN116</xm:sqref>
            </x14:sparkline>
            <x14:sparkline>
              <xm:f>'Molecules_Positive ion mode'!I117:Y117</xm:f>
              <xm:sqref>AN117</xm:sqref>
            </x14:sparkline>
            <x14:sparkline>
              <xm:f>'Molecules_Positive ion mode'!I118:Y118</xm:f>
              <xm:sqref>AN118</xm:sqref>
            </x14:sparkline>
            <x14:sparkline>
              <xm:f>'Molecules_Positive ion mode'!I119:Y119</xm:f>
              <xm:sqref>AN119</xm:sqref>
            </x14:sparkline>
            <x14:sparkline>
              <xm:f>'Molecules_Positive ion mode'!I120:Y120</xm:f>
              <xm:sqref>AN120</xm:sqref>
            </x14:sparkline>
            <x14:sparkline>
              <xm:f>'Molecules_Positive ion mode'!I121:Y121</xm:f>
              <xm:sqref>AN121</xm:sqref>
            </x14:sparkline>
            <x14:sparkline>
              <xm:f>'Molecules_Positive ion mode'!I122:Y122</xm:f>
              <xm:sqref>AN122</xm:sqref>
            </x14:sparkline>
            <x14:sparkline>
              <xm:f>'Molecules_Positive ion mode'!I123:Y123</xm:f>
              <xm:sqref>AN123</xm:sqref>
            </x14:sparkline>
            <x14:sparkline>
              <xm:f>'Molecules_Positive ion mode'!I124:Y124</xm:f>
              <xm:sqref>AN124</xm:sqref>
            </x14:sparkline>
            <x14:sparkline>
              <xm:f>'Molecules_Positive ion mode'!I125:Y125</xm:f>
              <xm:sqref>AN125</xm:sqref>
            </x14:sparkline>
            <x14:sparkline>
              <xm:f>'Molecules_Positive ion mode'!I126:Y126</xm:f>
              <xm:sqref>AN126</xm:sqref>
            </x14:sparkline>
            <x14:sparkline>
              <xm:f>'Molecules_Positive ion mode'!I127:Y127</xm:f>
              <xm:sqref>AN127</xm:sqref>
            </x14:sparkline>
            <x14:sparkline>
              <xm:f>'Molecules_Positive ion mode'!I128:Y128</xm:f>
              <xm:sqref>AN128</xm:sqref>
            </x14:sparkline>
            <x14:sparkline>
              <xm:f>'Molecules_Positive ion mode'!I129:Y129</xm:f>
              <xm:sqref>AN129</xm:sqref>
            </x14:sparkline>
            <x14:sparkline>
              <xm:f>'Molecules_Positive ion mode'!I130:Y130</xm:f>
              <xm:sqref>AN130</xm:sqref>
            </x14:sparkline>
            <x14:sparkline>
              <xm:f>'Molecules_Positive ion mode'!I131:Y131</xm:f>
              <xm:sqref>AN131</xm:sqref>
            </x14:sparkline>
            <x14:sparkline>
              <xm:f>'Molecules_Positive ion mode'!I132:Y132</xm:f>
              <xm:sqref>AN132</xm:sqref>
            </x14:sparkline>
            <x14:sparkline>
              <xm:f>'Molecules_Positive ion mode'!I133:Y133</xm:f>
              <xm:sqref>AN133</xm:sqref>
            </x14:sparkline>
            <x14:sparkline>
              <xm:f>'Molecules_Positive ion mode'!I134:Y134</xm:f>
              <xm:sqref>AN134</xm:sqref>
            </x14:sparkline>
            <x14:sparkline>
              <xm:f>'Molecules_Positive ion mode'!I135:Y135</xm:f>
              <xm:sqref>AN135</xm:sqref>
            </x14:sparkline>
            <x14:sparkline>
              <xm:f>'Molecules_Positive ion mode'!I136:Y136</xm:f>
              <xm:sqref>AN136</xm:sqref>
            </x14:sparkline>
            <x14:sparkline>
              <xm:f>'Molecules_Positive ion mode'!I137:Y137</xm:f>
              <xm:sqref>AN137</xm:sqref>
            </x14:sparkline>
            <x14:sparkline>
              <xm:f>'Molecules_Positive ion mode'!I138:Y138</xm:f>
              <xm:sqref>AN138</xm:sqref>
            </x14:sparkline>
            <x14:sparkline>
              <xm:f>'Molecules_Positive ion mode'!I139:Y139</xm:f>
              <xm:sqref>AN139</xm:sqref>
            </x14:sparkline>
            <x14:sparkline>
              <xm:f>'Molecules_Positive ion mode'!I140:Y140</xm:f>
              <xm:sqref>AN140</xm:sqref>
            </x14:sparkline>
            <x14:sparkline>
              <xm:f>'Molecules_Positive ion mode'!I141:Y141</xm:f>
              <xm:sqref>AN141</xm:sqref>
            </x14:sparkline>
            <x14:sparkline>
              <xm:f>'Molecules_Positive ion mode'!I142:Y142</xm:f>
              <xm:sqref>AN142</xm:sqref>
            </x14:sparkline>
            <x14:sparkline>
              <xm:f>'Molecules_Positive ion mode'!I143:Y143</xm:f>
              <xm:sqref>AN143</xm:sqref>
            </x14:sparkline>
            <x14:sparkline>
              <xm:f>'Molecules_Positive ion mode'!I144:Y144</xm:f>
              <xm:sqref>AN144</xm:sqref>
            </x14:sparkline>
            <x14:sparkline>
              <xm:f>'Molecules_Positive ion mode'!I145:Y145</xm:f>
              <xm:sqref>AN145</xm:sqref>
            </x14:sparkline>
            <x14:sparkline>
              <xm:f>'Molecules_Positive ion mode'!I146:Y146</xm:f>
              <xm:sqref>AN146</xm:sqref>
            </x14:sparkline>
            <x14:sparkline>
              <xm:f>'Molecules_Positive ion mode'!I147:Y147</xm:f>
              <xm:sqref>AN147</xm:sqref>
            </x14:sparkline>
            <x14:sparkline>
              <xm:f>'Molecules_Positive ion mode'!I148:Y148</xm:f>
              <xm:sqref>AN148</xm:sqref>
            </x14:sparkline>
            <x14:sparkline>
              <xm:f>'Molecules_Positive ion mode'!I149:Y149</xm:f>
              <xm:sqref>AN149</xm:sqref>
            </x14:sparkline>
            <x14:sparkline>
              <xm:f>'Molecules_Positive ion mode'!I150:Y150</xm:f>
              <xm:sqref>AN150</xm:sqref>
            </x14:sparkline>
            <x14:sparkline>
              <xm:f>'Molecules_Positive ion mode'!I151:Y151</xm:f>
              <xm:sqref>AN151</xm:sqref>
            </x14:sparkline>
            <x14:sparkline>
              <xm:f>'Molecules_Positive ion mode'!I152:Y152</xm:f>
              <xm:sqref>AN152</xm:sqref>
            </x14:sparkline>
            <x14:sparkline>
              <xm:f>'Molecules_Positive ion mode'!I153:Y153</xm:f>
              <xm:sqref>AN153</xm:sqref>
            </x14:sparkline>
            <x14:sparkline>
              <xm:f>'Molecules_Positive ion mode'!I154:Y154</xm:f>
              <xm:sqref>AN154</xm:sqref>
            </x14:sparkline>
            <x14:sparkline>
              <xm:f>'Molecules_Positive ion mode'!I155:Y155</xm:f>
              <xm:sqref>AN155</xm:sqref>
            </x14:sparkline>
            <x14:sparkline>
              <xm:f>'Molecules_Positive ion mode'!I156:Y156</xm:f>
              <xm:sqref>AN156</xm:sqref>
            </x14:sparkline>
            <x14:sparkline>
              <xm:f>'Molecules_Positive ion mode'!I157:Y157</xm:f>
              <xm:sqref>AN157</xm:sqref>
            </x14:sparkline>
            <x14:sparkline>
              <xm:f>'Molecules_Positive ion mode'!I158:Y158</xm:f>
              <xm:sqref>AN158</xm:sqref>
            </x14:sparkline>
            <x14:sparkline>
              <xm:f>'Molecules_Positive ion mode'!I159:Y159</xm:f>
              <xm:sqref>AN159</xm:sqref>
            </x14:sparkline>
            <x14:sparkline>
              <xm:f>'Molecules_Positive ion mode'!I160:Y160</xm:f>
              <xm:sqref>AN160</xm:sqref>
            </x14:sparkline>
            <x14:sparkline>
              <xm:f>'Molecules_Positive ion mode'!I161:Y161</xm:f>
              <xm:sqref>AN161</xm:sqref>
            </x14:sparkline>
            <x14:sparkline>
              <xm:f>'Molecules_Positive ion mode'!I162:Y162</xm:f>
              <xm:sqref>AN162</xm:sqref>
            </x14:sparkline>
            <x14:sparkline>
              <xm:f>'Molecules_Positive ion mode'!I163:Y163</xm:f>
              <xm:sqref>AN163</xm:sqref>
            </x14:sparkline>
            <x14:sparkline>
              <xm:f>'Molecules_Positive ion mode'!I164:Y164</xm:f>
              <xm:sqref>AN164</xm:sqref>
            </x14:sparkline>
            <x14:sparkline>
              <xm:f>'Molecules_Positive ion mode'!I165:Y165</xm:f>
              <xm:sqref>AN165</xm:sqref>
            </x14:sparkline>
            <x14:sparkline>
              <xm:f>'Molecules_Positive ion mode'!I166:Y166</xm:f>
              <xm:sqref>AN166</xm:sqref>
            </x14:sparkline>
            <x14:sparkline>
              <xm:f>'Molecules_Positive ion mode'!I167:Y167</xm:f>
              <xm:sqref>AN167</xm:sqref>
            </x14:sparkline>
            <x14:sparkline>
              <xm:f>'Molecules_Positive ion mode'!I168:Y168</xm:f>
              <xm:sqref>AN168</xm:sqref>
            </x14:sparkline>
            <x14:sparkline>
              <xm:f>'Molecules_Positive ion mode'!I169:Y169</xm:f>
              <xm:sqref>AN169</xm:sqref>
            </x14:sparkline>
            <x14:sparkline>
              <xm:f>'Molecules_Positive ion mode'!I170:Y170</xm:f>
              <xm:sqref>AN170</xm:sqref>
            </x14:sparkline>
            <x14:sparkline>
              <xm:f>'Molecules_Positive ion mode'!I171:Y171</xm:f>
              <xm:sqref>AN171</xm:sqref>
            </x14:sparkline>
            <x14:sparkline>
              <xm:f>'Molecules_Positive ion mode'!I172:Y172</xm:f>
              <xm:sqref>AN172</xm:sqref>
            </x14:sparkline>
            <x14:sparkline>
              <xm:f>'Molecules_Positive ion mode'!I173:Y173</xm:f>
              <xm:sqref>AN173</xm:sqref>
            </x14:sparkline>
            <x14:sparkline>
              <xm:f>'Molecules_Positive ion mode'!I174:Y174</xm:f>
              <xm:sqref>AN174</xm:sqref>
            </x14:sparkline>
            <x14:sparkline>
              <xm:f>'Molecules_Positive ion mode'!I175:Y175</xm:f>
              <xm:sqref>AN175</xm:sqref>
            </x14:sparkline>
            <x14:sparkline>
              <xm:f>'Molecules_Positive ion mode'!I176:Y176</xm:f>
              <xm:sqref>AN176</xm:sqref>
            </x14:sparkline>
            <x14:sparkline>
              <xm:f>'Molecules_Positive ion mode'!I177:Y177</xm:f>
              <xm:sqref>AN177</xm:sqref>
            </x14:sparkline>
            <x14:sparkline>
              <xm:f>'Molecules_Positive ion mode'!I178:Y178</xm:f>
              <xm:sqref>AN178</xm:sqref>
            </x14:sparkline>
            <x14:sparkline>
              <xm:f>'Molecules_Positive ion mode'!I179:Y179</xm:f>
              <xm:sqref>AN179</xm:sqref>
            </x14:sparkline>
            <x14:sparkline>
              <xm:f>'Molecules_Positive ion mode'!I180:Y180</xm:f>
              <xm:sqref>AN180</xm:sqref>
            </x14:sparkline>
            <x14:sparkline>
              <xm:f>'Molecules_Positive ion mode'!I181:Y181</xm:f>
              <xm:sqref>AN181</xm:sqref>
            </x14:sparkline>
            <x14:sparkline>
              <xm:f>'Molecules_Positive ion mode'!I182:Y182</xm:f>
              <xm:sqref>AN182</xm:sqref>
            </x14:sparkline>
            <x14:sparkline>
              <xm:f>'Molecules_Positive ion mode'!I183:Y183</xm:f>
              <xm:sqref>AN183</xm:sqref>
            </x14:sparkline>
            <x14:sparkline>
              <xm:f>'Molecules_Positive ion mode'!I184:Y184</xm:f>
              <xm:sqref>AN184</xm:sqref>
            </x14:sparkline>
            <x14:sparkline>
              <xm:f>'Molecules_Positive ion mode'!I185:Y185</xm:f>
              <xm:sqref>AN185</xm:sqref>
            </x14:sparkline>
            <x14:sparkline>
              <xm:f>'Molecules_Positive ion mode'!I186:Y186</xm:f>
              <xm:sqref>AN186</xm:sqref>
            </x14:sparkline>
            <x14:sparkline>
              <xm:f>'Molecules_Positive ion mode'!I187:Y187</xm:f>
              <xm:sqref>AN187</xm:sqref>
            </x14:sparkline>
            <x14:sparkline>
              <xm:f>'Molecules_Positive ion mode'!I188:Y188</xm:f>
              <xm:sqref>AN188</xm:sqref>
            </x14:sparkline>
            <x14:sparkline>
              <xm:f>'Molecules_Positive ion mode'!I189:Y189</xm:f>
              <xm:sqref>AN189</xm:sqref>
            </x14:sparkline>
            <x14:sparkline>
              <xm:f>'Molecules_Positive ion mode'!I190:Y190</xm:f>
              <xm:sqref>AN190</xm:sqref>
            </x14:sparkline>
            <x14:sparkline>
              <xm:f>'Molecules_Positive ion mode'!I191:Y191</xm:f>
              <xm:sqref>AN191</xm:sqref>
            </x14:sparkline>
            <x14:sparkline>
              <xm:f>'Molecules_Positive ion mode'!I192:Y192</xm:f>
              <xm:sqref>AN192</xm:sqref>
            </x14:sparkline>
            <x14:sparkline>
              <xm:f>'Molecules_Positive ion mode'!I193:Y193</xm:f>
              <xm:sqref>AN193</xm:sqref>
            </x14:sparkline>
            <x14:sparkline>
              <xm:f>'Molecules_Positive ion mode'!I194:Y194</xm:f>
              <xm:sqref>AN194</xm:sqref>
            </x14:sparkline>
            <x14:sparkline>
              <xm:f>'Molecules_Positive ion mode'!I195:Y195</xm:f>
              <xm:sqref>AN195</xm:sqref>
            </x14:sparkline>
            <x14:sparkline>
              <xm:f>'Molecules_Positive ion mode'!I196:Y196</xm:f>
              <xm:sqref>AN196</xm:sqref>
            </x14:sparkline>
            <x14:sparkline>
              <xm:f>'Molecules_Positive ion mode'!I197:Y197</xm:f>
              <xm:sqref>AN197</xm:sqref>
            </x14:sparkline>
            <x14:sparkline>
              <xm:f>'Molecules_Positive ion mode'!I198:Y198</xm:f>
              <xm:sqref>AN198</xm:sqref>
            </x14:sparkline>
            <x14:sparkline>
              <xm:f>'Molecules_Positive ion mode'!I199:Y199</xm:f>
              <xm:sqref>AN199</xm:sqref>
            </x14:sparkline>
            <x14:sparkline>
              <xm:f>'Molecules_Positive ion mode'!I200:Y200</xm:f>
              <xm:sqref>AN200</xm:sqref>
            </x14:sparkline>
            <x14:sparkline>
              <xm:f>'Molecules_Positive ion mode'!I201:Y201</xm:f>
              <xm:sqref>AN201</xm:sqref>
            </x14:sparkline>
            <x14:sparkline>
              <xm:f>'Molecules_Positive ion mode'!I202:Y202</xm:f>
              <xm:sqref>AN202</xm:sqref>
            </x14:sparkline>
            <x14:sparkline>
              <xm:f>'Molecules_Positive ion mode'!I203:Y203</xm:f>
              <xm:sqref>AN203</xm:sqref>
            </x14:sparkline>
            <x14:sparkline>
              <xm:f>'Molecules_Positive ion mode'!I204:Y204</xm:f>
              <xm:sqref>AN204</xm:sqref>
            </x14:sparkline>
            <x14:sparkline>
              <xm:f>'Molecules_Positive ion mode'!I205:Y205</xm:f>
              <xm:sqref>AN205</xm:sqref>
            </x14:sparkline>
            <x14:sparkline>
              <xm:f>'Molecules_Positive ion mode'!I206:Y206</xm:f>
              <xm:sqref>AN206</xm:sqref>
            </x14:sparkline>
            <x14:sparkline>
              <xm:f>'Molecules_Positive ion mode'!I207:Y207</xm:f>
              <xm:sqref>AN207</xm:sqref>
            </x14:sparkline>
            <x14:sparkline>
              <xm:f>'Molecules_Positive ion mode'!I208:Y208</xm:f>
              <xm:sqref>AN208</xm:sqref>
            </x14:sparkline>
            <x14:sparkline>
              <xm:f>'Molecules_Positive ion mode'!I209:Y209</xm:f>
              <xm:sqref>AN209</xm:sqref>
            </x14:sparkline>
            <x14:sparkline>
              <xm:f>'Molecules_Positive ion mode'!I210:Y210</xm:f>
              <xm:sqref>AN210</xm:sqref>
            </x14:sparkline>
            <x14:sparkline>
              <xm:f>'Molecules_Positive ion mode'!I211:Y211</xm:f>
              <xm:sqref>AN211</xm:sqref>
            </x14:sparkline>
            <x14:sparkline>
              <xm:f>'Molecules_Positive ion mode'!I212:Y212</xm:f>
              <xm:sqref>AN212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07AB-763A-4918-83C4-31B6534605A9}">
  <dimension ref="A1:AW50"/>
  <sheetViews>
    <sheetView zoomScale="75" zoomScaleNormal="75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B2" sqref="B2"/>
    </sheetView>
  </sheetViews>
  <sheetFormatPr defaultColWidth="8.88671875" defaultRowHeight="14.4" x14ac:dyDescent="0.2"/>
  <cols>
    <col min="1" max="1" width="9.77734375" style="16" customWidth="1"/>
    <col min="2" max="2" width="15.33203125" style="18" customWidth="1"/>
    <col min="3" max="3" width="9.109375" style="18" bestFit="1" customWidth="1"/>
    <col min="4" max="10" width="8.88671875" style="16"/>
    <col min="11" max="11" width="1.6640625" style="16" customWidth="1"/>
    <col min="12" max="18" width="8.88671875" style="16"/>
    <col min="19" max="19" width="1.6640625" style="16" customWidth="1"/>
    <col min="20" max="26" width="8.88671875" style="16"/>
    <col min="27" max="27" width="13.77734375" style="16" customWidth="1"/>
    <col min="28" max="28" width="12.6640625" style="33" customWidth="1"/>
    <col min="29" max="29" width="13.44140625" style="16" customWidth="1"/>
    <col min="30" max="46" width="1.6640625" style="16" customWidth="1"/>
    <col min="47" max="16384" width="8.88671875" style="16"/>
  </cols>
  <sheetData>
    <row r="1" spans="1:49" ht="13.5" customHeight="1" x14ac:dyDescent="0.2">
      <c r="A1" s="8" t="s">
        <v>710</v>
      </c>
      <c r="B1" s="8"/>
      <c r="C1" s="23"/>
      <c r="D1" s="11"/>
      <c r="E1" s="11"/>
      <c r="F1" s="11"/>
      <c r="G1" s="11"/>
      <c r="H1" s="11"/>
      <c r="I1" s="11"/>
      <c r="J1" s="11"/>
      <c r="K1" s="11"/>
      <c r="L1" s="13">
        <f>(AU1-1)/(AU1+1)</f>
        <v>0.8</v>
      </c>
      <c r="M1" s="13"/>
      <c r="N1" s="13"/>
      <c r="O1" s="13"/>
      <c r="P1" s="13"/>
      <c r="Q1" s="13"/>
      <c r="R1" s="13"/>
      <c r="S1" s="11"/>
      <c r="T1" s="11"/>
      <c r="U1" s="11"/>
      <c r="V1" s="11"/>
      <c r="W1" s="11"/>
      <c r="X1" s="11"/>
      <c r="Y1" s="11"/>
      <c r="Z1" s="11"/>
      <c r="AA1" s="11"/>
      <c r="AB1" s="29"/>
      <c r="AC1" s="11"/>
      <c r="AD1" s="38" t="s">
        <v>511</v>
      </c>
      <c r="AE1" s="38"/>
      <c r="AF1" s="38"/>
      <c r="AG1" s="38"/>
      <c r="AH1" s="38"/>
      <c r="AI1" s="38"/>
      <c r="AJ1" s="38"/>
      <c r="AK1" s="15"/>
      <c r="AL1" s="38" t="s">
        <v>665</v>
      </c>
      <c r="AM1" s="38"/>
      <c r="AN1" s="38"/>
      <c r="AO1" s="38"/>
      <c r="AP1" s="38"/>
      <c r="AQ1" s="38"/>
      <c r="AR1" s="38"/>
      <c r="AS1" s="15"/>
      <c r="AT1" s="15" t="s">
        <v>703</v>
      </c>
      <c r="AU1" s="8">
        <v>9</v>
      </c>
      <c r="AV1" s="8" t="s">
        <v>704</v>
      </c>
      <c r="AW1" s="8" t="s">
        <v>708</v>
      </c>
    </row>
    <row r="2" spans="1:49" x14ac:dyDescent="0.2">
      <c r="A2" s="20" t="s">
        <v>711</v>
      </c>
      <c r="B2" s="20"/>
      <c r="C2" s="24"/>
      <c r="D2" s="14" t="s">
        <v>0</v>
      </c>
      <c r="E2" s="14" t="s">
        <v>0</v>
      </c>
      <c r="F2" s="14" t="s">
        <v>0</v>
      </c>
      <c r="G2" s="14" t="s">
        <v>0</v>
      </c>
      <c r="H2" s="14" t="s">
        <v>0</v>
      </c>
      <c r="I2" s="14" t="s">
        <v>0</v>
      </c>
      <c r="J2" s="14" t="s">
        <v>0</v>
      </c>
      <c r="K2" s="14"/>
      <c r="L2" s="14" t="s">
        <v>1</v>
      </c>
      <c r="M2" s="14" t="s">
        <v>1</v>
      </c>
      <c r="N2" s="14" t="s">
        <v>1</v>
      </c>
      <c r="O2" s="14" t="s">
        <v>1</v>
      </c>
      <c r="P2" s="14" t="s">
        <v>1</v>
      </c>
      <c r="Q2" s="14" t="s">
        <v>1</v>
      </c>
      <c r="R2" s="14" t="s">
        <v>1</v>
      </c>
      <c r="S2" s="14"/>
      <c r="T2" s="14" t="s">
        <v>716</v>
      </c>
      <c r="U2" s="14" t="s">
        <v>679</v>
      </c>
      <c r="V2" s="14" t="s">
        <v>679</v>
      </c>
      <c r="W2" s="14" t="s">
        <v>679</v>
      </c>
      <c r="X2" s="14" t="s">
        <v>688</v>
      </c>
      <c r="Y2" s="35" t="s">
        <v>702</v>
      </c>
      <c r="Z2" s="35"/>
      <c r="AA2" s="27"/>
      <c r="AB2" s="35" t="s">
        <v>506</v>
      </c>
      <c r="AC2" s="35"/>
      <c r="AD2" s="15">
        <v>1</v>
      </c>
      <c r="AE2" s="15">
        <v>2</v>
      </c>
      <c r="AF2" s="15">
        <v>3</v>
      </c>
      <c r="AG2" s="15">
        <v>4</v>
      </c>
      <c r="AH2" s="15">
        <v>5</v>
      </c>
      <c r="AI2" s="15">
        <v>6</v>
      </c>
      <c r="AJ2" s="15">
        <v>7</v>
      </c>
      <c r="AK2" s="15"/>
      <c r="AL2" s="15">
        <v>8</v>
      </c>
      <c r="AM2" s="15">
        <v>9</v>
      </c>
      <c r="AN2" s="15">
        <v>1</v>
      </c>
      <c r="AO2" s="15">
        <v>1</v>
      </c>
      <c r="AP2" s="15">
        <v>1</v>
      </c>
      <c r="AQ2" s="15">
        <v>1</v>
      </c>
      <c r="AR2" s="15">
        <v>1</v>
      </c>
      <c r="AS2" s="15"/>
      <c r="AT2" s="15" t="s">
        <v>509</v>
      </c>
      <c r="AU2" s="8">
        <v>6</v>
      </c>
      <c r="AV2" s="8" t="s">
        <v>704</v>
      </c>
      <c r="AW2" s="8" t="s">
        <v>705</v>
      </c>
    </row>
    <row r="3" spans="1:49" x14ac:dyDescent="0.2">
      <c r="A3" s="29" t="s">
        <v>698</v>
      </c>
      <c r="B3" s="31" t="s">
        <v>712</v>
      </c>
      <c r="C3" s="31" t="s">
        <v>713</v>
      </c>
      <c r="D3" s="29">
        <v>1</v>
      </c>
      <c r="E3" s="29">
        <v>2</v>
      </c>
      <c r="F3" s="29">
        <v>3</v>
      </c>
      <c r="G3" s="29">
        <v>4</v>
      </c>
      <c r="H3" s="29">
        <v>5</v>
      </c>
      <c r="I3" s="29">
        <v>6</v>
      </c>
      <c r="J3" s="29">
        <v>7</v>
      </c>
      <c r="K3" s="29"/>
      <c r="L3" s="29">
        <v>8</v>
      </c>
      <c r="M3" s="29">
        <v>9</v>
      </c>
      <c r="N3" s="29">
        <v>10</v>
      </c>
      <c r="O3" s="29">
        <v>11</v>
      </c>
      <c r="P3" s="29">
        <v>12</v>
      </c>
      <c r="Q3" s="29">
        <v>13</v>
      </c>
      <c r="R3" s="29">
        <v>14</v>
      </c>
      <c r="S3" s="29"/>
      <c r="T3" s="29" t="s">
        <v>716</v>
      </c>
      <c r="U3" s="29" t="s">
        <v>680</v>
      </c>
      <c r="V3" s="29" t="s">
        <v>681</v>
      </c>
      <c r="W3" s="29" t="s">
        <v>682</v>
      </c>
      <c r="X3" s="29" t="s">
        <v>689</v>
      </c>
      <c r="Y3" s="29" t="s">
        <v>0</v>
      </c>
      <c r="Z3" s="29" t="s">
        <v>1</v>
      </c>
      <c r="AA3" s="29" t="s">
        <v>720</v>
      </c>
      <c r="AB3" s="29" t="s">
        <v>714</v>
      </c>
      <c r="AC3" s="29" t="s">
        <v>715</v>
      </c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>
        <v>0</v>
      </c>
      <c r="AO3" s="15">
        <v>1</v>
      </c>
      <c r="AP3" s="15">
        <v>2</v>
      </c>
      <c r="AQ3" s="15">
        <v>3</v>
      </c>
      <c r="AR3" s="15">
        <v>4</v>
      </c>
      <c r="AS3" s="15"/>
      <c r="AT3" s="15" t="s">
        <v>510</v>
      </c>
      <c r="AU3" s="8">
        <v>3</v>
      </c>
      <c r="AV3" s="8" t="s">
        <v>704</v>
      </c>
      <c r="AW3" s="8" t="s">
        <v>709</v>
      </c>
    </row>
    <row r="4" spans="1:49" ht="27" customHeight="1" x14ac:dyDescent="0.2">
      <c r="A4" s="9" t="s">
        <v>356</v>
      </c>
      <c r="B4" s="12" t="s">
        <v>10</v>
      </c>
      <c r="C4" s="12">
        <f>COUNTIFS('Molecules_Negative-ion mode'!$G$4:$G$390,'Lipid class level'!$B4)</f>
        <v>14</v>
      </c>
      <c r="D4" s="11">
        <f>SUMIFS('Molecules_Negative-ion mode'!I$4:I$390,'Molecules_Negative-ion mode'!$G$4:$G$390,'Lipid class level'!$B4)</f>
        <v>159841</v>
      </c>
      <c r="E4" s="11">
        <f>SUMIFS('Molecules_Negative-ion mode'!J$4:J$390,'Molecules_Negative-ion mode'!$G$4:$G$390,'Lipid class level'!$B4)</f>
        <v>126795</v>
      </c>
      <c r="F4" s="11">
        <f>SUMIFS('Molecules_Negative-ion mode'!K$4:K$390,'Molecules_Negative-ion mode'!$G$4:$G$390,'Lipid class level'!$B4)</f>
        <v>118899</v>
      </c>
      <c r="G4" s="11">
        <f>SUMIFS('Molecules_Negative-ion mode'!L$4:L$390,'Molecules_Negative-ion mode'!$G$4:$G$390,'Lipid class level'!$B4)</f>
        <v>89086</v>
      </c>
      <c r="H4" s="11">
        <f>SUMIFS('Molecules_Negative-ion mode'!M$4:M$390,'Molecules_Negative-ion mode'!$G$4:$G$390,'Lipid class level'!$B4)</f>
        <v>119438</v>
      </c>
      <c r="I4" s="11">
        <f>SUMIFS('Molecules_Negative-ion mode'!N$4:N$390,'Molecules_Negative-ion mode'!$G$4:$G$390,'Lipid class level'!$B4)</f>
        <v>172844</v>
      </c>
      <c r="J4" s="11">
        <f>SUMIFS('Molecules_Negative-ion mode'!O$4:O$390,'Molecules_Negative-ion mode'!$G$4:$G$390,'Lipid class level'!$B4)</f>
        <v>148790</v>
      </c>
      <c r="K4" s="11"/>
      <c r="L4" s="11">
        <f>SUMIFS('Molecules_Negative-ion mode'!Q$4:Q$390,'Molecules_Negative-ion mode'!$G$4:$G$390,'Lipid class level'!$B4)</f>
        <v>138379</v>
      </c>
      <c r="M4" s="11">
        <f>SUMIFS('Molecules_Negative-ion mode'!R$4:R$390,'Molecules_Negative-ion mode'!$G$4:$G$390,'Lipid class level'!$B4)</f>
        <v>335001</v>
      </c>
      <c r="N4" s="11">
        <f>SUMIFS('Molecules_Negative-ion mode'!S$4:S$390,'Molecules_Negative-ion mode'!$G$4:$G$390,'Lipid class level'!$B4)</f>
        <v>181213</v>
      </c>
      <c r="O4" s="11">
        <f>SUMIFS('Molecules_Negative-ion mode'!T$4:T$390,'Molecules_Negative-ion mode'!$G$4:$G$390,'Lipid class level'!$B4)</f>
        <v>165774</v>
      </c>
      <c r="P4" s="11">
        <f>SUMIFS('Molecules_Negative-ion mode'!U$4:U$390,'Molecules_Negative-ion mode'!$G$4:$G$390,'Lipid class level'!$B4)</f>
        <v>295956</v>
      </c>
      <c r="Q4" s="11">
        <f>SUMIFS('Molecules_Negative-ion mode'!V$4:V$390,'Molecules_Negative-ion mode'!$G$4:$G$390,'Lipid class level'!$B4)</f>
        <v>157409</v>
      </c>
      <c r="R4" s="11">
        <f>SUMIFS('Molecules_Negative-ion mode'!W$4:W$390,'Molecules_Negative-ion mode'!$G$4:$G$390,'Lipid class level'!$B4)</f>
        <v>252410</v>
      </c>
      <c r="S4" s="11"/>
      <c r="T4" s="11">
        <f>SUMIFS('Molecules_Negative-ion mode'!Y$4:Y$390,'Molecules_Negative-ion mode'!$G$4:$G$390,'Lipid class level'!$B4)</f>
        <v>21625</v>
      </c>
      <c r="U4" s="11">
        <f>SUMIFS('Molecules_Negative-ion mode'!Z$4:Z$390,'Molecules_Negative-ion mode'!$G$4:$G$390,'Lipid class level'!$B4)</f>
        <v>172992</v>
      </c>
      <c r="V4" s="11">
        <f>SUMIFS('Molecules_Negative-ion mode'!AA$4:AA$390,'Molecules_Negative-ion mode'!$G$4:$G$390,'Lipid class level'!$B4)</f>
        <v>196484</v>
      </c>
      <c r="W4" s="11">
        <f>SUMIFS('Molecules_Negative-ion mode'!AB$4:AB$390,'Molecules_Negative-ion mode'!$G$4:$G$390,'Lipid class level'!$B4)</f>
        <v>208956</v>
      </c>
      <c r="X4" s="17">
        <f>IFERROR(STDEV(U4:W4)/AVERAGE(U4:W4),0)</f>
        <v>9.4710660106879188E-2</v>
      </c>
      <c r="Y4" s="11">
        <f t="shared" ref="Y4:Y45" si="0">AVERAGE(D4:J4)</f>
        <v>133670.42857142858</v>
      </c>
      <c r="Z4" s="11">
        <f t="shared" ref="Z4:Z45" si="1">AVERAGE(L4:R4)</f>
        <v>218020.28571428571</v>
      </c>
      <c r="AA4" s="28">
        <f>Z4/Y4</f>
        <v>1.6310285531686139</v>
      </c>
      <c r="AB4" s="42">
        <f t="shared" ref="AB4:AB45" si="2">TTEST(D4:J4,L4:R4,2,3)</f>
        <v>2.6752846060959075E-2</v>
      </c>
      <c r="AC4" s="14" t="str">
        <f>IF(AB4&lt;0.001,"***",IF(AB4&lt;0.01,"**",IF(AB4&lt;0.05,"*","-")))</f>
        <v>*</v>
      </c>
      <c r="AD4" s="37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9" ht="27" customHeight="1" x14ac:dyDescent="0.2">
      <c r="A5" s="9" t="s">
        <v>356</v>
      </c>
      <c r="B5" s="12" t="s">
        <v>285</v>
      </c>
      <c r="C5" s="12">
        <f>COUNTIFS('Molecules_Negative-ion mode'!$G$4:$G$390,'Lipid class level'!$B5)</f>
        <v>2</v>
      </c>
      <c r="D5" s="11">
        <f>SUMIFS('Molecules_Negative-ion mode'!I$4:I$390,'Molecules_Negative-ion mode'!$G$4:$G$390,'Lipid class level'!$B5)</f>
        <v>1859</v>
      </c>
      <c r="E5" s="11">
        <f>SUMIFS('Molecules_Negative-ion mode'!J$4:J$390,'Molecules_Negative-ion mode'!$G$4:$G$390,'Lipid class level'!$B5)</f>
        <v>4489</v>
      </c>
      <c r="F5" s="11">
        <f>SUMIFS('Molecules_Negative-ion mode'!K$4:K$390,'Molecules_Negative-ion mode'!$G$4:$G$390,'Lipid class level'!$B5)</f>
        <v>1537</v>
      </c>
      <c r="G5" s="11">
        <f>SUMIFS('Molecules_Negative-ion mode'!L$4:L$390,'Molecules_Negative-ion mode'!$G$4:$G$390,'Lipid class level'!$B5)</f>
        <v>2019</v>
      </c>
      <c r="H5" s="11">
        <f>SUMIFS('Molecules_Negative-ion mode'!M$4:M$390,'Molecules_Negative-ion mode'!$G$4:$G$390,'Lipid class level'!$B5)</f>
        <v>2925</v>
      </c>
      <c r="I5" s="11">
        <f>SUMIFS('Molecules_Negative-ion mode'!N$4:N$390,'Molecules_Negative-ion mode'!$G$4:$G$390,'Lipid class level'!$B5)</f>
        <v>9424</v>
      </c>
      <c r="J5" s="11">
        <f>SUMIFS('Molecules_Negative-ion mode'!O$4:O$390,'Molecules_Negative-ion mode'!$G$4:$G$390,'Lipid class level'!$B5)</f>
        <v>5031</v>
      </c>
      <c r="K5" s="11"/>
      <c r="L5" s="11">
        <f>SUMIFS('Molecules_Negative-ion mode'!Q$4:Q$390,'Molecules_Negative-ion mode'!$G$4:$G$390,'Lipid class level'!$B5)</f>
        <v>3242</v>
      </c>
      <c r="M5" s="11">
        <f>SUMIFS('Molecules_Negative-ion mode'!R$4:R$390,'Molecules_Negative-ion mode'!$G$4:$G$390,'Lipid class level'!$B5)</f>
        <v>10372</v>
      </c>
      <c r="N5" s="11">
        <f>SUMIFS('Molecules_Negative-ion mode'!S$4:S$390,'Molecules_Negative-ion mode'!$G$4:$G$390,'Lipid class level'!$B5)</f>
        <v>9853</v>
      </c>
      <c r="O5" s="11">
        <f>SUMIFS('Molecules_Negative-ion mode'!T$4:T$390,'Molecules_Negative-ion mode'!$G$4:$G$390,'Lipid class level'!$B5)</f>
        <v>2632</v>
      </c>
      <c r="P5" s="11">
        <f>SUMIFS('Molecules_Negative-ion mode'!U$4:U$390,'Molecules_Negative-ion mode'!$G$4:$G$390,'Lipid class level'!$B5)</f>
        <v>10383</v>
      </c>
      <c r="Q5" s="11">
        <f>SUMIFS('Molecules_Negative-ion mode'!V$4:V$390,'Molecules_Negative-ion mode'!$G$4:$G$390,'Lipid class level'!$B5)</f>
        <v>9119</v>
      </c>
      <c r="R5" s="11">
        <f>SUMIFS('Molecules_Negative-ion mode'!W$4:W$390,'Molecules_Negative-ion mode'!$G$4:$G$390,'Lipid class level'!$B5)</f>
        <v>1760</v>
      </c>
      <c r="S5" s="11"/>
      <c r="T5" s="11">
        <f>SUMIFS('Molecules_Negative-ion mode'!Y$4:Y$390,'Molecules_Negative-ion mode'!$G$4:$G$390,'Lipid class level'!$B5)</f>
        <v>1053</v>
      </c>
      <c r="U5" s="11">
        <f>SUMIFS('Molecules_Negative-ion mode'!Z$4:Z$390,'Molecules_Negative-ion mode'!$G$4:$G$390,'Lipid class level'!$B5)</f>
        <v>5797</v>
      </c>
      <c r="V5" s="11">
        <f>SUMIFS('Molecules_Negative-ion mode'!AA$4:AA$390,'Molecules_Negative-ion mode'!$G$4:$G$390,'Lipid class level'!$B5)</f>
        <v>7198</v>
      </c>
      <c r="W5" s="11">
        <f>SUMIFS('Molecules_Negative-ion mode'!AB$4:AB$390,'Molecules_Negative-ion mode'!$G$4:$G$390,'Lipid class level'!$B5)</f>
        <v>6347</v>
      </c>
      <c r="X5" s="17">
        <f t="shared" ref="X5:X45" si="3">IFERROR(STDEV(U5:W5)/AVERAGE(U5:W5),0)</f>
        <v>0.10948224006499088</v>
      </c>
      <c r="Y5" s="11">
        <f t="shared" si="0"/>
        <v>3897.7142857142858</v>
      </c>
      <c r="Z5" s="11">
        <f t="shared" si="1"/>
        <v>6765.8571428571431</v>
      </c>
      <c r="AA5" s="28">
        <f t="shared" ref="AA5:AA45" si="4">Z5/Y5</f>
        <v>1.7358525142940917</v>
      </c>
      <c r="AB5" s="42">
        <f t="shared" si="2"/>
        <v>0.14796925740422739</v>
      </c>
      <c r="AC5" s="14" t="str">
        <f t="shared" ref="AC5:AC45" si="5">IF(AB5&lt;0.001,"***",IF(AB5&lt;0.01,"**",IF(AB5&lt;0.05,"*","-")))</f>
        <v>-</v>
      </c>
      <c r="AD5" s="37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9" ht="27" customHeight="1" x14ac:dyDescent="0.2">
      <c r="A6" s="9" t="s">
        <v>356</v>
      </c>
      <c r="B6" s="12" t="s">
        <v>215</v>
      </c>
      <c r="C6" s="12">
        <f>COUNTIFS('Molecules_Negative-ion mode'!$G$4:$G$390,'Lipid class level'!$B6)</f>
        <v>21</v>
      </c>
      <c r="D6" s="11">
        <f>SUMIFS('Molecules_Negative-ion mode'!I$4:I$390,'Molecules_Negative-ion mode'!$G$4:$G$390,'Lipid class level'!$B6)</f>
        <v>61502</v>
      </c>
      <c r="E6" s="11">
        <f>SUMIFS('Molecules_Negative-ion mode'!J$4:J$390,'Molecules_Negative-ion mode'!$G$4:$G$390,'Lipid class level'!$B6)</f>
        <v>66697</v>
      </c>
      <c r="F6" s="11">
        <f>SUMIFS('Molecules_Negative-ion mode'!K$4:K$390,'Molecules_Negative-ion mode'!$G$4:$G$390,'Lipid class level'!$B6)</f>
        <v>40592</v>
      </c>
      <c r="G6" s="11">
        <f>SUMIFS('Molecules_Negative-ion mode'!L$4:L$390,'Molecules_Negative-ion mode'!$G$4:$G$390,'Lipid class level'!$B6)</f>
        <v>29016</v>
      </c>
      <c r="H6" s="11">
        <f>SUMIFS('Molecules_Negative-ion mode'!M$4:M$390,'Molecules_Negative-ion mode'!$G$4:$G$390,'Lipid class level'!$B6)</f>
        <v>108975</v>
      </c>
      <c r="I6" s="11">
        <f>SUMIFS('Molecules_Negative-ion mode'!N$4:N$390,'Molecules_Negative-ion mode'!$G$4:$G$390,'Lipid class level'!$B6)</f>
        <v>120262</v>
      </c>
      <c r="J6" s="11">
        <f>SUMIFS('Molecules_Negative-ion mode'!O$4:O$390,'Molecules_Negative-ion mode'!$G$4:$G$390,'Lipid class level'!$B6)</f>
        <v>91186</v>
      </c>
      <c r="K6" s="11"/>
      <c r="L6" s="11">
        <f>SUMIFS('Molecules_Negative-ion mode'!Q$4:Q$390,'Molecules_Negative-ion mode'!$G$4:$G$390,'Lipid class level'!$B6)</f>
        <v>23262</v>
      </c>
      <c r="M6" s="11">
        <f>SUMIFS('Molecules_Negative-ion mode'!R$4:R$390,'Molecules_Negative-ion mode'!$G$4:$G$390,'Lipid class level'!$B6)</f>
        <v>37852</v>
      </c>
      <c r="N6" s="11">
        <f>SUMIFS('Molecules_Negative-ion mode'!S$4:S$390,'Molecules_Negative-ion mode'!$G$4:$G$390,'Lipid class level'!$B6)</f>
        <v>9502</v>
      </c>
      <c r="O6" s="11">
        <f>SUMIFS('Molecules_Negative-ion mode'!T$4:T$390,'Molecules_Negative-ion mode'!$G$4:$G$390,'Lipid class level'!$B6)</f>
        <v>22380</v>
      </c>
      <c r="P6" s="11">
        <f>SUMIFS('Molecules_Negative-ion mode'!U$4:U$390,'Molecules_Negative-ion mode'!$G$4:$G$390,'Lipid class level'!$B6)</f>
        <v>40245</v>
      </c>
      <c r="Q6" s="11">
        <f>SUMIFS('Molecules_Negative-ion mode'!V$4:V$390,'Molecules_Negative-ion mode'!$G$4:$G$390,'Lipid class level'!$B6)</f>
        <v>30698</v>
      </c>
      <c r="R6" s="11">
        <f>SUMIFS('Molecules_Negative-ion mode'!W$4:W$390,'Molecules_Negative-ion mode'!$G$4:$G$390,'Lipid class level'!$B6)</f>
        <v>36089</v>
      </c>
      <c r="S6" s="11"/>
      <c r="T6" s="11">
        <f>SUMIFS('Molecules_Negative-ion mode'!Y$4:Y$390,'Molecules_Negative-ion mode'!$G$4:$G$390,'Lipid class level'!$B6)</f>
        <v>145</v>
      </c>
      <c r="U6" s="11">
        <f>SUMIFS('Molecules_Negative-ion mode'!Z$4:Z$390,'Molecules_Negative-ion mode'!$G$4:$G$390,'Lipid class level'!$B6)</f>
        <v>46983</v>
      </c>
      <c r="V6" s="11">
        <f>SUMIFS('Molecules_Negative-ion mode'!AA$4:AA$390,'Molecules_Negative-ion mode'!$G$4:$G$390,'Lipid class level'!$B6)</f>
        <v>51051</v>
      </c>
      <c r="W6" s="11">
        <f>SUMIFS('Molecules_Negative-ion mode'!AB$4:AB$390,'Molecules_Negative-ion mode'!$G$4:$G$390,'Lipid class level'!$B6)</f>
        <v>53584</v>
      </c>
      <c r="X6" s="17">
        <f t="shared" si="3"/>
        <v>6.5891509472101276E-2</v>
      </c>
      <c r="Y6" s="11">
        <f t="shared" si="0"/>
        <v>74032.857142857145</v>
      </c>
      <c r="Z6" s="11">
        <f t="shared" si="1"/>
        <v>28575.428571428572</v>
      </c>
      <c r="AA6" s="28">
        <f t="shared" si="4"/>
        <v>0.38598305771568608</v>
      </c>
      <c r="AB6" s="42">
        <f t="shared" si="2"/>
        <v>1.168828295184811E-2</v>
      </c>
      <c r="AC6" s="14" t="str">
        <f t="shared" si="5"/>
        <v>*</v>
      </c>
      <c r="AD6" s="37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9" ht="27" customHeight="1" x14ac:dyDescent="0.2">
      <c r="A7" s="10" t="s">
        <v>357</v>
      </c>
      <c r="B7" s="12" t="s">
        <v>369</v>
      </c>
      <c r="C7" s="12">
        <f>COUNTIFS('Molecules_Positive ion mode'!$G$4:$G$390,'Lipid class level'!$B7)</f>
        <v>33</v>
      </c>
      <c r="D7" s="11">
        <f>SUMIFS('Molecules_Positive ion mode'!I$4:I$390,'Molecules_Positive ion mode'!$G$4:$G$390,'Lipid class level'!$B7)</f>
        <v>889834</v>
      </c>
      <c r="E7" s="11">
        <f>SUMIFS('Molecules_Positive ion mode'!J$4:J$390,'Molecules_Positive ion mode'!$G$4:$G$390,'Lipid class level'!$B7)</f>
        <v>657263</v>
      </c>
      <c r="F7" s="11">
        <f>SUMIFS('Molecules_Positive ion mode'!K$4:K$390,'Molecules_Positive ion mode'!$G$4:$G$390,'Lipid class level'!$B7)</f>
        <v>1166621</v>
      </c>
      <c r="G7" s="11">
        <f>SUMIFS('Molecules_Positive ion mode'!L$4:L$390,'Molecules_Positive ion mode'!$G$4:$G$390,'Lipid class level'!$B7)</f>
        <v>886934</v>
      </c>
      <c r="H7" s="11">
        <f>SUMIFS('Molecules_Positive ion mode'!M$4:M$390,'Molecules_Positive ion mode'!$G$4:$G$390,'Lipid class level'!$B7)</f>
        <v>785896</v>
      </c>
      <c r="I7" s="11">
        <f>SUMIFS('Molecules_Positive ion mode'!N$4:N$390,'Molecules_Positive ion mode'!$G$4:$G$390,'Lipid class level'!$B7)</f>
        <v>964660</v>
      </c>
      <c r="J7" s="11">
        <f>SUMIFS('Molecules_Positive ion mode'!O$4:O$390,'Molecules_Positive ion mode'!$G$4:$G$390,'Lipid class level'!$B7)</f>
        <v>490435</v>
      </c>
      <c r="K7" s="11"/>
      <c r="L7" s="11">
        <f>SUMIFS('Molecules_Positive ion mode'!Q$4:Q$390,'Molecules_Positive ion mode'!$G$4:$G$390,'Lipid class level'!$B7)</f>
        <v>47149</v>
      </c>
      <c r="M7" s="11">
        <f>SUMIFS('Molecules_Positive ion mode'!R$4:R$390,'Molecules_Positive ion mode'!$G$4:$G$390,'Lipid class level'!$B7)</f>
        <v>156533</v>
      </c>
      <c r="N7" s="11">
        <f>SUMIFS('Molecules_Positive ion mode'!S$4:S$390,'Molecules_Positive ion mode'!$G$4:$G$390,'Lipid class level'!$B7)</f>
        <v>69039</v>
      </c>
      <c r="O7" s="11">
        <f>SUMIFS('Molecules_Positive ion mode'!T$4:T$390,'Molecules_Positive ion mode'!$G$4:$G$390,'Lipid class level'!$B7)</f>
        <v>82022</v>
      </c>
      <c r="P7" s="11">
        <f>SUMIFS('Molecules_Positive ion mode'!U$4:U$390,'Molecules_Positive ion mode'!$G$4:$G$390,'Lipid class level'!$B7)</f>
        <v>143364</v>
      </c>
      <c r="Q7" s="11">
        <f>SUMIFS('Molecules_Positive ion mode'!V$4:V$390,'Molecules_Positive ion mode'!$G$4:$G$390,'Lipid class level'!$B7)</f>
        <v>172934</v>
      </c>
      <c r="R7" s="11">
        <f>SUMIFS('Molecules_Positive ion mode'!W$4:W$390,'Molecules_Positive ion mode'!$G$4:$G$390,'Lipid class level'!$B7)</f>
        <v>122179</v>
      </c>
      <c r="S7" s="11"/>
      <c r="T7" s="11">
        <f>SUMIFS('Molecules_Positive ion mode'!Y$4:Y$390,'Molecules_Positive ion mode'!$G$4:$G$390,'Lipid class level'!$B7)</f>
        <v>6482</v>
      </c>
      <c r="U7" s="11">
        <f>SUMIFS('Molecules_Positive ion mode'!Z$4:Z$390,'Molecules_Positive ion mode'!$G$4:$G$390,'Lipid class level'!$B7)</f>
        <v>460717</v>
      </c>
      <c r="V7" s="11">
        <f>SUMIFS('Molecules_Positive ion mode'!AA$4:AA$390,'Molecules_Positive ion mode'!$G$4:$G$390,'Lipid class level'!$B7)</f>
        <v>422642</v>
      </c>
      <c r="W7" s="11">
        <f>SUMIFS('Molecules_Positive ion mode'!AB$4:AB$390,'Molecules_Positive ion mode'!$G$4:$G$390,'Lipid class level'!$B7)</f>
        <v>388328</v>
      </c>
      <c r="X7" s="17">
        <f t="shared" si="3"/>
        <v>8.5423803253492026E-2</v>
      </c>
      <c r="Y7" s="11">
        <f t="shared" si="0"/>
        <v>834520.42857142852</v>
      </c>
      <c r="Z7" s="11">
        <f t="shared" si="1"/>
        <v>113317.14285714286</v>
      </c>
      <c r="AA7" s="28">
        <f t="shared" si="4"/>
        <v>0.13578714070681827</v>
      </c>
      <c r="AB7" s="42">
        <f t="shared" si="2"/>
        <v>8.4926837162918327E-5</v>
      </c>
      <c r="AC7" s="14" t="str">
        <f t="shared" si="5"/>
        <v>***</v>
      </c>
      <c r="AD7" s="37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</row>
    <row r="8" spans="1:49" ht="27" customHeight="1" x14ac:dyDescent="0.2">
      <c r="A8" s="10" t="s">
        <v>357</v>
      </c>
      <c r="B8" s="12" t="s">
        <v>384</v>
      </c>
      <c r="C8" s="12">
        <f>COUNTIFS('Molecules_Positive ion mode'!$G$4:$G$390,'Lipid class level'!$B8)</f>
        <v>15</v>
      </c>
      <c r="D8" s="11">
        <f>SUMIFS('Molecules_Positive ion mode'!I$4:I$390,'Molecules_Positive ion mode'!$G$4:$G$390,'Lipid class level'!$B8)</f>
        <v>87566</v>
      </c>
      <c r="E8" s="11">
        <f>SUMIFS('Molecules_Positive ion mode'!J$4:J$390,'Molecules_Positive ion mode'!$G$4:$G$390,'Lipid class level'!$B8)</f>
        <v>69137</v>
      </c>
      <c r="F8" s="11">
        <f>SUMIFS('Molecules_Positive ion mode'!K$4:K$390,'Molecules_Positive ion mode'!$G$4:$G$390,'Lipid class level'!$B8)</f>
        <v>129720</v>
      </c>
      <c r="G8" s="11">
        <f>SUMIFS('Molecules_Positive ion mode'!L$4:L$390,'Molecules_Positive ion mode'!$G$4:$G$390,'Lipid class level'!$B8)</f>
        <v>92743</v>
      </c>
      <c r="H8" s="11">
        <f>SUMIFS('Molecules_Positive ion mode'!M$4:M$390,'Molecules_Positive ion mode'!$G$4:$G$390,'Lipid class level'!$B8)</f>
        <v>59991</v>
      </c>
      <c r="I8" s="11">
        <f>SUMIFS('Molecules_Positive ion mode'!N$4:N$390,'Molecules_Positive ion mode'!$G$4:$G$390,'Lipid class level'!$B8)</f>
        <v>69715</v>
      </c>
      <c r="J8" s="11">
        <f>SUMIFS('Molecules_Positive ion mode'!O$4:O$390,'Molecules_Positive ion mode'!$G$4:$G$390,'Lipid class level'!$B8)</f>
        <v>47613</v>
      </c>
      <c r="K8" s="11"/>
      <c r="L8" s="11">
        <f>SUMIFS('Molecules_Positive ion mode'!Q$4:Q$390,'Molecules_Positive ion mode'!$G$4:$G$390,'Lipid class level'!$B8)</f>
        <v>5749</v>
      </c>
      <c r="M8" s="11">
        <f>SUMIFS('Molecules_Positive ion mode'!R$4:R$390,'Molecules_Positive ion mode'!$G$4:$G$390,'Lipid class level'!$B8)</f>
        <v>30987</v>
      </c>
      <c r="N8" s="11">
        <f>SUMIFS('Molecules_Positive ion mode'!S$4:S$390,'Molecules_Positive ion mode'!$G$4:$G$390,'Lipid class level'!$B8)</f>
        <v>11226</v>
      </c>
      <c r="O8" s="11">
        <f>SUMIFS('Molecules_Positive ion mode'!T$4:T$390,'Molecules_Positive ion mode'!$G$4:$G$390,'Lipid class level'!$B8)</f>
        <v>7258</v>
      </c>
      <c r="P8" s="11">
        <f>SUMIFS('Molecules_Positive ion mode'!U$4:U$390,'Molecules_Positive ion mode'!$G$4:$G$390,'Lipid class level'!$B8)</f>
        <v>19959</v>
      </c>
      <c r="Q8" s="11">
        <f>SUMIFS('Molecules_Positive ion mode'!V$4:V$390,'Molecules_Positive ion mode'!$G$4:$G$390,'Lipid class level'!$B8)</f>
        <v>18259</v>
      </c>
      <c r="R8" s="11">
        <f>SUMIFS('Molecules_Positive ion mode'!W$4:W$390,'Molecules_Positive ion mode'!$G$4:$G$390,'Lipid class level'!$B8)</f>
        <v>12820</v>
      </c>
      <c r="S8" s="11"/>
      <c r="T8" s="11">
        <f>SUMIFS('Molecules_Positive ion mode'!Y$4:Y$390,'Molecules_Positive ion mode'!$G$4:$G$390,'Lipid class level'!$B8)</f>
        <v>776</v>
      </c>
      <c r="U8" s="11">
        <f>SUMIFS('Molecules_Positive ion mode'!Z$4:Z$390,'Molecules_Positive ion mode'!$G$4:$G$390,'Lipid class level'!$B8)</f>
        <v>49161</v>
      </c>
      <c r="V8" s="11">
        <f>SUMIFS('Molecules_Positive ion mode'!AA$4:AA$390,'Molecules_Positive ion mode'!$G$4:$G$390,'Lipid class level'!$B8)</f>
        <v>49078</v>
      </c>
      <c r="W8" s="11">
        <f>SUMIFS('Molecules_Positive ion mode'!AB$4:AB$390,'Molecules_Positive ion mode'!$G$4:$G$390,'Lipid class level'!$B8)</f>
        <v>47600</v>
      </c>
      <c r="X8" s="17">
        <f t="shared" si="3"/>
        <v>1.8066458899000916E-2</v>
      </c>
      <c r="Y8" s="11">
        <f t="shared" si="0"/>
        <v>79497.857142857145</v>
      </c>
      <c r="Z8" s="11">
        <f t="shared" si="1"/>
        <v>15179.714285714286</v>
      </c>
      <c r="AA8" s="28">
        <f t="shared" si="4"/>
        <v>0.19094494910015544</v>
      </c>
      <c r="AB8" s="42">
        <f t="shared" si="2"/>
        <v>4.746002706866287E-4</v>
      </c>
      <c r="AC8" s="14" t="str">
        <f t="shared" si="5"/>
        <v>***</v>
      </c>
      <c r="AD8" s="37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</row>
    <row r="9" spans="1:49" ht="27" customHeight="1" x14ac:dyDescent="0.2">
      <c r="A9" s="9" t="s">
        <v>356</v>
      </c>
      <c r="B9" s="12" t="s">
        <v>274</v>
      </c>
      <c r="C9" s="12">
        <f>COUNTIFS('Molecules_Negative-ion mode'!$G$4:$G$390,'Lipid class level'!$B9)</f>
        <v>5</v>
      </c>
      <c r="D9" s="11">
        <f>SUMIFS('Molecules_Negative-ion mode'!I$4:I$390,'Molecules_Negative-ion mode'!$G$4:$G$390,'Lipid class level'!$B9)</f>
        <v>10291</v>
      </c>
      <c r="E9" s="11">
        <f>SUMIFS('Molecules_Negative-ion mode'!J$4:J$390,'Molecules_Negative-ion mode'!$G$4:$G$390,'Lipid class level'!$B9)</f>
        <v>7920</v>
      </c>
      <c r="F9" s="11">
        <f>SUMIFS('Molecules_Negative-ion mode'!K$4:K$390,'Molecules_Negative-ion mode'!$G$4:$G$390,'Lipid class level'!$B9)</f>
        <v>9574</v>
      </c>
      <c r="G9" s="11">
        <f>SUMIFS('Molecules_Negative-ion mode'!L$4:L$390,'Molecules_Negative-ion mode'!$G$4:$G$390,'Lipid class level'!$B9)</f>
        <v>7750</v>
      </c>
      <c r="H9" s="11">
        <f>SUMIFS('Molecules_Negative-ion mode'!M$4:M$390,'Molecules_Negative-ion mode'!$G$4:$G$390,'Lipid class level'!$B9)</f>
        <v>10163</v>
      </c>
      <c r="I9" s="11">
        <f>SUMIFS('Molecules_Negative-ion mode'!N$4:N$390,'Molecules_Negative-ion mode'!$G$4:$G$390,'Lipid class level'!$B9)</f>
        <v>12426</v>
      </c>
      <c r="J9" s="11">
        <f>SUMIFS('Molecules_Negative-ion mode'!O$4:O$390,'Molecules_Negative-ion mode'!$G$4:$G$390,'Lipid class level'!$B9)</f>
        <v>7789</v>
      </c>
      <c r="K9" s="11"/>
      <c r="L9" s="11">
        <f>SUMIFS('Molecules_Negative-ion mode'!Q$4:Q$390,'Molecules_Negative-ion mode'!$G$4:$G$390,'Lipid class level'!$B9)</f>
        <v>6543</v>
      </c>
      <c r="M9" s="11">
        <f>SUMIFS('Molecules_Negative-ion mode'!R$4:R$390,'Molecules_Negative-ion mode'!$G$4:$G$390,'Lipid class level'!$B9)</f>
        <v>7795</v>
      </c>
      <c r="N9" s="11">
        <f>SUMIFS('Molecules_Negative-ion mode'!S$4:S$390,'Molecules_Negative-ion mode'!$G$4:$G$390,'Lipid class level'!$B9)</f>
        <v>4521</v>
      </c>
      <c r="O9" s="11">
        <f>SUMIFS('Molecules_Negative-ion mode'!T$4:T$390,'Molecules_Negative-ion mode'!$G$4:$G$390,'Lipid class level'!$B9)</f>
        <v>7596</v>
      </c>
      <c r="P9" s="11">
        <f>SUMIFS('Molecules_Negative-ion mode'!U$4:U$390,'Molecules_Negative-ion mode'!$G$4:$G$390,'Lipid class level'!$B9)</f>
        <v>10276</v>
      </c>
      <c r="Q9" s="11">
        <f>SUMIFS('Molecules_Negative-ion mode'!V$4:V$390,'Molecules_Negative-ion mode'!$G$4:$G$390,'Lipid class level'!$B9)</f>
        <v>7893</v>
      </c>
      <c r="R9" s="11">
        <f>SUMIFS('Molecules_Negative-ion mode'!W$4:W$390,'Molecules_Negative-ion mode'!$G$4:$G$390,'Lipid class level'!$B9)</f>
        <v>7492</v>
      </c>
      <c r="S9" s="11"/>
      <c r="T9" s="11">
        <f>SUMIFS('Molecules_Negative-ion mode'!Y$4:Y$390,'Molecules_Negative-ion mode'!$G$4:$G$390,'Lipid class level'!$B9)</f>
        <v>61</v>
      </c>
      <c r="U9" s="11">
        <f>SUMIFS('Molecules_Negative-ion mode'!Z$4:Z$390,'Molecules_Negative-ion mode'!$G$4:$G$390,'Lipid class level'!$B9)</f>
        <v>7781</v>
      </c>
      <c r="V9" s="11">
        <f>SUMIFS('Molecules_Negative-ion mode'!AA$4:AA$390,'Molecules_Negative-ion mode'!$G$4:$G$390,'Lipid class level'!$B9)</f>
        <v>9903</v>
      </c>
      <c r="W9" s="11">
        <f>SUMIFS('Molecules_Negative-ion mode'!AB$4:AB$390,'Molecules_Negative-ion mode'!$G$4:$G$390,'Lipid class level'!$B9)</f>
        <v>9735</v>
      </c>
      <c r="X9" s="17">
        <f t="shared" si="3"/>
        <v>0.12906755242443652</v>
      </c>
      <c r="Y9" s="11">
        <f t="shared" si="0"/>
        <v>9416.1428571428569</v>
      </c>
      <c r="Z9" s="11">
        <f t="shared" si="1"/>
        <v>7445.1428571428569</v>
      </c>
      <c r="AA9" s="28">
        <f t="shared" si="4"/>
        <v>0.79067862181967141</v>
      </c>
      <c r="AB9" s="42">
        <f t="shared" si="2"/>
        <v>5.4073529764627648E-2</v>
      </c>
      <c r="AC9" s="14" t="str">
        <f t="shared" si="5"/>
        <v>-</v>
      </c>
      <c r="AD9" s="37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</row>
    <row r="10" spans="1:49" ht="27" customHeight="1" x14ac:dyDescent="0.2">
      <c r="A10" s="10" t="s">
        <v>357</v>
      </c>
      <c r="B10" s="12" t="s">
        <v>404</v>
      </c>
      <c r="C10" s="12">
        <f>COUNTIFS('Molecules_Positive ion mode'!$G$4:$G$390,'Lipid class level'!$B10)</f>
        <v>35</v>
      </c>
      <c r="D10" s="11">
        <f>SUMIFS('Molecules_Positive ion mode'!I$4:I$390,'Molecules_Positive ion mode'!$G$4:$G$390,'Lipid class level'!$B10)</f>
        <v>72144</v>
      </c>
      <c r="E10" s="11">
        <f>SUMIFS('Molecules_Positive ion mode'!J$4:J$390,'Molecules_Positive ion mode'!$G$4:$G$390,'Lipid class level'!$B10)</f>
        <v>66036</v>
      </c>
      <c r="F10" s="11">
        <f>SUMIFS('Molecules_Positive ion mode'!K$4:K$390,'Molecules_Positive ion mode'!$G$4:$G$390,'Lipid class level'!$B10)</f>
        <v>110460</v>
      </c>
      <c r="G10" s="11">
        <f>SUMIFS('Molecules_Positive ion mode'!L$4:L$390,'Molecules_Positive ion mode'!$G$4:$G$390,'Lipid class level'!$B10)</f>
        <v>54860</v>
      </c>
      <c r="H10" s="11">
        <f>SUMIFS('Molecules_Positive ion mode'!M$4:M$390,'Molecules_Positive ion mode'!$G$4:$G$390,'Lipid class level'!$B10)</f>
        <v>53148</v>
      </c>
      <c r="I10" s="11">
        <f>SUMIFS('Molecules_Positive ion mode'!N$4:N$390,'Molecules_Positive ion mode'!$G$4:$G$390,'Lipid class level'!$B10)</f>
        <v>94463</v>
      </c>
      <c r="J10" s="11">
        <f>SUMIFS('Molecules_Positive ion mode'!O$4:O$390,'Molecules_Positive ion mode'!$G$4:$G$390,'Lipid class level'!$B10)</f>
        <v>92495</v>
      </c>
      <c r="K10" s="11"/>
      <c r="L10" s="11">
        <f>SUMIFS('Molecules_Positive ion mode'!Q$4:Q$390,'Molecules_Positive ion mode'!$G$4:$G$390,'Lipid class level'!$B10)</f>
        <v>36307</v>
      </c>
      <c r="M10" s="11">
        <f>SUMIFS('Molecules_Positive ion mode'!R$4:R$390,'Molecules_Positive ion mode'!$G$4:$G$390,'Lipid class level'!$B10)</f>
        <v>112063</v>
      </c>
      <c r="N10" s="11">
        <f>SUMIFS('Molecules_Positive ion mode'!S$4:S$390,'Molecules_Positive ion mode'!$G$4:$G$390,'Lipid class level'!$B10)</f>
        <v>54049</v>
      </c>
      <c r="O10" s="11">
        <f>SUMIFS('Molecules_Positive ion mode'!T$4:T$390,'Molecules_Positive ion mode'!$G$4:$G$390,'Lipid class level'!$B10)</f>
        <v>58532</v>
      </c>
      <c r="P10" s="11">
        <f>SUMIFS('Molecules_Positive ion mode'!U$4:U$390,'Molecules_Positive ion mode'!$G$4:$G$390,'Lipid class level'!$B10)</f>
        <v>78907</v>
      </c>
      <c r="Q10" s="11">
        <f>SUMIFS('Molecules_Positive ion mode'!V$4:V$390,'Molecules_Positive ion mode'!$G$4:$G$390,'Lipid class level'!$B10)</f>
        <v>50012</v>
      </c>
      <c r="R10" s="11">
        <f>SUMIFS('Molecules_Positive ion mode'!W$4:W$390,'Molecules_Positive ion mode'!$G$4:$G$390,'Lipid class level'!$B10)</f>
        <v>90169</v>
      </c>
      <c r="S10" s="11"/>
      <c r="T10" s="11">
        <f>SUMIFS('Molecules_Positive ion mode'!Y$4:Y$390,'Molecules_Positive ion mode'!$G$4:$G$390,'Lipid class level'!$B10)</f>
        <v>3075</v>
      </c>
      <c r="U10" s="11">
        <f>SUMIFS('Molecules_Positive ion mode'!Z$4:Z$390,'Molecules_Positive ion mode'!$G$4:$G$390,'Lipid class level'!$B10)</f>
        <v>68887</v>
      </c>
      <c r="V10" s="11">
        <f>SUMIFS('Molecules_Positive ion mode'!AA$4:AA$390,'Molecules_Positive ion mode'!$G$4:$G$390,'Lipid class level'!$B10)</f>
        <v>67924</v>
      </c>
      <c r="W10" s="11">
        <f>SUMIFS('Molecules_Positive ion mode'!AB$4:AB$390,'Molecules_Positive ion mode'!$G$4:$G$390,'Lipid class level'!$B10)</f>
        <v>54663</v>
      </c>
      <c r="X10" s="17">
        <f t="shared" si="3"/>
        <v>0.12454170630900005</v>
      </c>
      <c r="Y10" s="11">
        <f t="shared" si="0"/>
        <v>77658</v>
      </c>
      <c r="Z10" s="11">
        <f t="shared" si="1"/>
        <v>68577</v>
      </c>
      <c r="AA10" s="28">
        <f t="shared" si="4"/>
        <v>0.88306420458935331</v>
      </c>
      <c r="AB10" s="42">
        <f t="shared" si="2"/>
        <v>0.49646566556589311</v>
      </c>
      <c r="AC10" s="14" t="str">
        <f t="shared" si="5"/>
        <v>-</v>
      </c>
      <c r="AD10" s="37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</row>
    <row r="11" spans="1:49" ht="27" customHeight="1" x14ac:dyDescent="0.2">
      <c r="A11" s="10" t="s">
        <v>357</v>
      </c>
      <c r="B11" s="12" t="s">
        <v>359</v>
      </c>
      <c r="C11" s="12">
        <f>COUNTIFS('Molecules_Positive ion mode'!$G$4:$G$390,'Lipid class level'!$B11)</f>
        <v>78</v>
      </c>
      <c r="D11" s="11">
        <f>SUMIFS('Molecules_Positive ion mode'!I$4:I$390,'Molecules_Positive ion mode'!$G$4:$G$390,'Lipid class level'!$B11)</f>
        <v>1469712</v>
      </c>
      <c r="E11" s="11">
        <f>SUMIFS('Molecules_Positive ion mode'!J$4:J$390,'Molecules_Positive ion mode'!$G$4:$G$390,'Lipid class level'!$B11)</f>
        <v>816615</v>
      </c>
      <c r="F11" s="11">
        <f>SUMIFS('Molecules_Positive ion mode'!K$4:K$390,'Molecules_Positive ion mode'!$G$4:$G$390,'Lipid class level'!$B11)</f>
        <v>1390446</v>
      </c>
      <c r="G11" s="11">
        <f>SUMIFS('Molecules_Positive ion mode'!L$4:L$390,'Molecules_Positive ion mode'!$G$4:$G$390,'Lipid class level'!$B11)</f>
        <v>1270931</v>
      </c>
      <c r="H11" s="11">
        <f>SUMIFS('Molecules_Positive ion mode'!M$4:M$390,'Molecules_Positive ion mode'!$G$4:$G$390,'Lipid class level'!$B11)</f>
        <v>896926</v>
      </c>
      <c r="I11" s="11">
        <f>SUMIFS('Molecules_Positive ion mode'!N$4:N$390,'Molecules_Positive ion mode'!$G$4:$G$390,'Lipid class level'!$B11)</f>
        <v>1793889</v>
      </c>
      <c r="J11" s="11">
        <f>SUMIFS('Molecules_Positive ion mode'!O$4:O$390,'Molecules_Positive ion mode'!$G$4:$G$390,'Lipid class level'!$B11)</f>
        <v>1779445</v>
      </c>
      <c r="K11" s="11"/>
      <c r="L11" s="11">
        <f>SUMIFS('Molecules_Positive ion mode'!Q$4:Q$390,'Molecules_Positive ion mode'!$G$4:$G$390,'Lipid class level'!$B11)</f>
        <v>204614</v>
      </c>
      <c r="M11" s="11">
        <f>SUMIFS('Molecules_Positive ion mode'!R$4:R$390,'Molecules_Positive ion mode'!$G$4:$G$390,'Lipid class level'!$B11)</f>
        <v>492010</v>
      </c>
      <c r="N11" s="11">
        <f>SUMIFS('Molecules_Positive ion mode'!S$4:S$390,'Molecules_Positive ion mode'!$G$4:$G$390,'Lipid class level'!$B11)</f>
        <v>161106</v>
      </c>
      <c r="O11" s="11">
        <f>SUMIFS('Molecules_Positive ion mode'!T$4:T$390,'Molecules_Positive ion mode'!$G$4:$G$390,'Lipid class level'!$B11)</f>
        <v>259368</v>
      </c>
      <c r="P11" s="11">
        <f>SUMIFS('Molecules_Positive ion mode'!U$4:U$390,'Molecules_Positive ion mode'!$G$4:$G$390,'Lipid class level'!$B11)</f>
        <v>374094</v>
      </c>
      <c r="Q11" s="11">
        <f>SUMIFS('Molecules_Positive ion mode'!V$4:V$390,'Molecules_Positive ion mode'!$G$4:$G$390,'Lipid class level'!$B11)</f>
        <v>281581</v>
      </c>
      <c r="R11" s="11">
        <f>SUMIFS('Molecules_Positive ion mode'!W$4:W$390,'Molecules_Positive ion mode'!$G$4:$G$390,'Lipid class level'!$B11)</f>
        <v>397824</v>
      </c>
      <c r="S11" s="11"/>
      <c r="T11" s="11">
        <f>SUMIFS('Molecules_Positive ion mode'!Y$4:Y$390,'Molecules_Positive ion mode'!$G$4:$G$390,'Lipid class level'!$B11)</f>
        <v>5459</v>
      </c>
      <c r="U11" s="11">
        <f>SUMIFS('Molecules_Positive ion mode'!Z$4:Z$390,'Molecules_Positive ion mode'!$G$4:$G$390,'Lipid class level'!$B11)</f>
        <v>746543</v>
      </c>
      <c r="V11" s="11">
        <f>SUMIFS('Molecules_Positive ion mode'!AA$4:AA$390,'Molecules_Positive ion mode'!$G$4:$G$390,'Lipid class level'!$B11)</f>
        <v>766151</v>
      </c>
      <c r="W11" s="11">
        <f>SUMIFS('Molecules_Positive ion mode'!AB$4:AB$390,'Molecules_Positive ion mode'!$G$4:$G$390,'Lipid class level'!$B11)</f>
        <v>609082</v>
      </c>
      <c r="X11" s="17">
        <f t="shared" si="3"/>
        <v>0.12101211502819706</v>
      </c>
      <c r="Y11" s="11">
        <f t="shared" si="0"/>
        <v>1345423.4285714286</v>
      </c>
      <c r="Z11" s="11">
        <f t="shared" si="1"/>
        <v>310085.28571428574</v>
      </c>
      <c r="AA11" s="28">
        <f t="shared" si="4"/>
        <v>0.23047412370656759</v>
      </c>
      <c r="AB11" s="42">
        <f t="shared" si="2"/>
        <v>2.4057208871848201E-4</v>
      </c>
      <c r="AC11" s="14" t="str">
        <f t="shared" si="5"/>
        <v>***</v>
      </c>
      <c r="AD11" s="37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</row>
    <row r="12" spans="1:49" ht="27" customHeight="1" x14ac:dyDescent="0.2">
      <c r="A12" s="10" t="s">
        <v>357</v>
      </c>
      <c r="B12" s="12" t="s">
        <v>465</v>
      </c>
      <c r="C12" s="12">
        <f>COUNTIFS('Molecules_Positive ion mode'!$G$4:$G$390,'Lipid class level'!$B12)</f>
        <v>13</v>
      </c>
      <c r="D12" s="11">
        <f>SUMIFS('Molecules_Positive ion mode'!I$4:I$390,'Molecules_Positive ion mode'!$G$4:$G$390,'Lipid class level'!$B12)</f>
        <v>13856</v>
      </c>
      <c r="E12" s="11">
        <f>SUMIFS('Molecules_Positive ion mode'!J$4:J$390,'Molecules_Positive ion mode'!$G$4:$G$390,'Lipid class level'!$B12)</f>
        <v>10307</v>
      </c>
      <c r="F12" s="11">
        <f>SUMIFS('Molecules_Positive ion mode'!K$4:K$390,'Molecules_Positive ion mode'!$G$4:$G$390,'Lipid class level'!$B12)</f>
        <v>15685</v>
      </c>
      <c r="G12" s="11">
        <f>SUMIFS('Molecules_Positive ion mode'!L$4:L$390,'Molecules_Positive ion mode'!$G$4:$G$390,'Lipid class level'!$B12)</f>
        <v>10222</v>
      </c>
      <c r="H12" s="11">
        <f>SUMIFS('Molecules_Positive ion mode'!M$4:M$390,'Molecules_Positive ion mode'!$G$4:$G$390,'Lipid class level'!$B12)</f>
        <v>11817</v>
      </c>
      <c r="I12" s="11">
        <f>SUMIFS('Molecules_Positive ion mode'!N$4:N$390,'Molecules_Positive ion mode'!$G$4:$G$390,'Lipid class level'!$B12)</f>
        <v>15238</v>
      </c>
      <c r="J12" s="11">
        <f>SUMIFS('Molecules_Positive ion mode'!O$4:O$390,'Molecules_Positive ion mode'!$G$4:$G$390,'Lipid class level'!$B12)</f>
        <v>15093</v>
      </c>
      <c r="K12" s="11"/>
      <c r="L12" s="11">
        <f>SUMIFS('Molecules_Positive ion mode'!Q$4:Q$390,'Molecules_Positive ion mode'!$G$4:$G$390,'Lipid class level'!$B12)</f>
        <v>2117</v>
      </c>
      <c r="M12" s="11">
        <f>SUMIFS('Molecules_Positive ion mode'!R$4:R$390,'Molecules_Positive ion mode'!$G$4:$G$390,'Lipid class level'!$B12)</f>
        <v>7104</v>
      </c>
      <c r="N12" s="11">
        <f>SUMIFS('Molecules_Positive ion mode'!S$4:S$390,'Molecules_Positive ion mode'!$G$4:$G$390,'Lipid class level'!$B12)</f>
        <v>2012</v>
      </c>
      <c r="O12" s="11">
        <f>SUMIFS('Molecules_Positive ion mode'!T$4:T$390,'Molecules_Positive ion mode'!$G$4:$G$390,'Lipid class level'!$B12)</f>
        <v>3043</v>
      </c>
      <c r="P12" s="11">
        <f>SUMIFS('Molecules_Positive ion mode'!U$4:U$390,'Molecules_Positive ion mode'!$G$4:$G$390,'Lipid class level'!$B12)</f>
        <v>3158</v>
      </c>
      <c r="Q12" s="11">
        <f>SUMIFS('Molecules_Positive ion mode'!V$4:V$390,'Molecules_Positive ion mode'!$G$4:$G$390,'Lipid class level'!$B12)</f>
        <v>3876</v>
      </c>
      <c r="R12" s="11">
        <f>SUMIFS('Molecules_Positive ion mode'!W$4:W$390,'Molecules_Positive ion mode'!$G$4:$G$390,'Lipid class level'!$B12)</f>
        <v>4972</v>
      </c>
      <c r="S12" s="11"/>
      <c r="T12" s="11">
        <f>SUMIFS('Molecules_Positive ion mode'!Y$4:Y$390,'Molecules_Positive ion mode'!$G$4:$G$390,'Lipid class level'!$B12)</f>
        <v>113</v>
      </c>
      <c r="U12" s="11">
        <f>SUMIFS('Molecules_Positive ion mode'!Z$4:Z$390,'Molecules_Positive ion mode'!$G$4:$G$390,'Lipid class level'!$B12)</f>
        <v>7359</v>
      </c>
      <c r="V12" s="11">
        <f>SUMIFS('Molecules_Positive ion mode'!AA$4:AA$390,'Molecules_Positive ion mode'!$G$4:$G$390,'Lipid class level'!$B12)</f>
        <v>7830</v>
      </c>
      <c r="W12" s="11">
        <f>SUMIFS('Molecules_Positive ion mode'!AB$4:AB$390,'Molecules_Positive ion mode'!$G$4:$G$390,'Lipid class level'!$B12)</f>
        <v>6547</v>
      </c>
      <c r="X12" s="17">
        <f t="shared" si="3"/>
        <v>8.9576103881516295E-2</v>
      </c>
      <c r="Y12" s="11">
        <f t="shared" si="0"/>
        <v>13174</v>
      </c>
      <c r="Z12" s="11">
        <f t="shared" si="1"/>
        <v>3754.5714285714284</v>
      </c>
      <c r="AA12" s="28">
        <f t="shared" si="4"/>
        <v>0.28499859029690516</v>
      </c>
      <c r="AB12" s="42">
        <f t="shared" si="2"/>
        <v>3.6403308035488555E-6</v>
      </c>
      <c r="AC12" s="14" t="str">
        <f t="shared" si="5"/>
        <v>***</v>
      </c>
      <c r="AD12" s="37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</row>
    <row r="13" spans="1:49" ht="27" customHeight="1" x14ac:dyDescent="0.2">
      <c r="A13" s="9" t="s">
        <v>356</v>
      </c>
      <c r="B13" s="12" t="s">
        <v>185</v>
      </c>
      <c r="C13" s="12">
        <f>COUNTIFS('Molecules_Negative-ion mode'!$G$4:$G$390,'Lipid class level'!$B13)</f>
        <v>2</v>
      </c>
      <c r="D13" s="11">
        <f>SUMIFS('Molecules_Negative-ion mode'!I$4:I$390,'Molecules_Negative-ion mode'!$G$4:$G$390,'Lipid class level'!$B13)</f>
        <v>4149</v>
      </c>
      <c r="E13" s="11">
        <f>SUMIFS('Molecules_Negative-ion mode'!J$4:J$390,'Molecules_Negative-ion mode'!$G$4:$G$390,'Lipid class level'!$B13)</f>
        <v>5100</v>
      </c>
      <c r="F13" s="11">
        <f>SUMIFS('Molecules_Negative-ion mode'!K$4:K$390,'Molecules_Negative-ion mode'!$G$4:$G$390,'Lipid class level'!$B13)</f>
        <v>4400</v>
      </c>
      <c r="G13" s="11">
        <f>SUMIFS('Molecules_Negative-ion mode'!L$4:L$390,'Molecules_Negative-ion mode'!$G$4:$G$390,'Lipid class level'!$B13)</f>
        <v>5220</v>
      </c>
      <c r="H13" s="11">
        <f>SUMIFS('Molecules_Negative-ion mode'!M$4:M$390,'Molecules_Negative-ion mode'!$G$4:$G$390,'Lipid class level'!$B13)</f>
        <v>5505</v>
      </c>
      <c r="I13" s="11">
        <f>SUMIFS('Molecules_Negative-ion mode'!N$4:N$390,'Molecules_Negative-ion mode'!$G$4:$G$390,'Lipid class level'!$B13)</f>
        <v>5287</v>
      </c>
      <c r="J13" s="11">
        <f>SUMIFS('Molecules_Negative-ion mode'!O$4:O$390,'Molecules_Negative-ion mode'!$G$4:$G$390,'Lipid class level'!$B13)</f>
        <v>5477</v>
      </c>
      <c r="K13" s="11"/>
      <c r="L13" s="11">
        <f>SUMIFS('Molecules_Negative-ion mode'!Q$4:Q$390,'Molecules_Negative-ion mode'!$G$4:$G$390,'Lipid class level'!$B13)</f>
        <v>4406</v>
      </c>
      <c r="M13" s="11">
        <f>SUMIFS('Molecules_Negative-ion mode'!R$4:R$390,'Molecules_Negative-ion mode'!$G$4:$G$390,'Lipid class level'!$B13)</f>
        <v>4830</v>
      </c>
      <c r="N13" s="11">
        <f>SUMIFS('Molecules_Negative-ion mode'!S$4:S$390,'Molecules_Negative-ion mode'!$G$4:$G$390,'Lipid class level'!$B13)</f>
        <v>5648</v>
      </c>
      <c r="O13" s="11">
        <f>SUMIFS('Molecules_Negative-ion mode'!T$4:T$390,'Molecules_Negative-ion mode'!$G$4:$G$390,'Lipid class level'!$B13)</f>
        <v>3917</v>
      </c>
      <c r="P13" s="11">
        <f>SUMIFS('Molecules_Negative-ion mode'!U$4:U$390,'Molecules_Negative-ion mode'!$G$4:$G$390,'Lipid class level'!$B13)</f>
        <v>8023</v>
      </c>
      <c r="Q13" s="11">
        <f>SUMIFS('Molecules_Negative-ion mode'!V$4:V$390,'Molecules_Negative-ion mode'!$G$4:$G$390,'Lipid class level'!$B13)</f>
        <v>6411</v>
      </c>
      <c r="R13" s="11">
        <f>SUMIFS('Molecules_Negative-ion mode'!W$4:W$390,'Molecules_Negative-ion mode'!$G$4:$G$390,'Lipid class level'!$B13)</f>
        <v>6312</v>
      </c>
      <c r="S13" s="11"/>
      <c r="T13" s="11">
        <f>SUMIFS('Molecules_Negative-ion mode'!Y$4:Y$390,'Molecules_Negative-ion mode'!$G$4:$G$390,'Lipid class level'!$B13)</f>
        <v>94</v>
      </c>
      <c r="U13" s="11">
        <f>SUMIFS('Molecules_Negative-ion mode'!Z$4:Z$390,'Molecules_Negative-ion mode'!$G$4:$G$390,'Lipid class level'!$B13)</f>
        <v>5219</v>
      </c>
      <c r="V13" s="11">
        <f>SUMIFS('Molecules_Negative-ion mode'!AA$4:AA$390,'Molecules_Negative-ion mode'!$G$4:$G$390,'Lipid class level'!$B13)</f>
        <v>5706</v>
      </c>
      <c r="W13" s="11">
        <f>SUMIFS('Molecules_Negative-ion mode'!AB$4:AB$390,'Molecules_Negative-ion mode'!$G$4:$G$390,'Lipid class level'!$B13)</f>
        <v>4848</v>
      </c>
      <c r="X13" s="17">
        <f t="shared" si="3"/>
        <v>8.1843326692501744E-2</v>
      </c>
      <c r="Y13" s="11">
        <f t="shared" si="0"/>
        <v>5019.7142857142853</v>
      </c>
      <c r="Z13" s="11">
        <f t="shared" si="1"/>
        <v>5649.5714285714284</v>
      </c>
      <c r="AA13" s="28">
        <f t="shared" si="4"/>
        <v>1.1254766919005066</v>
      </c>
      <c r="AB13" s="42">
        <f t="shared" si="2"/>
        <v>0.30138634053742219</v>
      </c>
      <c r="AC13" s="14" t="str">
        <f t="shared" si="5"/>
        <v>-</v>
      </c>
      <c r="AD13" s="37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</row>
    <row r="14" spans="1:49" ht="27" customHeight="1" x14ac:dyDescent="0.2">
      <c r="A14" s="9" t="s">
        <v>356</v>
      </c>
      <c r="B14" s="12" t="s">
        <v>37</v>
      </c>
      <c r="C14" s="12">
        <f>COUNTIFS('Molecules_Negative-ion mode'!$G$4:$G$390,'Lipid class level'!$B14)</f>
        <v>20</v>
      </c>
      <c r="D14" s="11">
        <f>SUMIFS('Molecules_Negative-ion mode'!I$4:I$390,'Molecules_Negative-ion mode'!$G$4:$G$390,'Lipid class level'!$B14)</f>
        <v>507890</v>
      </c>
      <c r="E14" s="11">
        <f>SUMIFS('Molecules_Negative-ion mode'!J$4:J$390,'Molecules_Negative-ion mode'!$G$4:$G$390,'Lipid class level'!$B14)</f>
        <v>499720</v>
      </c>
      <c r="F14" s="11">
        <f>SUMIFS('Molecules_Negative-ion mode'!K$4:K$390,'Molecules_Negative-ion mode'!$G$4:$G$390,'Lipid class level'!$B14)</f>
        <v>650322</v>
      </c>
      <c r="G14" s="11">
        <f>SUMIFS('Molecules_Negative-ion mode'!L$4:L$390,'Molecules_Negative-ion mode'!$G$4:$G$390,'Lipid class level'!$B14)</f>
        <v>468268</v>
      </c>
      <c r="H14" s="11">
        <f>SUMIFS('Molecules_Negative-ion mode'!M$4:M$390,'Molecules_Negative-ion mode'!$G$4:$G$390,'Lipid class level'!$B14)</f>
        <v>450690</v>
      </c>
      <c r="I14" s="11">
        <f>SUMIFS('Molecules_Negative-ion mode'!N$4:N$390,'Molecules_Negative-ion mode'!$G$4:$G$390,'Lipid class level'!$B14)</f>
        <v>649858</v>
      </c>
      <c r="J14" s="11">
        <f>SUMIFS('Molecules_Negative-ion mode'!O$4:O$390,'Molecules_Negative-ion mode'!$G$4:$G$390,'Lipid class level'!$B14)</f>
        <v>581825</v>
      </c>
      <c r="K14" s="11"/>
      <c r="L14" s="11">
        <f>SUMIFS('Molecules_Negative-ion mode'!Q$4:Q$390,'Molecules_Negative-ion mode'!$G$4:$G$390,'Lipid class level'!$B14)</f>
        <v>545134</v>
      </c>
      <c r="M14" s="11">
        <f>SUMIFS('Molecules_Negative-ion mode'!R$4:R$390,'Molecules_Negative-ion mode'!$G$4:$G$390,'Lipid class level'!$B14)</f>
        <v>690110</v>
      </c>
      <c r="N14" s="11">
        <f>SUMIFS('Molecules_Negative-ion mode'!S$4:S$390,'Molecules_Negative-ion mode'!$G$4:$G$390,'Lipid class level'!$B14)</f>
        <v>586690</v>
      </c>
      <c r="O14" s="11">
        <f>SUMIFS('Molecules_Negative-ion mode'!T$4:T$390,'Molecules_Negative-ion mode'!$G$4:$G$390,'Lipid class level'!$B14)</f>
        <v>610156</v>
      </c>
      <c r="P14" s="11">
        <f>SUMIFS('Molecules_Negative-ion mode'!U$4:U$390,'Molecules_Negative-ion mode'!$G$4:$G$390,'Lipid class level'!$B14)</f>
        <v>613233</v>
      </c>
      <c r="Q14" s="11">
        <f>SUMIFS('Molecules_Negative-ion mode'!V$4:V$390,'Molecules_Negative-ion mode'!$G$4:$G$390,'Lipid class level'!$B14)</f>
        <v>770299</v>
      </c>
      <c r="R14" s="11">
        <f>SUMIFS('Molecules_Negative-ion mode'!W$4:W$390,'Molecules_Negative-ion mode'!$G$4:$G$390,'Lipid class level'!$B14)</f>
        <v>714764</v>
      </c>
      <c r="S14" s="11"/>
      <c r="T14" s="11">
        <f>SUMIFS('Molecules_Negative-ion mode'!Y$4:Y$390,'Molecules_Negative-ion mode'!$G$4:$G$390,'Lipid class level'!$B14)</f>
        <v>935</v>
      </c>
      <c r="U14" s="11">
        <f>SUMIFS('Molecules_Negative-ion mode'!Z$4:Z$390,'Molecules_Negative-ion mode'!$G$4:$G$390,'Lipid class level'!$B14)</f>
        <v>519865</v>
      </c>
      <c r="V14" s="11">
        <f>SUMIFS('Molecules_Negative-ion mode'!AA$4:AA$390,'Molecules_Negative-ion mode'!$G$4:$G$390,'Lipid class level'!$B14)</f>
        <v>694159</v>
      </c>
      <c r="W14" s="11">
        <f>SUMIFS('Molecules_Negative-ion mode'!AB$4:AB$390,'Molecules_Negative-ion mode'!$G$4:$G$390,'Lipid class level'!$B14)</f>
        <v>675038</v>
      </c>
      <c r="X14" s="17">
        <f t="shared" si="3"/>
        <v>0.15180270592736564</v>
      </c>
      <c r="Y14" s="11">
        <f t="shared" si="0"/>
        <v>544081.85714285716</v>
      </c>
      <c r="Z14" s="11">
        <f t="shared" si="1"/>
        <v>647198</v>
      </c>
      <c r="AA14" s="28">
        <f t="shared" si="4"/>
        <v>1.1895232151254551</v>
      </c>
      <c r="AB14" s="42">
        <f t="shared" si="2"/>
        <v>3.5731272473862027E-2</v>
      </c>
      <c r="AC14" s="14" t="str">
        <f t="shared" si="5"/>
        <v>*</v>
      </c>
      <c r="AD14" s="37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</row>
    <row r="15" spans="1:49" ht="27" customHeight="1" x14ac:dyDescent="0.2">
      <c r="A15" s="9" t="s">
        <v>356</v>
      </c>
      <c r="B15" s="12" t="s">
        <v>86</v>
      </c>
      <c r="C15" s="12">
        <f>COUNTIFS('Molecules_Negative-ion mode'!$G$4:$G$390,'Lipid class level'!$B15)</f>
        <v>11</v>
      </c>
      <c r="D15" s="11">
        <f>SUMIFS('Molecules_Negative-ion mode'!I$4:I$390,'Molecules_Negative-ion mode'!$G$4:$G$390,'Lipid class level'!$B15)</f>
        <v>53183</v>
      </c>
      <c r="E15" s="11">
        <f>SUMIFS('Molecules_Negative-ion mode'!J$4:J$390,'Molecules_Negative-ion mode'!$G$4:$G$390,'Lipid class level'!$B15)</f>
        <v>49797</v>
      </c>
      <c r="F15" s="11">
        <f>SUMIFS('Molecules_Negative-ion mode'!K$4:K$390,'Molecules_Negative-ion mode'!$G$4:$G$390,'Lipid class level'!$B15)</f>
        <v>57084</v>
      </c>
      <c r="G15" s="11">
        <f>SUMIFS('Molecules_Negative-ion mode'!L$4:L$390,'Molecules_Negative-ion mode'!$G$4:$G$390,'Lipid class level'!$B15)</f>
        <v>57648</v>
      </c>
      <c r="H15" s="11">
        <f>SUMIFS('Molecules_Negative-ion mode'!M$4:M$390,'Molecules_Negative-ion mode'!$G$4:$G$390,'Lipid class level'!$B15)</f>
        <v>60534</v>
      </c>
      <c r="I15" s="11">
        <f>SUMIFS('Molecules_Negative-ion mode'!N$4:N$390,'Molecules_Negative-ion mode'!$G$4:$G$390,'Lipid class level'!$B15)</f>
        <v>70443</v>
      </c>
      <c r="J15" s="11">
        <f>SUMIFS('Molecules_Negative-ion mode'!O$4:O$390,'Molecules_Negative-ion mode'!$G$4:$G$390,'Lipid class level'!$B15)</f>
        <v>83845</v>
      </c>
      <c r="K15" s="11"/>
      <c r="L15" s="11">
        <f>SUMIFS('Molecules_Negative-ion mode'!Q$4:Q$390,'Molecules_Negative-ion mode'!$G$4:$G$390,'Lipid class level'!$B15)</f>
        <v>82234</v>
      </c>
      <c r="M15" s="11">
        <f>SUMIFS('Molecules_Negative-ion mode'!R$4:R$390,'Molecules_Negative-ion mode'!$G$4:$G$390,'Lipid class level'!$B15)</f>
        <v>93802</v>
      </c>
      <c r="N15" s="11">
        <f>SUMIFS('Molecules_Negative-ion mode'!S$4:S$390,'Molecules_Negative-ion mode'!$G$4:$G$390,'Lipid class level'!$B15)</f>
        <v>61359</v>
      </c>
      <c r="O15" s="11">
        <f>SUMIFS('Molecules_Negative-ion mode'!T$4:T$390,'Molecules_Negative-ion mode'!$G$4:$G$390,'Lipid class level'!$B15)</f>
        <v>71030</v>
      </c>
      <c r="P15" s="11">
        <f>SUMIFS('Molecules_Negative-ion mode'!U$4:U$390,'Molecules_Negative-ion mode'!$G$4:$G$390,'Lipid class level'!$B15)</f>
        <v>85238</v>
      </c>
      <c r="Q15" s="11">
        <f>SUMIFS('Molecules_Negative-ion mode'!V$4:V$390,'Molecules_Negative-ion mode'!$G$4:$G$390,'Lipid class level'!$B15)</f>
        <v>94348</v>
      </c>
      <c r="R15" s="11">
        <f>SUMIFS('Molecules_Negative-ion mode'!W$4:W$390,'Molecules_Negative-ion mode'!$G$4:$G$390,'Lipid class level'!$B15)</f>
        <v>102960</v>
      </c>
      <c r="S15" s="11"/>
      <c r="T15" s="11">
        <f>SUMIFS('Molecules_Negative-ion mode'!Y$4:Y$390,'Molecules_Negative-ion mode'!$G$4:$G$390,'Lipid class level'!$B15)</f>
        <v>489</v>
      </c>
      <c r="U15" s="11">
        <f>SUMIFS('Molecules_Negative-ion mode'!Z$4:Z$390,'Molecules_Negative-ion mode'!$G$4:$G$390,'Lipid class level'!$B15)</f>
        <v>71566</v>
      </c>
      <c r="V15" s="11">
        <f>SUMIFS('Molecules_Negative-ion mode'!AA$4:AA$390,'Molecules_Negative-ion mode'!$G$4:$G$390,'Lipid class level'!$B15)</f>
        <v>84037</v>
      </c>
      <c r="W15" s="11">
        <f>SUMIFS('Molecules_Negative-ion mode'!AB$4:AB$390,'Molecules_Negative-ion mode'!$G$4:$G$390,'Lipid class level'!$B15)</f>
        <v>88610</v>
      </c>
      <c r="X15" s="17">
        <f t="shared" si="3"/>
        <v>0.10836912816133736</v>
      </c>
      <c r="Y15" s="11">
        <f t="shared" si="0"/>
        <v>61790.571428571428</v>
      </c>
      <c r="Z15" s="11">
        <f t="shared" si="1"/>
        <v>84424.428571428565</v>
      </c>
      <c r="AA15" s="28">
        <f t="shared" si="4"/>
        <v>1.3662995278983847</v>
      </c>
      <c r="AB15" s="42">
        <f t="shared" si="2"/>
        <v>7.637627943800674E-3</v>
      </c>
      <c r="AC15" s="14" t="str">
        <f t="shared" si="5"/>
        <v>**</v>
      </c>
      <c r="AD15" s="37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</row>
    <row r="16" spans="1:49" ht="27" customHeight="1" x14ac:dyDescent="0.2">
      <c r="A16" s="9" t="s">
        <v>356</v>
      </c>
      <c r="B16" s="12" t="s">
        <v>179</v>
      </c>
      <c r="C16" s="12">
        <f>COUNTIFS('Molecules_Negative-ion mode'!$G$4:$G$390,'Lipid class level'!$B16)</f>
        <v>3</v>
      </c>
      <c r="D16" s="11">
        <f>SUMIFS('Molecules_Negative-ion mode'!I$4:I$390,'Molecules_Negative-ion mode'!$G$4:$G$390,'Lipid class level'!$B16)</f>
        <v>10961</v>
      </c>
      <c r="E16" s="11">
        <f>SUMIFS('Molecules_Negative-ion mode'!J$4:J$390,'Molecules_Negative-ion mode'!$G$4:$G$390,'Lipid class level'!$B16)</f>
        <v>9315</v>
      </c>
      <c r="F16" s="11">
        <f>SUMIFS('Molecules_Negative-ion mode'!K$4:K$390,'Molecules_Negative-ion mode'!$G$4:$G$390,'Lipid class level'!$B16)</f>
        <v>12108</v>
      </c>
      <c r="G16" s="11">
        <f>SUMIFS('Molecules_Negative-ion mode'!L$4:L$390,'Molecules_Negative-ion mode'!$G$4:$G$390,'Lipid class level'!$B16)</f>
        <v>8781</v>
      </c>
      <c r="H16" s="11">
        <f>SUMIFS('Molecules_Negative-ion mode'!M$4:M$390,'Molecules_Negative-ion mode'!$G$4:$G$390,'Lipid class level'!$B16)</f>
        <v>9581</v>
      </c>
      <c r="I16" s="11">
        <f>SUMIFS('Molecules_Negative-ion mode'!N$4:N$390,'Molecules_Negative-ion mode'!$G$4:$G$390,'Lipid class level'!$B16)</f>
        <v>15610</v>
      </c>
      <c r="J16" s="11">
        <f>SUMIFS('Molecules_Negative-ion mode'!O$4:O$390,'Molecules_Negative-ion mode'!$G$4:$G$390,'Lipid class level'!$B16)</f>
        <v>11132</v>
      </c>
      <c r="K16" s="11"/>
      <c r="L16" s="11">
        <f>SUMIFS('Molecules_Negative-ion mode'!Q$4:Q$390,'Molecules_Negative-ion mode'!$G$4:$G$390,'Lipid class level'!$B16)</f>
        <v>11671</v>
      </c>
      <c r="M16" s="11">
        <f>SUMIFS('Molecules_Negative-ion mode'!R$4:R$390,'Molecules_Negative-ion mode'!$G$4:$G$390,'Lipid class level'!$B16)</f>
        <v>8754</v>
      </c>
      <c r="N16" s="11">
        <f>SUMIFS('Molecules_Negative-ion mode'!S$4:S$390,'Molecules_Negative-ion mode'!$G$4:$G$390,'Lipid class level'!$B16)</f>
        <v>8617</v>
      </c>
      <c r="O16" s="11">
        <f>SUMIFS('Molecules_Negative-ion mode'!T$4:T$390,'Molecules_Negative-ion mode'!$G$4:$G$390,'Lipid class level'!$B16)</f>
        <v>9366</v>
      </c>
      <c r="P16" s="11">
        <f>SUMIFS('Molecules_Negative-ion mode'!U$4:U$390,'Molecules_Negative-ion mode'!$G$4:$G$390,'Lipid class level'!$B16)</f>
        <v>9408</v>
      </c>
      <c r="Q16" s="11">
        <f>SUMIFS('Molecules_Negative-ion mode'!V$4:V$390,'Molecules_Negative-ion mode'!$G$4:$G$390,'Lipid class level'!$B16)</f>
        <v>14659</v>
      </c>
      <c r="R16" s="11">
        <f>SUMIFS('Molecules_Negative-ion mode'!W$4:W$390,'Molecules_Negative-ion mode'!$G$4:$G$390,'Lipid class level'!$B16)</f>
        <v>10848</v>
      </c>
      <c r="S16" s="11"/>
      <c r="T16" s="11">
        <f>SUMIFS('Molecules_Negative-ion mode'!Y$4:Y$390,'Molecules_Negative-ion mode'!$G$4:$G$390,'Lipid class level'!$B16)</f>
        <v>0</v>
      </c>
      <c r="U16" s="11">
        <f>SUMIFS('Molecules_Negative-ion mode'!Z$4:Z$390,'Molecules_Negative-ion mode'!$G$4:$G$390,'Lipid class level'!$B16)</f>
        <v>9892</v>
      </c>
      <c r="V16" s="11">
        <f>SUMIFS('Molecules_Negative-ion mode'!AA$4:AA$390,'Molecules_Negative-ion mode'!$G$4:$G$390,'Lipid class level'!$B16)</f>
        <v>10370</v>
      </c>
      <c r="W16" s="11">
        <f>SUMIFS('Molecules_Negative-ion mode'!AB$4:AB$390,'Molecules_Negative-ion mode'!$G$4:$G$390,'Lipid class level'!$B16)</f>
        <v>12537</v>
      </c>
      <c r="X16" s="17">
        <f t="shared" si="3"/>
        <v>0.12892300053695518</v>
      </c>
      <c r="Y16" s="11">
        <f t="shared" si="0"/>
        <v>11069.714285714286</v>
      </c>
      <c r="Z16" s="11">
        <f t="shared" si="1"/>
        <v>10474.714285714286</v>
      </c>
      <c r="AA16" s="28">
        <f t="shared" si="4"/>
        <v>0.94624974189551936</v>
      </c>
      <c r="AB16" s="42">
        <f t="shared" si="2"/>
        <v>0.62794160851849257</v>
      </c>
      <c r="AC16" s="14" t="str">
        <f t="shared" si="5"/>
        <v>-</v>
      </c>
      <c r="AD16" s="37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</row>
    <row r="17" spans="1:46" ht="27" customHeight="1" x14ac:dyDescent="0.2">
      <c r="A17" s="9" t="s">
        <v>356</v>
      </c>
      <c r="B17" s="12" t="s">
        <v>110</v>
      </c>
      <c r="C17" s="12">
        <f>COUNTIFS('Molecules_Negative-ion mode'!$G$4:$G$390,'Lipid class level'!$B17)</f>
        <v>8</v>
      </c>
      <c r="D17" s="11">
        <f>SUMIFS('Molecules_Negative-ion mode'!I$4:I$390,'Molecules_Negative-ion mode'!$G$4:$G$390,'Lipid class level'!$B17)</f>
        <v>38785</v>
      </c>
      <c r="E17" s="11">
        <f>SUMIFS('Molecules_Negative-ion mode'!J$4:J$390,'Molecules_Negative-ion mode'!$G$4:$G$390,'Lipid class level'!$B17)</f>
        <v>37829</v>
      </c>
      <c r="F17" s="11">
        <f>SUMIFS('Molecules_Negative-ion mode'!K$4:K$390,'Molecules_Negative-ion mode'!$G$4:$G$390,'Lipid class level'!$B17)</f>
        <v>45622</v>
      </c>
      <c r="G17" s="11">
        <f>SUMIFS('Molecules_Negative-ion mode'!L$4:L$390,'Molecules_Negative-ion mode'!$G$4:$G$390,'Lipid class level'!$B17)</f>
        <v>34419</v>
      </c>
      <c r="H17" s="11">
        <f>SUMIFS('Molecules_Negative-ion mode'!M$4:M$390,'Molecules_Negative-ion mode'!$G$4:$G$390,'Lipid class level'!$B17)</f>
        <v>52829</v>
      </c>
      <c r="I17" s="11">
        <f>SUMIFS('Molecules_Negative-ion mode'!N$4:N$390,'Molecules_Negative-ion mode'!$G$4:$G$390,'Lipid class level'!$B17)</f>
        <v>69755</v>
      </c>
      <c r="J17" s="11">
        <f>SUMIFS('Molecules_Negative-ion mode'!O$4:O$390,'Molecules_Negative-ion mode'!$G$4:$G$390,'Lipid class level'!$B17)</f>
        <v>76418</v>
      </c>
      <c r="K17" s="11"/>
      <c r="L17" s="11">
        <f>SUMIFS('Molecules_Negative-ion mode'!Q$4:Q$390,'Molecules_Negative-ion mode'!$G$4:$G$390,'Lipid class level'!$B17)</f>
        <v>69373</v>
      </c>
      <c r="M17" s="11">
        <f>SUMIFS('Molecules_Negative-ion mode'!R$4:R$390,'Molecules_Negative-ion mode'!$G$4:$G$390,'Lipid class level'!$B17)</f>
        <v>45636</v>
      </c>
      <c r="N17" s="11">
        <f>SUMIFS('Molecules_Negative-ion mode'!S$4:S$390,'Molecules_Negative-ion mode'!$G$4:$G$390,'Lipid class level'!$B17)</f>
        <v>47570</v>
      </c>
      <c r="O17" s="11">
        <f>SUMIFS('Molecules_Negative-ion mode'!T$4:T$390,'Molecules_Negative-ion mode'!$G$4:$G$390,'Lipid class level'!$B17)</f>
        <v>38495</v>
      </c>
      <c r="P17" s="11">
        <f>SUMIFS('Molecules_Negative-ion mode'!U$4:U$390,'Molecules_Negative-ion mode'!$G$4:$G$390,'Lipid class level'!$B17)</f>
        <v>46026</v>
      </c>
      <c r="Q17" s="11">
        <f>SUMIFS('Molecules_Negative-ion mode'!V$4:V$390,'Molecules_Negative-ion mode'!$G$4:$G$390,'Lipid class level'!$B17)</f>
        <v>75872</v>
      </c>
      <c r="R17" s="11">
        <f>SUMIFS('Molecules_Negative-ion mode'!W$4:W$390,'Molecules_Negative-ion mode'!$G$4:$G$390,'Lipid class level'!$B17)</f>
        <v>48632</v>
      </c>
      <c r="S17" s="11"/>
      <c r="T17" s="11">
        <f>SUMIFS('Molecules_Negative-ion mode'!Y$4:Y$390,'Molecules_Negative-ion mode'!$G$4:$G$390,'Lipid class level'!$B17)</f>
        <v>160</v>
      </c>
      <c r="U17" s="11">
        <f>SUMIFS('Molecules_Negative-ion mode'!Z$4:Z$390,'Molecules_Negative-ion mode'!$G$4:$G$390,'Lipid class level'!$B17)</f>
        <v>50457</v>
      </c>
      <c r="V17" s="11">
        <f>SUMIFS('Molecules_Negative-ion mode'!AA$4:AA$390,'Molecules_Negative-ion mode'!$G$4:$G$390,'Lipid class level'!$B17)</f>
        <v>48459</v>
      </c>
      <c r="W17" s="11">
        <f>SUMIFS('Molecules_Negative-ion mode'!AB$4:AB$390,'Molecules_Negative-ion mode'!$G$4:$G$390,'Lipid class level'!$B17)</f>
        <v>55130</v>
      </c>
      <c r="X17" s="17">
        <f t="shared" si="3"/>
        <v>6.667593847827169E-2</v>
      </c>
      <c r="Y17" s="11">
        <f t="shared" si="0"/>
        <v>50808.142857142855</v>
      </c>
      <c r="Z17" s="11">
        <f t="shared" si="1"/>
        <v>53086.285714285717</v>
      </c>
      <c r="AA17" s="28">
        <f t="shared" si="4"/>
        <v>1.0448381446168642</v>
      </c>
      <c r="AB17" s="42">
        <f t="shared" si="2"/>
        <v>0.78438639727324055</v>
      </c>
      <c r="AC17" s="14" t="str">
        <f t="shared" si="5"/>
        <v>-</v>
      </c>
      <c r="AD17" s="37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</row>
    <row r="18" spans="1:46" ht="27" customHeight="1" x14ac:dyDescent="0.2">
      <c r="A18" s="9" t="s">
        <v>356</v>
      </c>
      <c r="B18" s="12" t="s">
        <v>167</v>
      </c>
      <c r="C18" s="12">
        <f>COUNTIFS('Molecules_Negative-ion mode'!$G$4:$G$390,'Lipid class level'!$B18)</f>
        <v>1</v>
      </c>
      <c r="D18" s="11">
        <f>SUMIFS('Molecules_Negative-ion mode'!I$4:I$390,'Molecules_Negative-ion mode'!$G$4:$G$390,'Lipid class level'!$B18)</f>
        <v>2491</v>
      </c>
      <c r="E18" s="11">
        <f>SUMIFS('Molecules_Negative-ion mode'!J$4:J$390,'Molecules_Negative-ion mode'!$G$4:$G$390,'Lipid class level'!$B18)</f>
        <v>2694</v>
      </c>
      <c r="F18" s="11">
        <f>SUMIFS('Molecules_Negative-ion mode'!K$4:K$390,'Molecules_Negative-ion mode'!$G$4:$G$390,'Lipid class level'!$B18)</f>
        <v>3469</v>
      </c>
      <c r="G18" s="11">
        <f>SUMIFS('Molecules_Negative-ion mode'!L$4:L$390,'Molecules_Negative-ion mode'!$G$4:$G$390,'Lipid class level'!$B18)</f>
        <v>2807</v>
      </c>
      <c r="H18" s="11">
        <f>SUMIFS('Molecules_Negative-ion mode'!M$4:M$390,'Molecules_Negative-ion mode'!$G$4:$G$390,'Lipid class level'!$B18)</f>
        <v>4413</v>
      </c>
      <c r="I18" s="11">
        <f>SUMIFS('Molecules_Negative-ion mode'!N$4:N$390,'Molecules_Negative-ion mode'!$G$4:$G$390,'Lipid class level'!$B18)</f>
        <v>3959</v>
      </c>
      <c r="J18" s="11">
        <f>SUMIFS('Molecules_Negative-ion mode'!O$4:O$390,'Molecules_Negative-ion mode'!$G$4:$G$390,'Lipid class level'!$B18)</f>
        <v>4155</v>
      </c>
      <c r="K18" s="11"/>
      <c r="L18" s="11">
        <f>SUMIFS('Molecules_Negative-ion mode'!Q$4:Q$390,'Molecules_Negative-ion mode'!$G$4:$G$390,'Lipid class level'!$B18)</f>
        <v>6230</v>
      </c>
      <c r="M18" s="11">
        <f>SUMIFS('Molecules_Negative-ion mode'!R$4:R$390,'Molecules_Negative-ion mode'!$G$4:$G$390,'Lipid class level'!$B18)</f>
        <v>4976</v>
      </c>
      <c r="N18" s="11">
        <f>SUMIFS('Molecules_Negative-ion mode'!S$4:S$390,'Molecules_Negative-ion mode'!$G$4:$G$390,'Lipid class level'!$B18)</f>
        <v>4201</v>
      </c>
      <c r="O18" s="11">
        <f>SUMIFS('Molecules_Negative-ion mode'!T$4:T$390,'Molecules_Negative-ion mode'!$G$4:$G$390,'Lipid class level'!$B18)</f>
        <v>4307</v>
      </c>
      <c r="P18" s="11">
        <f>SUMIFS('Molecules_Negative-ion mode'!U$4:U$390,'Molecules_Negative-ion mode'!$G$4:$G$390,'Lipid class level'!$B18)</f>
        <v>3718</v>
      </c>
      <c r="Q18" s="11">
        <f>SUMIFS('Molecules_Negative-ion mode'!V$4:V$390,'Molecules_Negative-ion mode'!$G$4:$G$390,'Lipid class level'!$B18)</f>
        <v>6568</v>
      </c>
      <c r="R18" s="11">
        <f>SUMIFS('Molecules_Negative-ion mode'!W$4:W$390,'Molecules_Negative-ion mode'!$G$4:$G$390,'Lipid class level'!$B18)</f>
        <v>4482</v>
      </c>
      <c r="S18" s="11"/>
      <c r="T18" s="11">
        <f>SUMIFS('Molecules_Negative-ion mode'!Y$4:Y$390,'Molecules_Negative-ion mode'!$G$4:$G$390,'Lipid class level'!$B18)</f>
        <v>0</v>
      </c>
      <c r="U18" s="11">
        <f>SUMIFS('Molecules_Negative-ion mode'!Z$4:Z$390,'Molecules_Negative-ion mode'!$G$4:$G$390,'Lipid class level'!$B18)</f>
        <v>3856</v>
      </c>
      <c r="V18" s="11">
        <f>SUMIFS('Molecules_Negative-ion mode'!AA$4:AA$390,'Molecules_Negative-ion mode'!$G$4:$G$390,'Lipid class level'!$B18)</f>
        <v>3951</v>
      </c>
      <c r="W18" s="11">
        <f>SUMIFS('Molecules_Negative-ion mode'!AB$4:AB$390,'Molecules_Negative-ion mode'!$G$4:$G$390,'Lipid class level'!$B18)</f>
        <v>5403</v>
      </c>
      <c r="X18" s="17">
        <f t="shared" si="3"/>
        <v>0.19690510908763365</v>
      </c>
      <c r="Y18" s="11">
        <f t="shared" si="0"/>
        <v>3426.8571428571427</v>
      </c>
      <c r="Z18" s="11">
        <f t="shared" si="1"/>
        <v>4926</v>
      </c>
      <c r="AA18" s="28">
        <f t="shared" si="4"/>
        <v>1.4374687343671837</v>
      </c>
      <c r="AB18" s="42">
        <f t="shared" si="2"/>
        <v>1.2403379129488683E-2</v>
      </c>
      <c r="AC18" s="14" t="str">
        <f t="shared" si="5"/>
        <v>*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</row>
    <row r="19" spans="1:46" ht="27" customHeight="1" x14ac:dyDescent="0.2">
      <c r="A19" s="9" t="s">
        <v>356</v>
      </c>
      <c r="B19" s="12" t="s">
        <v>164</v>
      </c>
      <c r="C19" s="12">
        <f>COUNTIFS('Molecules_Negative-ion mode'!$G$4:$G$390,'Lipid class level'!$B19)</f>
        <v>6</v>
      </c>
      <c r="D19" s="11">
        <f>SUMIFS('Molecules_Negative-ion mode'!I$4:I$390,'Molecules_Negative-ion mode'!$G$4:$G$390,'Lipid class level'!$B19)</f>
        <v>18678</v>
      </c>
      <c r="E19" s="11">
        <f>SUMIFS('Molecules_Negative-ion mode'!J$4:J$390,'Molecules_Negative-ion mode'!$G$4:$G$390,'Lipid class level'!$B19)</f>
        <v>16352</v>
      </c>
      <c r="F19" s="11">
        <f>SUMIFS('Molecules_Negative-ion mode'!K$4:K$390,'Molecules_Negative-ion mode'!$G$4:$G$390,'Lipid class level'!$B19)</f>
        <v>22186</v>
      </c>
      <c r="G19" s="11">
        <f>SUMIFS('Molecules_Negative-ion mode'!L$4:L$390,'Molecules_Negative-ion mode'!$G$4:$G$390,'Lipid class level'!$B19)</f>
        <v>19324</v>
      </c>
      <c r="H19" s="11">
        <f>SUMIFS('Molecules_Negative-ion mode'!M$4:M$390,'Molecules_Negative-ion mode'!$G$4:$G$390,'Lipid class level'!$B19)</f>
        <v>17156</v>
      </c>
      <c r="I19" s="11">
        <f>SUMIFS('Molecules_Negative-ion mode'!N$4:N$390,'Molecules_Negative-ion mode'!$G$4:$G$390,'Lipid class level'!$B19)</f>
        <v>19218</v>
      </c>
      <c r="J19" s="11">
        <f>SUMIFS('Molecules_Negative-ion mode'!O$4:O$390,'Molecules_Negative-ion mode'!$G$4:$G$390,'Lipid class level'!$B19)</f>
        <v>18860</v>
      </c>
      <c r="K19" s="11"/>
      <c r="L19" s="11">
        <f>SUMIFS('Molecules_Negative-ion mode'!Q$4:Q$390,'Molecules_Negative-ion mode'!$G$4:$G$390,'Lipid class level'!$B19)</f>
        <v>22648</v>
      </c>
      <c r="M19" s="11">
        <f>SUMIFS('Molecules_Negative-ion mode'!R$4:R$390,'Molecules_Negative-ion mode'!$G$4:$G$390,'Lipid class level'!$B19)</f>
        <v>24556</v>
      </c>
      <c r="N19" s="11">
        <f>SUMIFS('Molecules_Negative-ion mode'!S$4:S$390,'Molecules_Negative-ion mode'!$G$4:$G$390,'Lipid class level'!$B19)</f>
        <v>21194</v>
      </c>
      <c r="O19" s="11">
        <f>SUMIFS('Molecules_Negative-ion mode'!T$4:T$390,'Molecules_Negative-ion mode'!$G$4:$G$390,'Lipid class level'!$B19)</f>
        <v>23325</v>
      </c>
      <c r="P19" s="11">
        <f>SUMIFS('Molecules_Negative-ion mode'!U$4:U$390,'Molecules_Negative-ion mode'!$G$4:$G$390,'Lipid class level'!$B19)</f>
        <v>23593</v>
      </c>
      <c r="Q19" s="11">
        <f>SUMIFS('Molecules_Negative-ion mode'!V$4:V$390,'Molecules_Negative-ion mode'!$G$4:$G$390,'Lipid class level'!$B19)</f>
        <v>29425</v>
      </c>
      <c r="R19" s="11">
        <f>SUMIFS('Molecules_Negative-ion mode'!W$4:W$390,'Molecules_Negative-ion mode'!$G$4:$G$390,'Lipid class level'!$B19)</f>
        <v>29866</v>
      </c>
      <c r="S19" s="11"/>
      <c r="T19" s="11">
        <f>SUMIFS('Molecules_Negative-ion mode'!Y$4:Y$390,'Molecules_Negative-ion mode'!$G$4:$G$390,'Lipid class level'!$B19)</f>
        <v>193</v>
      </c>
      <c r="U19" s="11">
        <f>SUMIFS('Molecules_Negative-ion mode'!Z$4:Z$390,'Molecules_Negative-ion mode'!$G$4:$G$390,'Lipid class level'!$B19)</f>
        <v>20856</v>
      </c>
      <c r="V19" s="11">
        <f>SUMIFS('Molecules_Negative-ion mode'!AA$4:AA$390,'Molecules_Negative-ion mode'!$G$4:$G$390,'Lipid class level'!$B19)</f>
        <v>22333</v>
      </c>
      <c r="W19" s="11">
        <f>SUMIFS('Molecules_Negative-ion mode'!AB$4:AB$390,'Molecules_Negative-ion mode'!$G$4:$G$390,'Lipid class level'!$B19)</f>
        <v>23521</v>
      </c>
      <c r="X19" s="17">
        <f t="shared" si="3"/>
        <v>6.0040883337547341E-2</v>
      </c>
      <c r="Y19" s="11">
        <f t="shared" si="0"/>
        <v>18824.857142857141</v>
      </c>
      <c r="Z19" s="11">
        <f t="shared" si="1"/>
        <v>24943.857142857141</v>
      </c>
      <c r="AA19" s="28">
        <f t="shared" si="4"/>
        <v>1.3250489474403144</v>
      </c>
      <c r="AB19" s="42">
        <f t="shared" si="2"/>
        <v>2.1117045389465877E-3</v>
      </c>
      <c r="AC19" s="14" t="str">
        <f t="shared" si="5"/>
        <v>**</v>
      </c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</row>
    <row r="20" spans="1:46" ht="27" customHeight="1" x14ac:dyDescent="0.2">
      <c r="A20" s="9" t="s">
        <v>356</v>
      </c>
      <c r="B20" s="12" t="s">
        <v>217</v>
      </c>
      <c r="C20" s="12">
        <f>COUNTIFS('Molecules_Negative-ion mode'!$G$4:$G$390,'Lipid class level'!$B20)</f>
        <v>3</v>
      </c>
      <c r="D20" s="11">
        <f>SUMIFS('Molecules_Negative-ion mode'!I$4:I$390,'Molecules_Negative-ion mode'!$G$4:$G$390,'Lipid class level'!$B20)</f>
        <v>4758</v>
      </c>
      <c r="E20" s="11">
        <f>SUMIFS('Molecules_Negative-ion mode'!J$4:J$390,'Molecules_Negative-ion mode'!$G$4:$G$390,'Lipid class level'!$B20)</f>
        <v>3904</v>
      </c>
      <c r="F20" s="11">
        <f>SUMIFS('Molecules_Negative-ion mode'!K$4:K$390,'Molecules_Negative-ion mode'!$G$4:$G$390,'Lipid class level'!$B20)</f>
        <v>2401</v>
      </c>
      <c r="G20" s="11">
        <f>SUMIFS('Molecules_Negative-ion mode'!L$4:L$390,'Molecules_Negative-ion mode'!$G$4:$G$390,'Lipid class level'!$B20)</f>
        <v>5098</v>
      </c>
      <c r="H20" s="11">
        <f>SUMIFS('Molecules_Negative-ion mode'!M$4:M$390,'Molecules_Negative-ion mode'!$G$4:$G$390,'Lipid class level'!$B20)</f>
        <v>3220</v>
      </c>
      <c r="I20" s="11">
        <f>SUMIFS('Molecules_Negative-ion mode'!N$4:N$390,'Molecules_Negative-ion mode'!$G$4:$G$390,'Lipid class level'!$B20)</f>
        <v>6641</v>
      </c>
      <c r="J20" s="11">
        <f>SUMIFS('Molecules_Negative-ion mode'!O$4:O$390,'Molecules_Negative-ion mode'!$G$4:$G$390,'Lipid class level'!$B20)</f>
        <v>1945</v>
      </c>
      <c r="K20" s="11"/>
      <c r="L20" s="11">
        <f>SUMIFS('Molecules_Negative-ion mode'!Q$4:Q$390,'Molecules_Negative-ion mode'!$G$4:$G$390,'Lipid class level'!$B20)</f>
        <v>7089</v>
      </c>
      <c r="M20" s="11">
        <f>SUMIFS('Molecules_Negative-ion mode'!R$4:R$390,'Molecules_Negative-ion mode'!$G$4:$G$390,'Lipid class level'!$B20)</f>
        <v>1795</v>
      </c>
      <c r="N20" s="11">
        <f>SUMIFS('Molecules_Negative-ion mode'!S$4:S$390,'Molecules_Negative-ion mode'!$G$4:$G$390,'Lipid class level'!$B20)</f>
        <v>3622</v>
      </c>
      <c r="O20" s="11">
        <f>SUMIFS('Molecules_Negative-ion mode'!T$4:T$390,'Molecules_Negative-ion mode'!$G$4:$G$390,'Lipid class level'!$B20)</f>
        <v>7029</v>
      </c>
      <c r="P20" s="11">
        <f>SUMIFS('Molecules_Negative-ion mode'!U$4:U$390,'Molecules_Negative-ion mode'!$G$4:$G$390,'Lipid class level'!$B20)</f>
        <v>5179</v>
      </c>
      <c r="Q20" s="11">
        <f>SUMIFS('Molecules_Negative-ion mode'!V$4:V$390,'Molecules_Negative-ion mode'!$G$4:$G$390,'Lipid class level'!$B20)</f>
        <v>9492</v>
      </c>
      <c r="R20" s="11">
        <f>SUMIFS('Molecules_Negative-ion mode'!W$4:W$390,'Molecules_Negative-ion mode'!$G$4:$G$390,'Lipid class level'!$B20)</f>
        <v>4858</v>
      </c>
      <c r="S20" s="11"/>
      <c r="T20" s="11">
        <f>SUMIFS('Molecules_Negative-ion mode'!Y$4:Y$390,'Molecules_Negative-ion mode'!$G$4:$G$390,'Lipid class level'!$B20)</f>
        <v>0</v>
      </c>
      <c r="U20" s="11">
        <f>SUMIFS('Molecules_Negative-ion mode'!Z$4:Z$390,'Molecules_Negative-ion mode'!$G$4:$G$390,'Lipid class level'!$B20)</f>
        <v>4935</v>
      </c>
      <c r="V20" s="11">
        <f>SUMIFS('Molecules_Negative-ion mode'!AA$4:AA$390,'Molecules_Negative-ion mode'!$G$4:$G$390,'Lipid class level'!$B20)</f>
        <v>5032</v>
      </c>
      <c r="W20" s="11">
        <f>SUMIFS('Molecules_Negative-ion mode'!AB$4:AB$390,'Molecules_Negative-ion mode'!$G$4:$G$390,'Lipid class level'!$B20)</f>
        <v>5495</v>
      </c>
      <c r="X20" s="17">
        <f t="shared" si="3"/>
        <v>5.8065731547914889E-2</v>
      </c>
      <c r="Y20" s="11">
        <f t="shared" si="0"/>
        <v>3995.2857142857142</v>
      </c>
      <c r="Z20" s="11">
        <f t="shared" si="1"/>
        <v>5580.5714285714284</v>
      </c>
      <c r="AA20" s="28">
        <f t="shared" si="4"/>
        <v>1.3967890728358423</v>
      </c>
      <c r="AB20" s="42">
        <f t="shared" si="2"/>
        <v>0.19406012205780437</v>
      </c>
      <c r="AC20" s="14" t="str">
        <f t="shared" si="5"/>
        <v>-</v>
      </c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</row>
    <row r="21" spans="1:46" ht="27" customHeight="1" x14ac:dyDescent="0.2">
      <c r="A21" s="9" t="s">
        <v>356</v>
      </c>
      <c r="B21" s="12" t="s">
        <v>210</v>
      </c>
      <c r="C21" s="12">
        <f>COUNTIFS('Molecules_Negative-ion mode'!$G$4:$G$390,'Lipid class level'!$B21)</f>
        <v>2</v>
      </c>
      <c r="D21" s="11">
        <f>SUMIFS('Molecules_Negative-ion mode'!I$4:I$390,'Molecules_Negative-ion mode'!$G$4:$G$390,'Lipid class level'!$B21)</f>
        <v>4599</v>
      </c>
      <c r="E21" s="11">
        <f>SUMIFS('Molecules_Negative-ion mode'!J$4:J$390,'Molecules_Negative-ion mode'!$G$4:$G$390,'Lipid class level'!$B21)</f>
        <v>5336</v>
      </c>
      <c r="F21" s="11">
        <f>SUMIFS('Molecules_Negative-ion mode'!K$4:K$390,'Molecules_Negative-ion mode'!$G$4:$G$390,'Lipid class level'!$B21)</f>
        <v>8819</v>
      </c>
      <c r="G21" s="11">
        <f>SUMIFS('Molecules_Negative-ion mode'!L$4:L$390,'Molecules_Negative-ion mode'!$G$4:$G$390,'Lipid class level'!$B21)</f>
        <v>7259</v>
      </c>
      <c r="H21" s="11">
        <f>SUMIFS('Molecules_Negative-ion mode'!M$4:M$390,'Molecules_Negative-ion mode'!$G$4:$G$390,'Lipid class level'!$B21)</f>
        <v>7028</v>
      </c>
      <c r="I21" s="11">
        <f>SUMIFS('Molecules_Negative-ion mode'!N$4:N$390,'Molecules_Negative-ion mode'!$G$4:$G$390,'Lipid class level'!$B21)</f>
        <v>9015</v>
      </c>
      <c r="J21" s="11">
        <f>SUMIFS('Molecules_Negative-ion mode'!O$4:O$390,'Molecules_Negative-ion mode'!$G$4:$G$390,'Lipid class level'!$B21)</f>
        <v>8187</v>
      </c>
      <c r="K21" s="11"/>
      <c r="L21" s="11">
        <f>SUMIFS('Molecules_Negative-ion mode'!Q$4:Q$390,'Molecules_Negative-ion mode'!$G$4:$G$390,'Lipid class level'!$B21)</f>
        <v>5045</v>
      </c>
      <c r="M21" s="11">
        <f>SUMIFS('Molecules_Negative-ion mode'!R$4:R$390,'Molecules_Negative-ion mode'!$G$4:$G$390,'Lipid class level'!$B21)</f>
        <v>7258</v>
      </c>
      <c r="N21" s="11">
        <f>SUMIFS('Molecules_Negative-ion mode'!S$4:S$390,'Molecules_Negative-ion mode'!$G$4:$G$390,'Lipid class level'!$B21)</f>
        <v>5609</v>
      </c>
      <c r="O21" s="11">
        <f>SUMIFS('Molecules_Negative-ion mode'!T$4:T$390,'Molecules_Negative-ion mode'!$G$4:$G$390,'Lipid class level'!$B21)</f>
        <v>7359</v>
      </c>
      <c r="P21" s="11">
        <f>SUMIFS('Molecules_Negative-ion mode'!U$4:U$390,'Molecules_Negative-ion mode'!$G$4:$G$390,'Lipid class level'!$B21)</f>
        <v>11152</v>
      </c>
      <c r="Q21" s="11">
        <f>SUMIFS('Molecules_Negative-ion mode'!V$4:V$390,'Molecules_Negative-ion mode'!$G$4:$G$390,'Lipid class level'!$B21)</f>
        <v>7323</v>
      </c>
      <c r="R21" s="11">
        <f>SUMIFS('Molecules_Negative-ion mode'!W$4:W$390,'Molecules_Negative-ion mode'!$G$4:$G$390,'Lipid class level'!$B21)</f>
        <v>9017</v>
      </c>
      <c r="S21" s="11"/>
      <c r="T21" s="11">
        <f>SUMIFS('Molecules_Negative-ion mode'!Y$4:Y$390,'Molecules_Negative-ion mode'!$G$4:$G$390,'Lipid class level'!$B21)</f>
        <v>170</v>
      </c>
      <c r="U21" s="11">
        <f>SUMIFS('Molecules_Negative-ion mode'!Z$4:Z$390,'Molecules_Negative-ion mode'!$G$4:$G$390,'Lipid class level'!$B21)</f>
        <v>5949</v>
      </c>
      <c r="V21" s="11">
        <f>SUMIFS('Molecules_Negative-ion mode'!AA$4:AA$390,'Molecules_Negative-ion mode'!$G$4:$G$390,'Lipid class level'!$B21)</f>
        <v>8399</v>
      </c>
      <c r="W21" s="11">
        <f>SUMIFS('Molecules_Negative-ion mode'!AB$4:AB$390,'Molecules_Negative-ion mode'!$G$4:$G$390,'Lipid class level'!$B21)</f>
        <v>7916</v>
      </c>
      <c r="X21" s="17">
        <f t="shared" si="3"/>
        <v>0.17486704592206273</v>
      </c>
      <c r="Y21" s="11">
        <f t="shared" si="0"/>
        <v>7177.5714285714284</v>
      </c>
      <c r="Z21" s="11">
        <f t="shared" si="1"/>
        <v>7537.5714285714284</v>
      </c>
      <c r="AA21" s="28">
        <f t="shared" si="4"/>
        <v>1.0501562406703422</v>
      </c>
      <c r="AB21" s="42">
        <f t="shared" si="2"/>
        <v>0.72687902808491045</v>
      </c>
      <c r="AC21" s="14" t="str">
        <f t="shared" si="5"/>
        <v>-</v>
      </c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</row>
    <row r="22" spans="1:46" ht="27" customHeight="1" x14ac:dyDescent="0.2">
      <c r="A22" s="9" t="s">
        <v>356</v>
      </c>
      <c r="B22" s="12" t="s">
        <v>9</v>
      </c>
      <c r="C22" s="12">
        <f>COUNTIFS('Molecules_Negative-ion mode'!$G$4:$G$390,'Lipid class level'!$B22)</f>
        <v>34</v>
      </c>
      <c r="D22" s="11">
        <f>SUMIFS('Molecules_Negative-ion mode'!I$4:I$390,'Molecules_Negative-ion mode'!$G$4:$G$390,'Lipid class level'!$B22)</f>
        <v>3131314</v>
      </c>
      <c r="E22" s="11">
        <f>SUMIFS('Molecules_Negative-ion mode'!J$4:J$390,'Molecules_Negative-ion mode'!$G$4:$G$390,'Lipid class level'!$B22)</f>
        <v>3305002</v>
      </c>
      <c r="F22" s="11">
        <f>SUMIFS('Molecules_Negative-ion mode'!K$4:K$390,'Molecules_Negative-ion mode'!$G$4:$G$390,'Lipid class level'!$B22)</f>
        <v>4459663</v>
      </c>
      <c r="G22" s="11">
        <f>SUMIFS('Molecules_Negative-ion mode'!L$4:L$390,'Molecules_Negative-ion mode'!$G$4:$G$390,'Lipid class level'!$B22)</f>
        <v>4008491</v>
      </c>
      <c r="H22" s="11">
        <f>SUMIFS('Molecules_Negative-ion mode'!M$4:M$390,'Molecules_Negative-ion mode'!$G$4:$G$390,'Lipid class level'!$B22)</f>
        <v>4451812</v>
      </c>
      <c r="I22" s="11">
        <f>SUMIFS('Molecules_Negative-ion mode'!N$4:N$390,'Molecules_Negative-ion mode'!$G$4:$G$390,'Lipid class level'!$B22)</f>
        <v>4395298</v>
      </c>
      <c r="J22" s="11">
        <f>SUMIFS('Molecules_Negative-ion mode'!O$4:O$390,'Molecules_Negative-ion mode'!$G$4:$G$390,'Lipid class level'!$B22)</f>
        <v>5254430</v>
      </c>
      <c r="K22" s="11"/>
      <c r="L22" s="11">
        <f>SUMIFS('Molecules_Negative-ion mode'!Q$4:Q$390,'Molecules_Negative-ion mode'!$G$4:$G$390,'Lipid class level'!$B22)</f>
        <v>3997898</v>
      </c>
      <c r="M22" s="11">
        <f>SUMIFS('Molecules_Negative-ion mode'!R$4:R$390,'Molecules_Negative-ion mode'!$G$4:$G$390,'Lipid class level'!$B22)</f>
        <v>4392959</v>
      </c>
      <c r="N22" s="11">
        <f>SUMIFS('Molecules_Negative-ion mode'!S$4:S$390,'Molecules_Negative-ion mode'!$G$4:$G$390,'Lipid class level'!$B22)</f>
        <v>3194847</v>
      </c>
      <c r="O22" s="11">
        <f>SUMIFS('Molecules_Negative-ion mode'!T$4:T$390,'Molecules_Negative-ion mode'!$G$4:$G$390,'Lipid class level'!$B22)</f>
        <v>4761082</v>
      </c>
      <c r="P22" s="11">
        <f>SUMIFS('Molecules_Negative-ion mode'!U$4:U$390,'Molecules_Negative-ion mode'!$G$4:$G$390,'Lipid class level'!$B22)</f>
        <v>5039882</v>
      </c>
      <c r="Q22" s="11">
        <f>SUMIFS('Molecules_Negative-ion mode'!V$4:V$390,'Molecules_Negative-ion mode'!$G$4:$G$390,'Lipid class level'!$B22)</f>
        <v>4540088</v>
      </c>
      <c r="R22" s="11">
        <f>SUMIFS('Molecules_Negative-ion mode'!W$4:W$390,'Molecules_Negative-ion mode'!$G$4:$G$390,'Lipid class level'!$B22)</f>
        <v>5541323</v>
      </c>
      <c r="S22" s="11"/>
      <c r="T22" s="11">
        <f>SUMIFS('Molecules_Negative-ion mode'!Y$4:Y$390,'Molecules_Negative-ion mode'!$G$4:$G$390,'Lipid class level'!$B22)</f>
        <v>5238</v>
      </c>
      <c r="U22" s="11">
        <f>SUMIFS('Molecules_Negative-ion mode'!Z$4:Z$390,'Molecules_Negative-ion mode'!$G$4:$G$390,'Lipid class level'!$B22)</f>
        <v>4264283</v>
      </c>
      <c r="V22" s="11">
        <f>SUMIFS('Molecules_Negative-ion mode'!AA$4:AA$390,'Molecules_Negative-ion mode'!$G$4:$G$390,'Lipid class level'!$B22)</f>
        <v>4590742</v>
      </c>
      <c r="W22" s="11">
        <f>SUMIFS('Molecules_Negative-ion mode'!AB$4:AB$390,'Molecules_Negative-ion mode'!$G$4:$G$390,'Lipid class level'!$B22)</f>
        <v>4837654</v>
      </c>
      <c r="X22" s="17">
        <f t="shared" si="3"/>
        <v>6.3012584319089862E-2</v>
      </c>
      <c r="Y22" s="11">
        <f t="shared" si="0"/>
        <v>4143715.7142857141</v>
      </c>
      <c r="Z22" s="11">
        <f t="shared" si="1"/>
        <v>4495439.8571428573</v>
      </c>
      <c r="AA22" s="28">
        <f t="shared" si="4"/>
        <v>1.0848813401084811</v>
      </c>
      <c r="AB22" s="42">
        <f t="shared" si="2"/>
        <v>0.394142071008595</v>
      </c>
      <c r="AC22" s="14" t="str">
        <f t="shared" si="5"/>
        <v>-</v>
      </c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</row>
    <row r="23" spans="1:46" ht="27" customHeight="1" x14ac:dyDescent="0.2">
      <c r="A23" s="9" t="s">
        <v>356</v>
      </c>
      <c r="B23" s="12" t="s">
        <v>70</v>
      </c>
      <c r="C23" s="12">
        <f>COUNTIFS('Molecules_Negative-ion mode'!$G$4:$G$390,'Lipid class level'!$B23)</f>
        <v>4</v>
      </c>
      <c r="D23" s="11">
        <f>SUMIFS('Molecules_Negative-ion mode'!I$4:I$390,'Molecules_Negative-ion mode'!$G$4:$G$390,'Lipid class level'!$B23)</f>
        <v>51220</v>
      </c>
      <c r="E23" s="11">
        <f>SUMIFS('Molecules_Negative-ion mode'!J$4:J$390,'Molecules_Negative-ion mode'!$G$4:$G$390,'Lipid class level'!$B23)</f>
        <v>60598</v>
      </c>
      <c r="F23" s="11">
        <f>SUMIFS('Molecules_Negative-ion mode'!K$4:K$390,'Molecules_Negative-ion mode'!$G$4:$G$390,'Lipid class level'!$B23)</f>
        <v>74744</v>
      </c>
      <c r="G23" s="11">
        <f>SUMIFS('Molecules_Negative-ion mode'!L$4:L$390,'Molecules_Negative-ion mode'!$G$4:$G$390,'Lipid class level'!$B23)</f>
        <v>63199</v>
      </c>
      <c r="H23" s="11">
        <f>SUMIFS('Molecules_Negative-ion mode'!M$4:M$390,'Molecules_Negative-ion mode'!$G$4:$G$390,'Lipid class level'!$B23)</f>
        <v>87755</v>
      </c>
      <c r="I23" s="11">
        <f>SUMIFS('Molecules_Negative-ion mode'!N$4:N$390,'Molecules_Negative-ion mode'!$G$4:$G$390,'Lipid class level'!$B23)</f>
        <v>72023</v>
      </c>
      <c r="J23" s="11">
        <f>SUMIFS('Molecules_Negative-ion mode'!O$4:O$390,'Molecules_Negative-ion mode'!$G$4:$G$390,'Lipid class level'!$B23)</f>
        <v>102357</v>
      </c>
      <c r="K23" s="11"/>
      <c r="L23" s="11">
        <f>SUMIFS('Molecules_Negative-ion mode'!Q$4:Q$390,'Molecules_Negative-ion mode'!$G$4:$G$390,'Lipid class level'!$B23)</f>
        <v>41086</v>
      </c>
      <c r="M23" s="11">
        <f>SUMIFS('Molecules_Negative-ion mode'!R$4:R$390,'Molecules_Negative-ion mode'!$G$4:$G$390,'Lipid class level'!$B23)</f>
        <v>53270</v>
      </c>
      <c r="N23" s="11">
        <f>SUMIFS('Molecules_Negative-ion mode'!S$4:S$390,'Molecules_Negative-ion mode'!$G$4:$G$390,'Lipid class level'!$B23)</f>
        <v>42723</v>
      </c>
      <c r="O23" s="11">
        <f>SUMIFS('Molecules_Negative-ion mode'!T$4:T$390,'Molecules_Negative-ion mode'!$G$4:$G$390,'Lipid class level'!$B23)</f>
        <v>50955</v>
      </c>
      <c r="P23" s="11">
        <f>SUMIFS('Molecules_Negative-ion mode'!U$4:U$390,'Molecules_Negative-ion mode'!$G$4:$G$390,'Lipid class level'!$B23)</f>
        <v>55824</v>
      </c>
      <c r="Q23" s="11">
        <f>SUMIFS('Molecules_Negative-ion mode'!V$4:V$390,'Molecules_Negative-ion mode'!$G$4:$G$390,'Lipid class level'!$B23)</f>
        <v>40778</v>
      </c>
      <c r="R23" s="11">
        <f>SUMIFS('Molecules_Negative-ion mode'!W$4:W$390,'Molecules_Negative-ion mode'!$G$4:$G$390,'Lipid class level'!$B23)</f>
        <v>58096</v>
      </c>
      <c r="S23" s="11"/>
      <c r="T23" s="11">
        <f>SUMIFS('Molecules_Negative-ion mode'!Y$4:Y$390,'Molecules_Negative-ion mode'!$G$4:$G$390,'Lipid class level'!$B23)</f>
        <v>14</v>
      </c>
      <c r="U23" s="11">
        <f>SUMIFS('Molecules_Negative-ion mode'!Z$4:Z$390,'Molecules_Negative-ion mode'!$G$4:$G$390,'Lipid class level'!$B23)</f>
        <v>59609</v>
      </c>
      <c r="V23" s="11">
        <f>SUMIFS('Molecules_Negative-ion mode'!AA$4:AA$390,'Molecules_Negative-ion mode'!$G$4:$G$390,'Lipid class level'!$B23)</f>
        <v>63930</v>
      </c>
      <c r="W23" s="11">
        <f>SUMIFS('Molecules_Negative-ion mode'!AB$4:AB$390,'Molecules_Negative-ion mode'!$G$4:$G$390,'Lipid class level'!$B23)</f>
        <v>68427</v>
      </c>
      <c r="X23" s="17">
        <f t="shared" si="3"/>
        <v>6.8907401177928221E-2</v>
      </c>
      <c r="Y23" s="11">
        <f t="shared" si="0"/>
        <v>73128</v>
      </c>
      <c r="Z23" s="11">
        <f t="shared" si="1"/>
        <v>48961.714285714283</v>
      </c>
      <c r="AA23" s="28">
        <f t="shared" si="4"/>
        <v>0.66953443668245105</v>
      </c>
      <c r="AB23" s="42">
        <f t="shared" si="2"/>
        <v>9.3225884858300322E-3</v>
      </c>
      <c r="AC23" s="14" t="str">
        <f t="shared" si="5"/>
        <v>**</v>
      </c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</row>
    <row r="24" spans="1:46" ht="27" customHeight="1" x14ac:dyDescent="0.2">
      <c r="A24" s="9" t="s">
        <v>356</v>
      </c>
      <c r="B24" s="12" t="s">
        <v>43</v>
      </c>
      <c r="C24" s="12">
        <f>COUNTIFS('Molecules_Negative-ion mode'!$G$4:$G$390,'Lipid class level'!$B24)</f>
        <v>4</v>
      </c>
      <c r="D24" s="11">
        <f>SUMIFS('Molecules_Negative-ion mode'!I$4:I$390,'Molecules_Negative-ion mode'!$G$4:$G$390,'Lipid class level'!$B24)</f>
        <v>132473</v>
      </c>
      <c r="E24" s="11">
        <f>SUMIFS('Molecules_Negative-ion mode'!J$4:J$390,'Molecules_Negative-ion mode'!$G$4:$G$390,'Lipid class level'!$B24)</f>
        <v>129176</v>
      </c>
      <c r="F24" s="11">
        <f>SUMIFS('Molecules_Negative-ion mode'!K$4:K$390,'Molecules_Negative-ion mode'!$G$4:$G$390,'Lipid class level'!$B24)</f>
        <v>172274</v>
      </c>
      <c r="G24" s="11">
        <f>SUMIFS('Molecules_Negative-ion mode'!L$4:L$390,'Molecules_Negative-ion mode'!$G$4:$G$390,'Lipid class level'!$B24)</f>
        <v>142658</v>
      </c>
      <c r="H24" s="11">
        <f>SUMIFS('Molecules_Negative-ion mode'!M$4:M$390,'Molecules_Negative-ion mode'!$G$4:$G$390,'Lipid class level'!$B24)</f>
        <v>179141</v>
      </c>
      <c r="I24" s="11">
        <f>SUMIFS('Molecules_Negative-ion mode'!N$4:N$390,'Molecules_Negative-ion mode'!$G$4:$G$390,'Lipid class level'!$B24)</f>
        <v>201653</v>
      </c>
      <c r="J24" s="11">
        <f>SUMIFS('Molecules_Negative-ion mode'!O$4:O$390,'Molecules_Negative-ion mode'!$G$4:$G$390,'Lipid class level'!$B24)</f>
        <v>221317</v>
      </c>
      <c r="K24" s="11"/>
      <c r="L24" s="11">
        <f>SUMIFS('Molecules_Negative-ion mode'!Q$4:Q$390,'Molecules_Negative-ion mode'!$G$4:$G$390,'Lipid class level'!$B24)</f>
        <v>106672</v>
      </c>
      <c r="M24" s="11">
        <f>SUMIFS('Molecules_Negative-ion mode'!R$4:R$390,'Molecules_Negative-ion mode'!$G$4:$G$390,'Lipid class level'!$B24)</f>
        <v>109424</v>
      </c>
      <c r="N24" s="11">
        <f>SUMIFS('Molecules_Negative-ion mode'!S$4:S$390,'Molecules_Negative-ion mode'!$G$4:$G$390,'Lipid class level'!$B24)</f>
        <v>95644</v>
      </c>
      <c r="O24" s="11">
        <f>SUMIFS('Molecules_Negative-ion mode'!T$4:T$390,'Molecules_Negative-ion mode'!$G$4:$G$390,'Lipid class level'!$B24)</f>
        <v>131645</v>
      </c>
      <c r="P24" s="11">
        <f>SUMIFS('Molecules_Negative-ion mode'!U$4:U$390,'Molecules_Negative-ion mode'!$G$4:$G$390,'Lipid class level'!$B24)</f>
        <v>127037</v>
      </c>
      <c r="Q24" s="11">
        <f>SUMIFS('Molecules_Negative-ion mode'!V$4:V$390,'Molecules_Negative-ion mode'!$G$4:$G$390,'Lipid class level'!$B24)</f>
        <v>124770</v>
      </c>
      <c r="R24" s="11">
        <f>SUMIFS('Molecules_Negative-ion mode'!W$4:W$390,'Molecules_Negative-ion mode'!$G$4:$G$390,'Lipid class level'!$B24)</f>
        <v>150905</v>
      </c>
      <c r="S24" s="11"/>
      <c r="T24" s="11">
        <f>SUMIFS('Molecules_Negative-ion mode'!Y$4:Y$390,'Molecules_Negative-ion mode'!$G$4:$G$390,'Lipid class level'!$B24)</f>
        <v>782</v>
      </c>
      <c r="U24" s="11">
        <f>SUMIFS('Molecules_Negative-ion mode'!Z$4:Z$390,'Molecules_Negative-ion mode'!$G$4:$G$390,'Lipid class level'!$B24)</f>
        <v>142414</v>
      </c>
      <c r="V24" s="11">
        <f>SUMIFS('Molecules_Negative-ion mode'!AA$4:AA$390,'Molecules_Negative-ion mode'!$G$4:$G$390,'Lipid class level'!$B24)</f>
        <v>146734</v>
      </c>
      <c r="W24" s="11">
        <f>SUMIFS('Molecules_Negative-ion mode'!AB$4:AB$390,'Molecules_Negative-ion mode'!$G$4:$G$390,'Lipid class level'!$B24)</f>
        <v>184339</v>
      </c>
      <c r="X24" s="17">
        <f t="shared" si="3"/>
        <v>0.14610572043867601</v>
      </c>
      <c r="Y24" s="11">
        <f t="shared" si="0"/>
        <v>168384.57142857142</v>
      </c>
      <c r="Z24" s="11">
        <f t="shared" si="1"/>
        <v>120871</v>
      </c>
      <c r="AA24" s="28">
        <f t="shared" si="4"/>
        <v>0.71782704896614213</v>
      </c>
      <c r="AB24" s="42">
        <f t="shared" si="2"/>
        <v>1.1730183041855607E-2</v>
      </c>
      <c r="AC24" s="14" t="str">
        <f t="shared" si="5"/>
        <v>*</v>
      </c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</row>
    <row r="25" spans="1:46" ht="27" customHeight="1" x14ac:dyDescent="0.2">
      <c r="A25" s="9" t="s">
        <v>356</v>
      </c>
      <c r="B25" s="12" t="s">
        <v>12</v>
      </c>
      <c r="C25" s="12">
        <f>COUNTIFS('Molecules_Negative-ion mode'!$G$4:$G$390,'Lipid class level'!$B25)</f>
        <v>37</v>
      </c>
      <c r="D25" s="11">
        <f>SUMIFS('Molecules_Negative-ion mode'!I$4:I$390,'Molecules_Negative-ion mode'!$G$4:$G$390,'Lipid class level'!$B25)</f>
        <v>3211551</v>
      </c>
      <c r="E25" s="11">
        <f>SUMIFS('Molecules_Negative-ion mode'!J$4:J$390,'Molecules_Negative-ion mode'!$G$4:$G$390,'Lipid class level'!$B25)</f>
        <v>3040502</v>
      </c>
      <c r="F25" s="11">
        <f>SUMIFS('Molecules_Negative-ion mode'!K$4:K$390,'Molecules_Negative-ion mode'!$G$4:$G$390,'Lipid class level'!$B25)</f>
        <v>4300626</v>
      </c>
      <c r="G25" s="11">
        <f>SUMIFS('Molecules_Negative-ion mode'!L$4:L$390,'Molecules_Negative-ion mode'!$G$4:$G$390,'Lipid class level'!$B25)</f>
        <v>3841552</v>
      </c>
      <c r="H25" s="11">
        <f>SUMIFS('Molecules_Negative-ion mode'!M$4:M$390,'Molecules_Negative-ion mode'!$G$4:$G$390,'Lipid class level'!$B25)</f>
        <v>3929624</v>
      </c>
      <c r="I25" s="11">
        <f>SUMIFS('Molecules_Negative-ion mode'!N$4:N$390,'Molecules_Negative-ion mode'!$G$4:$G$390,'Lipid class level'!$B25)</f>
        <v>4098451</v>
      </c>
      <c r="J25" s="11">
        <f>SUMIFS('Molecules_Negative-ion mode'!O$4:O$390,'Molecules_Negative-ion mode'!$G$4:$G$390,'Lipid class level'!$B25)</f>
        <v>4633592</v>
      </c>
      <c r="K25" s="11"/>
      <c r="L25" s="11">
        <f>SUMIFS('Molecules_Negative-ion mode'!Q$4:Q$390,'Molecules_Negative-ion mode'!$G$4:$G$390,'Lipid class level'!$B25)</f>
        <v>3913333</v>
      </c>
      <c r="M25" s="11">
        <f>SUMIFS('Molecules_Negative-ion mode'!R$4:R$390,'Molecules_Negative-ion mode'!$G$4:$G$390,'Lipid class level'!$B25)</f>
        <v>4058355</v>
      </c>
      <c r="N25" s="11">
        <f>SUMIFS('Molecules_Negative-ion mode'!S$4:S$390,'Molecules_Negative-ion mode'!$G$4:$G$390,'Lipid class level'!$B25)</f>
        <v>3333987</v>
      </c>
      <c r="O25" s="11">
        <f>SUMIFS('Molecules_Negative-ion mode'!T$4:T$390,'Molecules_Negative-ion mode'!$G$4:$G$390,'Lipid class level'!$B25)</f>
        <v>4625635</v>
      </c>
      <c r="P25" s="11">
        <f>SUMIFS('Molecules_Negative-ion mode'!U$4:U$390,'Molecules_Negative-ion mode'!$G$4:$G$390,'Lipid class level'!$B25)</f>
        <v>4683243</v>
      </c>
      <c r="Q25" s="11">
        <f>SUMIFS('Molecules_Negative-ion mode'!V$4:V$390,'Molecules_Negative-ion mode'!$G$4:$G$390,'Lipid class level'!$B25)</f>
        <v>4260386</v>
      </c>
      <c r="R25" s="11">
        <f>SUMIFS('Molecules_Negative-ion mode'!W$4:W$390,'Molecules_Negative-ion mode'!$G$4:$G$390,'Lipid class level'!$B25)</f>
        <v>4885114</v>
      </c>
      <c r="S25" s="11"/>
      <c r="T25" s="11">
        <f>SUMIFS('Molecules_Negative-ion mode'!Y$4:Y$390,'Molecules_Negative-ion mode'!$G$4:$G$390,'Lipid class level'!$B25)</f>
        <v>1211</v>
      </c>
      <c r="U25" s="11">
        <f>SUMIFS('Molecules_Negative-ion mode'!Z$4:Z$390,'Molecules_Negative-ion mode'!$G$4:$G$390,'Lipid class level'!$B25)</f>
        <v>3900705</v>
      </c>
      <c r="V25" s="11">
        <f>SUMIFS('Molecules_Negative-ion mode'!AA$4:AA$390,'Molecules_Negative-ion mode'!$G$4:$G$390,'Lipid class level'!$B25)</f>
        <v>4243610</v>
      </c>
      <c r="W25" s="11">
        <f>SUMIFS('Molecules_Negative-ion mode'!AB$4:AB$390,'Molecules_Negative-ion mode'!$G$4:$G$390,'Lipid class level'!$B25)</f>
        <v>4452639</v>
      </c>
      <c r="X25" s="17">
        <f t="shared" si="3"/>
        <v>6.6363642872159068E-2</v>
      </c>
      <c r="Y25" s="11">
        <f t="shared" si="0"/>
        <v>3865128.2857142859</v>
      </c>
      <c r="Z25" s="11">
        <f t="shared" si="1"/>
        <v>4251436.1428571427</v>
      </c>
      <c r="AA25" s="28">
        <f t="shared" si="4"/>
        <v>1.0999469690490404</v>
      </c>
      <c r="AB25" s="42">
        <f t="shared" si="2"/>
        <v>0.21572340746054708</v>
      </c>
      <c r="AC25" s="14" t="str">
        <f t="shared" si="5"/>
        <v>-</v>
      </c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</row>
    <row r="26" spans="1:46" ht="27" customHeight="1" x14ac:dyDescent="0.2">
      <c r="A26" s="9" t="s">
        <v>356</v>
      </c>
      <c r="B26" s="12" t="s">
        <v>247</v>
      </c>
      <c r="C26" s="12">
        <f>COUNTIFS('Molecules_Negative-ion mode'!$G$4:$G$390,'Lipid class level'!$B26)</f>
        <v>2</v>
      </c>
      <c r="D26" s="11">
        <f>SUMIFS('Molecules_Negative-ion mode'!I$4:I$390,'Molecules_Negative-ion mode'!$G$4:$G$390,'Lipid class level'!$B26)</f>
        <v>1902</v>
      </c>
      <c r="E26" s="11">
        <f>SUMIFS('Molecules_Negative-ion mode'!J$4:J$390,'Molecules_Negative-ion mode'!$G$4:$G$390,'Lipid class level'!$B26)</f>
        <v>2693</v>
      </c>
      <c r="F26" s="11">
        <f>SUMIFS('Molecules_Negative-ion mode'!K$4:K$390,'Molecules_Negative-ion mode'!$G$4:$G$390,'Lipid class level'!$B26)</f>
        <v>3348</v>
      </c>
      <c r="G26" s="11">
        <f>SUMIFS('Molecules_Negative-ion mode'!L$4:L$390,'Molecules_Negative-ion mode'!$G$4:$G$390,'Lipid class level'!$B26)</f>
        <v>3029</v>
      </c>
      <c r="H26" s="11">
        <f>SUMIFS('Molecules_Negative-ion mode'!M$4:M$390,'Molecules_Negative-ion mode'!$G$4:$G$390,'Lipid class level'!$B26)</f>
        <v>3728</v>
      </c>
      <c r="I26" s="11">
        <f>SUMIFS('Molecules_Negative-ion mode'!N$4:N$390,'Molecules_Negative-ion mode'!$G$4:$G$390,'Lipid class level'!$B26)</f>
        <v>3111</v>
      </c>
      <c r="J26" s="11">
        <f>SUMIFS('Molecules_Negative-ion mode'!O$4:O$390,'Molecules_Negative-ion mode'!$G$4:$G$390,'Lipid class level'!$B26)</f>
        <v>3386</v>
      </c>
      <c r="K26" s="11"/>
      <c r="L26" s="11">
        <f>SUMIFS('Molecules_Negative-ion mode'!Q$4:Q$390,'Molecules_Negative-ion mode'!$G$4:$G$390,'Lipid class level'!$B26)</f>
        <v>2318</v>
      </c>
      <c r="M26" s="11">
        <f>SUMIFS('Molecules_Negative-ion mode'!R$4:R$390,'Molecules_Negative-ion mode'!$G$4:$G$390,'Lipid class level'!$B26)</f>
        <v>2474</v>
      </c>
      <c r="N26" s="11">
        <f>SUMIFS('Molecules_Negative-ion mode'!S$4:S$390,'Molecules_Negative-ion mode'!$G$4:$G$390,'Lipid class level'!$B26)</f>
        <v>1676</v>
      </c>
      <c r="O26" s="11">
        <f>SUMIFS('Molecules_Negative-ion mode'!T$4:T$390,'Molecules_Negative-ion mode'!$G$4:$G$390,'Lipid class level'!$B26)</f>
        <v>3769</v>
      </c>
      <c r="P26" s="11">
        <f>SUMIFS('Molecules_Negative-ion mode'!U$4:U$390,'Molecules_Negative-ion mode'!$G$4:$G$390,'Lipid class level'!$B26)</f>
        <v>2879</v>
      </c>
      <c r="Q26" s="11">
        <f>SUMIFS('Molecules_Negative-ion mode'!V$4:V$390,'Molecules_Negative-ion mode'!$G$4:$G$390,'Lipid class level'!$B26)</f>
        <v>2738</v>
      </c>
      <c r="R26" s="11">
        <f>SUMIFS('Molecules_Negative-ion mode'!W$4:W$390,'Molecules_Negative-ion mode'!$G$4:$G$390,'Lipid class level'!$B26)</f>
        <v>3680</v>
      </c>
      <c r="S26" s="11"/>
      <c r="T26" s="11">
        <f>SUMIFS('Molecules_Negative-ion mode'!Y$4:Y$390,'Molecules_Negative-ion mode'!$G$4:$G$390,'Lipid class level'!$B26)</f>
        <v>0</v>
      </c>
      <c r="U26" s="11">
        <f>SUMIFS('Molecules_Negative-ion mode'!Z$4:Z$390,'Molecules_Negative-ion mode'!$G$4:$G$390,'Lipid class level'!$B26)</f>
        <v>3066</v>
      </c>
      <c r="V26" s="11">
        <f>SUMIFS('Molecules_Negative-ion mode'!AA$4:AA$390,'Molecules_Negative-ion mode'!$G$4:$G$390,'Lipid class level'!$B26)</f>
        <v>2857</v>
      </c>
      <c r="W26" s="11">
        <f>SUMIFS('Molecules_Negative-ion mode'!AB$4:AB$390,'Molecules_Negative-ion mode'!$G$4:$G$390,'Lipid class level'!$B26)</f>
        <v>3688</v>
      </c>
      <c r="X26" s="17">
        <f t="shared" si="3"/>
        <v>0.13492867775465361</v>
      </c>
      <c r="Y26" s="11">
        <f t="shared" si="0"/>
        <v>3028.1428571428573</v>
      </c>
      <c r="Z26" s="11">
        <f t="shared" si="1"/>
        <v>2790.5714285714284</v>
      </c>
      <c r="AA26" s="28">
        <f t="shared" si="4"/>
        <v>0.92154550172194172</v>
      </c>
      <c r="AB26" s="42">
        <f t="shared" si="2"/>
        <v>0.52197733740666519</v>
      </c>
      <c r="AC26" s="14" t="str">
        <f t="shared" si="5"/>
        <v>-</v>
      </c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</row>
    <row r="27" spans="1:46" ht="27" customHeight="1" x14ac:dyDescent="0.2">
      <c r="A27" s="9" t="s">
        <v>356</v>
      </c>
      <c r="B27" s="12" t="s">
        <v>19</v>
      </c>
      <c r="C27" s="12">
        <f>COUNTIFS('Molecules_Negative-ion mode'!$G$4:$G$390,'Lipid class level'!$B27)</f>
        <v>21</v>
      </c>
      <c r="D27" s="11">
        <f>SUMIFS('Molecules_Negative-ion mode'!I$4:I$390,'Molecules_Negative-ion mode'!$G$4:$G$390,'Lipid class level'!$B27)</f>
        <v>1323693</v>
      </c>
      <c r="E27" s="11">
        <f>SUMIFS('Molecules_Negative-ion mode'!J$4:J$390,'Molecules_Negative-ion mode'!$G$4:$G$390,'Lipid class level'!$B27)</f>
        <v>1296505</v>
      </c>
      <c r="F27" s="11">
        <f>SUMIFS('Molecules_Negative-ion mode'!K$4:K$390,'Molecules_Negative-ion mode'!$G$4:$G$390,'Lipid class level'!$B27)</f>
        <v>1737724</v>
      </c>
      <c r="G27" s="11">
        <f>SUMIFS('Molecules_Negative-ion mode'!L$4:L$390,'Molecules_Negative-ion mode'!$G$4:$G$390,'Lipid class level'!$B27)</f>
        <v>1520880</v>
      </c>
      <c r="H27" s="11">
        <f>SUMIFS('Molecules_Negative-ion mode'!M$4:M$390,'Molecules_Negative-ion mode'!$G$4:$G$390,'Lipid class level'!$B27)</f>
        <v>1835041</v>
      </c>
      <c r="I27" s="11">
        <f>SUMIFS('Molecules_Negative-ion mode'!N$4:N$390,'Molecules_Negative-ion mode'!$G$4:$G$390,'Lipid class level'!$B27)</f>
        <v>1817617</v>
      </c>
      <c r="J27" s="11">
        <f>SUMIFS('Molecules_Negative-ion mode'!O$4:O$390,'Molecules_Negative-ion mode'!$G$4:$G$390,'Lipid class level'!$B27)</f>
        <v>2097981</v>
      </c>
      <c r="K27" s="11"/>
      <c r="L27" s="11">
        <f>SUMIFS('Molecules_Negative-ion mode'!Q$4:Q$390,'Molecules_Negative-ion mode'!$G$4:$G$390,'Lipid class level'!$B27)</f>
        <v>1269381</v>
      </c>
      <c r="M27" s="11">
        <f>SUMIFS('Molecules_Negative-ion mode'!R$4:R$390,'Molecules_Negative-ion mode'!$G$4:$G$390,'Lipid class level'!$B27)</f>
        <v>1460012</v>
      </c>
      <c r="N27" s="11">
        <f>SUMIFS('Molecules_Negative-ion mode'!S$4:S$390,'Molecules_Negative-ion mode'!$G$4:$G$390,'Lipid class level'!$B27)</f>
        <v>1205794</v>
      </c>
      <c r="O27" s="11">
        <f>SUMIFS('Molecules_Negative-ion mode'!T$4:T$390,'Molecules_Negative-ion mode'!$G$4:$G$390,'Lipid class level'!$B27)</f>
        <v>1657023</v>
      </c>
      <c r="P27" s="11">
        <f>SUMIFS('Molecules_Negative-ion mode'!U$4:U$390,'Molecules_Negative-ion mode'!$G$4:$G$390,'Lipid class level'!$B27)</f>
        <v>1517136</v>
      </c>
      <c r="Q27" s="11">
        <f>SUMIFS('Molecules_Negative-ion mode'!V$4:V$390,'Molecules_Negative-ion mode'!$G$4:$G$390,'Lipid class level'!$B27)</f>
        <v>1577160</v>
      </c>
      <c r="R27" s="11">
        <f>SUMIFS('Molecules_Negative-ion mode'!W$4:W$390,'Molecules_Negative-ion mode'!$G$4:$G$390,'Lipid class level'!$B27)</f>
        <v>1719416</v>
      </c>
      <c r="S27" s="11"/>
      <c r="T27" s="11">
        <f>SUMIFS('Molecules_Negative-ion mode'!Y$4:Y$390,'Molecules_Negative-ion mode'!$G$4:$G$390,'Lipid class level'!$B27)</f>
        <v>701</v>
      </c>
      <c r="U27" s="11">
        <f>SUMIFS('Molecules_Negative-ion mode'!Z$4:Z$390,'Molecules_Negative-ion mode'!$G$4:$G$390,'Lipid class level'!$B27)</f>
        <v>1564661</v>
      </c>
      <c r="V27" s="11">
        <f>SUMIFS('Molecules_Negative-ion mode'!AA$4:AA$390,'Molecules_Negative-ion mode'!$G$4:$G$390,'Lipid class level'!$B27)</f>
        <v>1555315</v>
      </c>
      <c r="W27" s="11">
        <f>SUMIFS('Molecules_Negative-ion mode'!AB$4:AB$390,'Molecules_Negative-ion mode'!$G$4:$G$390,'Lipid class level'!$B27)</f>
        <v>1838851</v>
      </c>
      <c r="X27" s="17">
        <f t="shared" si="3"/>
        <v>9.7444070767845795E-2</v>
      </c>
      <c r="Y27" s="11">
        <f t="shared" si="0"/>
        <v>1661348.7142857143</v>
      </c>
      <c r="Z27" s="11">
        <f t="shared" si="1"/>
        <v>1486560.2857142857</v>
      </c>
      <c r="AA27" s="28">
        <f t="shared" si="4"/>
        <v>0.89479124577011049</v>
      </c>
      <c r="AB27" s="42">
        <f t="shared" si="2"/>
        <v>0.21558192048928224</v>
      </c>
      <c r="AC27" s="14" t="str">
        <f t="shared" si="5"/>
        <v>-</v>
      </c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</row>
    <row r="28" spans="1:46" ht="27" customHeight="1" x14ac:dyDescent="0.2">
      <c r="A28" s="9" t="s">
        <v>356</v>
      </c>
      <c r="B28" s="12" t="s">
        <v>15</v>
      </c>
      <c r="C28" s="12">
        <f>COUNTIFS('Molecules_Negative-ion mode'!$G$4:$G$390,'Lipid class level'!$B28)</f>
        <v>27</v>
      </c>
      <c r="D28" s="11">
        <f>SUMIFS('Molecules_Negative-ion mode'!I$4:I$390,'Molecules_Negative-ion mode'!$G$4:$G$390,'Lipid class level'!$B28)</f>
        <v>2947369</v>
      </c>
      <c r="E28" s="11">
        <f>SUMIFS('Molecules_Negative-ion mode'!J$4:J$390,'Molecules_Negative-ion mode'!$G$4:$G$390,'Lipid class level'!$B28)</f>
        <v>2847175</v>
      </c>
      <c r="F28" s="11">
        <f>SUMIFS('Molecules_Negative-ion mode'!K$4:K$390,'Molecules_Negative-ion mode'!$G$4:$G$390,'Lipid class level'!$B28)</f>
        <v>3225762</v>
      </c>
      <c r="G28" s="11">
        <f>SUMIFS('Molecules_Negative-ion mode'!L$4:L$390,'Molecules_Negative-ion mode'!$G$4:$G$390,'Lipid class level'!$B28)</f>
        <v>2525927</v>
      </c>
      <c r="H28" s="11">
        <f>SUMIFS('Molecules_Negative-ion mode'!M$4:M$390,'Molecules_Negative-ion mode'!$G$4:$G$390,'Lipid class level'!$B28)</f>
        <v>2828555</v>
      </c>
      <c r="I28" s="11">
        <f>SUMIFS('Molecules_Negative-ion mode'!N$4:N$390,'Molecules_Negative-ion mode'!$G$4:$G$390,'Lipid class level'!$B28)</f>
        <v>3443225</v>
      </c>
      <c r="J28" s="11">
        <f>SUMIFS('Molecules_Negative-ion mode'!O$4:O$390,'Molecules_Negative-ion mode'!$G$4:$G$390,'Lipid class level'!$B28)</f>
        <v>3518937</v>
      </c>
      <c r="K28" s="11"/>
      <c r="L28" s="11">
        <f>SUMIFS('Molecules_Negative-ion mode'!Q$4:Q$390,'Molecules_Negative-ion mode'!$G$4:$G$390,'Lipid class level'!$B28)</f>
        <v>2820112</v>
      </c>
      <c r="M28" s="11">
        <f>SUMIFS('Molecules_Negative-ion mode'!R$4:R$390,'Molecules_Negative-ion mode'!$G$4:$G$390,'Lipid class level'!$B28)</f>
        <v>3313503</v>
      </c>
      <c r="N28" s="11">
        <f>SUMIFS('Molecules_Negative-ion mode'!S$4:S$390,'Molecules_Negative-ion mode'!$G$4:$G$390,'Lipid class level'!$B28)</f>
        <v>2857162</v>
      </c>
      <c r="O28" s="11">
        <f>SUMIFS('Molecules_Negative-ion mode'!T$4:T$390,'Molecules_Negative-ion mode'!$G$4:$G$390,'Lipid class level'!$B28)</f>
        <v>3450528</v>
      </c>
      <c r="P28" s="11">
        <f>SUMIFS('Molecules_Negative-ion mode'!U$4:U$390,'Molecules_Negative-ion mode'!$G$4:$G$390,'Lipid class level'!$B28)</f>
        <v>3429180</v>
      </c>
      <c r="Q28" s="11">
        <f>SUMIFS('Molecules_Negative-ion mode'!V$4:V$390,'Molecules_Negative-ion mode'!$G$4:$G$390,'Lipid class level'!$B28)</f>
        <v>3423665</v>
      </c>
      <c r="R28" s="11">
        <f>SUMIFS('Molecules_Negative-ion mode'!W$4:W$390,'Molecules_Negative-ion mode'!$G$4:$G$390,'Lipid class level'!$B28)</f>
        <v>3907760</v>
      </c>
      <c r="S28" s="11"/>
      <c r="T28" s="11">
        <f>SUMIFS('Molecules_Negative-ion mode'!Y$4:Y$390,'Molecules_Negative-ion mode'!$G$4:$G$390,'Lipid class level'!$B28)</f>
        <v>6967</v>
      </c>
      <c r="U28" s="11">
        <f>SUMIFS('Molecules_Negative-ion mode'!Z$4:Z$390,'Molecules_Negative-ion mode'!$G$4:$G$390,'Lipid class level'!$B28)</f>
        <v>3107114</v>
      </c>
      <c r="V28" s="11">
        <f>SUMIFS('Molecules_Negative-ion mode'!AA$4:AA$390,'Molecules_Negative-ion mode'!$G$4:$G$390,'Lipid class level'!$B28)</f>
        <v>3257468</v>
      </c>
      <c r="W28" s="11">
        <f>SUMIFS('Molecules_Negative-ion mode'!AB$4:AB$390,'Molecules_Negative-ion mode'!$G$4:$G$390,'Lipid class level'!$B28)</f>
        <v>3604350</v>
      </c>
      <c r="X28" s="17">
        <f t="shared" si="3"/>
        <v>7.6741074706769108E-2</v>
      </c>
      <c r="Y28" s="11">
        <f t="shared" si="0"/>
        <v>3048135.7142857141</v>
      </c>
      <c r="Z28" s="11">
        <f t="shared" si="1"/>
        <v>3314558.5714285714</v>
      </c>
      <c r="AA28" s="28">
        <f t="shared" si="4"/>
        <v>1.0874051820902237</v>
      </c>
      <c r="AB28" s="42">
        <f t="shared" si="2"/>
        <v>0.2012117040173271</v>
      </c>
      <c r="AC28" s="14" t="str">
        <f t="shared" si="5"/>
        <v>-</v>
      </c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</row>
    <row r="29" spans="1:46" ht="27" customHeight="1" x14ac:dyDescent="0.2">
      <c r="A29" s="9" t="s">
        <v>356</v>
      </c>
      <c r="B29" s="12" t="s">
        <v>227</v>
      </c>
      <c r="C29" s="12">
        <f>COUNTIFS('Molecules_Negative-ion mode'!$G$4:$G$390,'Lipid class level'!$B29)</f>
        <v>5</v>
      </c>
      <c r="D29" s="11">
        <f>SUMIFS('Molecules_Negative-ion mode'!I$4:I$390,'Molecules_Negative-ion mode'!$G$4:$G$390,'Lipid class level'!$B29)</f>
        <v>14863</v>
      </c>
      <c r="E29" s="11">
        <f>SUMIFS('Molecules_Negative-ion mode'!J$4:J$390,'Molecules_Negative-ion mode'!$G$4:$G$390,'Lipid class level'!$B29)</f>
        <v>18629</v>
      </c>
      <c r="F29" s="11">
        <f>SUMIFS('Molecules_Negative-ion mode'!K$4:K$390,'Molecules_Negative-ion mode'!$G$4:$G$390,'Lipid class level'!$B29)</f>
        <v>11850</v>
      </c>
      <c r="G29" s="11">
        <f>SUMIFS('Molecules_Negative-ion mode'!L$4:L$390,'Molecules_Negative-ion mode'!$G$4:$G$390,'Lipid class level'!$B29)</f>
        <v>9889</v>
      </c>
      <c r="H29" s="11">
        <f>SUMIFS('Molecules_Negative-ion mode'!M$4:M$390,'Molecules_Negative-ion mode'!$G$4:$G$390,'Lipid class level'!$B29)</f>
        <v>17972</v>
      </c>
      <c r="I29" s="11">
        <f>SUMIFS('Molecules_Negative-ion mode'!N$4:N$390,'Molecules_Negative-ion mode'!$G$4:$G$390,'Lipid class level'!$B29)</f>
        <v>22605</v>
      </c>
      <c r="J29" s="11">
        <f>SUMIFS('Molecules_Negative-ion mode'!O$4:O$390,'Molecules_Negative-ion mode'!$G$4:$G$390,'Lipid class level'!$B29)</f>
        <v>21593</v>
      </c>
      <c r="K29" s="11"/>
      <c r="L29" s="11">
        <f>SUMIFS('Molecules_Negative-ion mode'!Q$4:Q$390,'Molecules_Negative-ion mode'!$G$4:$G$390,'Lipid class level'!$B29)</f>
        <v>17552</v>
      </c>
      <c r="M29" s="11">
        <f>SUMIFS('Molecules_Negative-ion mode'!R$4:R$390,'Molecules_Negative-ion mode'!$G$4:$G$390,'Lipid class level'!$B29)</f>
        <v>28697</v>
      </c>
      <c r="N29" s="11">
        <f>SUMIFS('Molecules_Negative-ion mode'!S$4:S$390,'Molecules_Negative-ion mode'!$G$4:$G$390,'Lipid class level'!$B29)</f>
        <v>11200</v>
      </c>
      <c r="O29" s="11">
        <f>SUMIFS('Molecules_Negative-ion mode'!T$4:T$390,'Molecules_Negative-ion mode'!$G$4:$G$390,'Lipid class level'!$B29)</f>
        <v>18706</v>
      </c>
      <c r="P29" s="11">
        <f>SUMIFS('Molecules_Negative-ion mode'!U$4:U$390,'Molecules_Negative-ion mode'!$G$4:$G$390,'Lipid class level'!$B29)</f>
        <v>18693</v>
      </c>
      <c r="Q29" s="11">
        <f>SUMIFS('Molecules_Negative-ion mode'!V$4:V$390,'Molecules_Negative-ion mode'!$G$4:$G$390,'Lipid class level'!$B29)</f>
        <v>18108</v>
      </c>
      <c r="R29" s="11">
        <f>SUMIFS('Molecules_Negative-ion mode'!W$4:W$390,'Molecules_Negative-ion mode'!$G$4:$G$390,'Lipid class level'!$B29)</f>
        <v>23214</v>
      </c>
      <c r="S29" s="11"/>
      <c r="T29" s="11">
        <f>SUMIFS('Molecules_Negative-ion mode'!Y$4:Y$390,'Molecules_Negative-ion mode'!$G$4:$G$390,'Lipid class level'!$B29)</f>
        <v>102</v>
      </c>
      <c r="U29" s="11">
        <f>SUMIFS('Molecules_Negative-ion mode'!Z$4:Z$390,'Molecules_Negative-ion mode'!$G$4:$G$390,'Lipid class level'!$B29)</f>
        <v>17376</v>
      </c>
      <c r="V29" s="11">
        <f>SUMIFS('Molecules_Negative-ion mode'!AA$4:AA$390,'Molecules_Negative-ion mode'!$G$4:$G$390,'Lipid class level'!$B29)</f>
        <v>18180</v>
      </c>
      <c r="W29" s="11">
        <f>SUMIFS('Molecules_Negative-ion mode'!AB$4:AB$390,'Molecules_Negative-ion mode'!$G$4:$G$390,'Lipid class level'!$B29)</f>
        <v>19389</v>
      </c>
      <c r="X29" s="17">
        <f t="shared" si="3"/>
        <v>5.5324460108967279E-2</v>
      </c>
      <c r="Y29" s="11">
        <f t="shared" si="0"/>
        <v>16771.571428571428</v>
      </c>
      <c r="Z29" s="11">
        <f t="shared" si="1"/>
        <v>19452.857142857141</v>
      </c>
      <c r="AA29" s="28">
        <f t="shared" si="4"/>
        <v>1.1598708699244469</v>
      </c>
      <c r="AB29" s="42">
        <f t="shared" si="2"/>
        <v>0.34467019085114881</v>
      </c>
      <c r="AC29" s="14" t="str">
        <f t="shared" si="5"/>
        <v>-</v>
      </c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</row>
    <row r="30" spans="1:46" ht="27" customHeight="1" x14ac:dyDescent="0.2">
      <c r="A30" s="9" t="s">
        <v>356</v>
      </c>
      <c r="B30" s="12" t="s">
        <v>21</v>
      </c>
      <c r="C30" s="12">
        <f>COUNTIFS('Molecules_Negative-ion mode'!$G$4:$G$390,'Lipid class level'!$B30)</f>
        <v>24</v>
      </c>
      <c r="D30" s="11">
        <f>SUMIFS('Molecules_Negative-ion mode'!I$4:I$390,'Molecules_Negative-ion mode'!$G$4:$G$390,'Lipid class level'!$B30)</f>
        <v>837241</v>
      </c>
      <c r="E30" s="11">
        <f>SUMIFS('Molecules_Negative-ion mode'!J$4:J$390,'Molecules_Negative-ion mode'!$G$4:$G$390,'Lipid class level'!$B30)</f>
        <v>808524</v>
      </c>
      <c r="F30" s="11">
        <f>SUMIFS('Molecules_Negative-ion mode'!K$4:K$390,'Molecules_Negative-ion mode'!$G$4:$G$390,'Lipid class level'!$B30)</f>
        <v>1034739</v>
      </c>
      <c r="G30" s="11">
        <f>SUMIFS('Molecules_Negative-ion mode'!L$4:L$390,'Molecules_Negative-ion mode'!$G$4:$G$390,'Lipid class level'!$B30)</f>
        <v>868614</v>
      </c>
      <c r="H30" s="11">
        <f>SUMIFS('Molecules_Negative-ion mode'!M$4:M$390,'Molecules_Negative-ion mode'!$G$4:$G$390,'Lipid class level'!$B30)</f>
        <v>960362</v>
      </c>
      <c r="I30" s="11">
        <f>SUMIFS('Molecules_Negative-ion mode'!N$4:N$390,'Molecules_Negative-ion mode'!$G$4:$G$390,'Lipid class level'!$B30)</f>
        <v>1001488</v>
      </c>
      <c r="J30" s="11">
        <f>SUMIFS('Molecules_Negative-ion mode'!O$4:O$390,'Molecules_Negative-ion mode'!$G$4:$G$390,'Lipid class level'!$B30)</f>
        <v>1207468</v>
      </c>
      <c r="K30" s="11"/>
      <c r="L30" s="11">
        <f>SUMIFS('Molecules_Negative-ion mode'!Q$4:Q$390,'Molecules_Negative-ion mode'!$G$4:$G$390,'Lipid class level'!$B30)</f>
        <v>968502</v>
      </c>
      <c r="M30" s="11">
        <f>SUMIFS('Molecules_Negative-ion mode'!R$4:R$390,'Molecules_Negative-ion mode'!$G$4:$G$390,'Lipid class level'!$B30)</f>
        <v>1041732</v>
      </c>
      <c r="N30" s="11">
        <f>SUMIFS('Molecules_Negative-ion mode'!S$4:S$390,'Molecules_Negative-ion mode'!$G$4:$G$390,'Lipid class level'!$B30)</f>
        <v>922449</v>
      </c>
      <c r="O30" s="11">
        <f>SUMIFS('Molecules_Negative-ion mode'!T$4:T$390,'Molecules_Negative-ion mode'!$G$4:$G$390,'Lipid class level'!$B30)</f>
        <v>1134727</v>
      </c>
      <c r="P30" s="11">
        <f>SUMIFS('Molecules_Negative-ion mode'!U$4:U$390,'Molecules_Negative-ion mode'!$G$4:$G$390,'Lipid class level'!$B30)</f>
        <v>1190215</v>
      </c>
      <c r="Q30" s="11">
        <f>SUMIFS('Molecules_Negative-ion mode'!V$4:V$390,'Molecules_Negative-ion mode'!$G$4:$G$390,'Lipid class level'!$B30)</f>
        <v>1107733</v>
      </c>
      <c r="R30" s="11">
        <f>SUMIFS('Molecules_Negative-ion mode'!W$4:W$390,'Molecules_Negative-ion mode'!$G$4:$G$390,'Lipid class level'!$B30)</f>
        <v>1291148</v>
      </c>
      <c r="S30" s="11"/>
      <c r="T30" s="11">
        <f>SUMIFS('Molecules_Negative-ion mode'!Y$4:Y$390,'Molecules_Negative-ion mode'!$G$4:$G$390,'Lipid class level'!$B30)</f>
        <v>1608</v>
      </c>
      <c r="U30" s="11">
        <f>SUMIFS('Molecules_Negative-ion mode'!Z$4:Z$390,'Molecules_Negative-ion mode'!$G$4:$G$390,'Lipid class level'!$B30)</f>
        <v>1057591</v>
      </c>
      <c r="V30" s="11">
        <f>SUMIFS('Molecules_Negative-ion mode'!AA$4:AA$390,'Molecules_Negative-ion mode'!$G$4:$G$390,'Lipid class level'!$B30)</f>
        <v>1058858</v>
      </c>
      <c r="W30" s="11">
        <f>SUMIFS('Molecules_Negative-ion mode'!AB$4:AB$390,'Molecules_Negative-ion mode'!$G$4:$G$390,'Lipid class level'!$B30)</f>
        <v>1177208</v>
      </c>
      <c r="X30" s="17">
        <f t="shared" si="3"/>
        <v>6.2573070052079877E-2</v>
      </c>
      <c r="Y30" s="11">
        <f t="shared" si="0"/>
        <v>959776.57142857148</v>
      </c>
      <c r="Z30" s="11">
        <f t="shared" si="1"/>
        <v>1093786.5714285714</v>
      </c>
      <c r="AA30" s="28">
        <f t="shared" si="4"/>
        <v>1.1396262463466198</v>
      </c>
      <c r="AB30" s="42">
        <f t="shared" si="2"/>
        <v>8.4362951464024769E-2</v>
      </c>
      <c r="AC30" s="14" t="str">
        <f t="shared" si="5"/>
        <v>-</v>
      </c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</row>
    <row r="31" spans="1:46" ht="27" customHeight="1" x14ac:dyDescent="0.2">
      <c r="A31" s="9" t="s">
        <v>356</v>
      </c>
      <c r="B31" s="12" t="s">
        <v>28</v>
      </c>
      <c r="C31" s="12">
        <f>COUNTIFS('Molecules_Negative-ion mode'!$G$4:$G$390,'Lipid class level'!$B31)</f>
        <v>12</v>
      </c>
      <c r="D31" s="11">
        <f>SUMIFS('Molecules_Negative-ion mode'!I$4:I$390,'Molecules_Negative-ion mode'!$G$4:$G$390,'Lipid class level'!$B31)</f>
        <v>428743</v>
      </c>
      <c r="E31" s="11">
        <f>SUMIFS('Molecules_Negative-ion mode'!J$4:J$390,'Molecules_Negative-ion mode'!$G$4:$G$390,'Lipid class level'!$B31)</f>
        <v>405825</v>
      </c>
      <c r="F31" s="11">
        <f>SUMIFS('Molecules_Negative-ion mode'!K$4:K$390,'Molecules_Negative-ion mode'!$G$4:$G$390,'Lipid class level'!$B31)</f>
        <v>511875</v>
      </c>
      <c r="G31" s="11">
        <f>SUMIFS('Molecules_Negative-ion mode'!L$4:L$390,'Molecules_Negative-ion mode'!$G$4:$G$390,'Lipid class level'!$B31)</f>
        <v>493786</v>
      </c>
      <c r="H31" s="11">
        <f>SUMIFS('Molecules_Negative-ion mode'!M$4:M$390,'Molecules_Negative-ion mode'!$G$4:$G$390,'Lipid class level'!$B31)</f>
        <v>515765</v>
      </c>
      <c r="I31" s="11">
        <f>SUMIFS('Molecules_Negative-ion mode'!N$4:N$390,'Molecules_Negative-ion mode'!$G$4:$G$390,'Lipid class level'!$B31)</f>
        <v>498658</v>
      </c>
      <c r="J31" s="11">
        <f>SUMIFS('Molecules_Negative-ion mode'!O$4:O$390,'Molecules_Negative-ion mode'!$G$4:$G$390,'Lipid class level'!$B31)</f>
        <v>657681</v>
      </c>
      <c r="K31" s="11"/>
      <c r="L31" s="11">
        <f>SUMIFS('Molecules_Negative-ion mode'!Q$4:Q$390,'Molecules_Negative-ion mode'!$G$4:$G$390,'Lipid class level'!$B31)</f>
        <v>548989</v>
      </c>
      <c r="M31" s="11">
        <f>SUMIFS('Molecules_Negative-ion mode'!R$4:R$390,'Molecules_Negative-ion mode'!$G$4:$G$390,'Lipid class level'!$B31)</f>
        <v>564535</v>
      </c>
      <c r="N31" s="11">
        <f>SUMIFS('Molecules_Negative-ion mode'!S$4:S$390,'Molecules_Negative-ion mode'!$G$4:$G$390,'Lipid class level'!$B31)</f>
        <v>385561</v>
      </c>
      <c r="O31" s="11">
        <f>SUMIFS('Molecules_Negative-ion mode'!T$4:T$390,'Molecules_Negative-ion mode'!$G$4:$G$390,'Lipid class level'!$B31)</f>
        <v>647421</v>
      </c>
      <c r="P31" s="11">
        <f>SUMIFS('Molecules_Negative-ion mode'!U$4:U$390,'Molecules_Negative-ion mode'!$G$4:$G$390,'Lipid class level'!$B31)</f>
        <v>690950</v>
      </c>
      <c r="Q31" s="11">
        <f>SUMIFS('Molecules_Negative-ion mode'!V$4:V$390,'Molecules_Negative-ion mode'!$G$4:$G$390,'Lipid class level'!$B31)</f>
        <v>539201</v>
      </c>
      <c r="R31" s="11">
        <f>SUMIFS('Molecules_Negative-ion mode'!W$4:W$390,'Molecules_Negative-ion mode'!$G$4:$G$390,'Lipid class level'!$B31)</f>
        <v>769130</v>
      </c>
      <c r="S31" s="11"/>
      <c r="T31" s="11">
        <f>SUMIFS('Molecules_Negative-ion mode'!Y$4:Y$390,'Molecules_Negative-ion mode'!$G$4:$G$390,'Lipid class level'!$B31)</f>
        <v>709</v>
      </c>
      <c r="U31" s="11">
        <f>SUMIFS('Molecules_Negative-ion mode'!Z$4:Z$390,'Molecules_Negative-ion mode'!$G$4:$G$390,'Lipid class level'!$B31)</f>
        <v>555269</v>
      </c>
      <c r="V31" s="11">
        <f>SUMIFS('Molecules_Negative-ion mode'!AA$4:AA$390,'Molecules_Negative-ion mode'!$G$4:$G$390,'Lipid class level'!$B31)</f>
        <v>601197</v>
      </c>
      <c r="W31" s="11">
        <f>SUMIFS('Molecules_Negative-ion mode'!AB$4:AB$390,'Molecules_Negative-ion mode'!$G$4:$G$390,'Lipid class level'!$B31)</f>
        <v>636857</v>
      </c>
      <c r="X31" s="17">
        <f t="shared" si="3"/>
        <v>6.8423053957162944E-2</v>
      </c>
      <c r="Y31" s="11">
        <f t="shared" si="0"/>
        <v>501761.85714285716</v>
      </c>
      <c r="Z31" s="11">
        <f t="shared" si="1"/>
        <v>592255.28571428568</v>
      </c>
      <c r="AA31" s="28">
        <f t="shared" si="4"/>
        <v>1.180351350512608</v>
      </c>
      <c r="AB31" s="42">
        <f t="shared" si="2"/>
        <v>0.13589746495854413</v>
      </c>
      <c r="AC31" s="14" t="str">
        <f t="shared" si="5"/>
        <v>-</v>
      </c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</row>
    <row r="32" spans="1:46" ht="27" customHeight="1" x14ac:dyDescent="0.2">
      <c r="A32" s="9" t="s">
        <v>356</v>
      </c>
      <c r="B32" s="12" t="s">
        <v>112</v>
      </c>
      <c r="C32" s="12">
        <f>COUNTIFS('Molecules_Negative-ion mode'!$G$4:$G$390,'Lipid class level'!$B32)</f>
        <v>5</v>
      </c>
      <c r="D32" s="11">
        <f>SUMIFS('Molecules_Negative-ion mode'!I$4:I$390,'Molecules_Negative-ion mode'!$G$4:$G$390,'Lipid class level'!$B32)</f>
        <v>20825</v>
      </c>
      <c r="E32" s="11">
        <f>SUMIFS('Molecules_Negative-ion mode'!J$4:J$390,'Molecules_Negative-ion mode'!$G$4:$G$390,'Lipid class level'!$B32)</f>
        <v>19140</v>
      </c>
      <c r="F32" s="11">
        <f>SUMIFS('Molecules_Negative-ion mode'!K$4:K$390,'Molecules_Negative-ion mode'!$G$4:$G$390,'Lipid class level'!$B32)</f>
        <v>31422</v>
      </c>
      <c r="G32" s="11">
        <f>SUMIFS('Molecules_Negative-ion mode'!L$4:L$390,'Molecules_Negative-ion mode'!$G$4:$G$390,'Lipid class level'!$B32)</f>
        <v>28723</v>
      </c>
      <c r="H32" s="11">
        <f>SUMIFS('Molecules_Negative-ion mode'!M$4:M$390,'Molecules_Negative-ion mode'!$G$4:$G$390,'Lipid class level'!$B32)</f>
        <v>30955</v>
      </c>
      <c r="I32" s="11">
        <f>SUMIFS('Molecules_Negative-ion mode'!N$4:N$390,'Molecules_Negative-ion mode'!$G$4:$G$390,'Lipid class level'!$B32)</f>
        <v>26617</v>
      </c>
      <c r="J32" s="11">
        <f>SUMIFS('Molecules_Negative-ion mode'!O$4:O$390,'Molecules_Negative-ion mode'!$G$4:$G$390,'Lipid class level'!$B32)</f>
        <v>34756</v>
      </c>
      <c r="K32" s="11"/>
      <c r="L32" s="11">
        <f>SUMIFS('Molecules_Negative-ion mode'!Q$4:Q$390,'Molecules_Negative-ion mode'!$G$4:$G$390,'Lipid class level'!$B32)</f>
        <v>33769</v>
      </c>
      <c r="M32" s="11">
        <f>SUMIFS('Molecules_Negative-ion mode'!R$4:R$390,'Molecules_Negative-ion mode'!$G$4:$G$390,'Lipid class level'!$B32)</f>
        <v>30380</v>
      </c>
      <c r="N32" s="11">
        <f>SUMIFS('Molecules_Negative-ion mode'!S$4:S$390,'Molecules_Negative-ion mode'!$G$4:$G$390,'Lipid class level'!$B32)</f>
        <v>31319</v>
      </c>
      <c r="O32" s="11">
        <f>SUMIFS('Molecules_Negative-ion mode'!T$4:T$390,'Molecules_Negative-ion mode'!$G$4:$G$390,'Lipid class level'!$B32)</f>
        <v>41202</v>
      </c>
      <c r="P32" s="11">
        <f>SUMIFS('Molecules_Negative-ion mode'!U$4:U$390,'Molecules_Negative-ion mode'!$G$4:$G$390,'Lipid class level'!$B32)</f>
        <v>41566</v>
      </c>
      <c r="Q32" s="11">
        <f>SUMIFS('Molecules_Negative-ion mode'!V$4:V$390,'Molecules_Negative-ion mode'!$G$4:$G$390,'Lipid class level'!$B32)</f>
        <v>41376</v>
      </c>
      <c r="R32" s="11">
        <f>SUMIFS('Molecules_Negative-ion mode'!W$4:W$390,'Molecules_Negative-ion mode'!$G$4:$G$390,'Lipid class level'!$B32)</f>
        <v>46541</v>
      </c>
      <c r="S32" s="11"/>
      <c r="T32" s="11">
        <f>SUMIFS('Molecules_Negative-ion mode'!Y$4:Y$390,'Molecules_Negative-ion mode'!$G$4:$G$390,'Lipid class level'!$B32)</f>
        <v>83</v>
      </c>
      <c r="U32" s="11">
        <f>SUMIFS('Molecules_Negative-ion mode'!Z$4:Z$390,'Molecules_Negative-ion mode'!$G$4:$G$390,'Lipid class level'!$B32)</f>
        <v>31091</v>
      </c>
      <c r="V32" s="11">
        <f>SUMIFS('Molecules_Negative-ion mode'!AA$4:AA$390,'Molecules_Negative-ion mode'!$G$4:$G$390,'Lipid class level'!$B32)</f>
        <v>37756</v>
      </c>
      <c r="W32" s="11">
        <f>SUMIFS('Molecules_Negative-ion mode'!AB$4:AB$390,'Molecules_Negative-ion mode'!$G$4:$G$390,'Lipid class level'!$B32)</f>
        <v>38571</v>
      </c>
      <c r="X32" s="17">
        <f t="shared" si="3"/>
        <v>0.11460629330006429</v>
      </c>
      <c r="Y32" s="11">
        <f t="shared" si="0"/>
        <v>27491.142857142859</v>
      </c>
      <c r="Z32" s="11">
        <f t="shared" si="1"/>
        <v>38021.857142857145</v>
      </c>
      <c r="AA32" s="28">
        <f t="shared" si="4"/>
        <v>1.3830584396013261</v>
      </c>
      <c r="AB32" s="42">
        <f t="shared" si="2"/>
        <v>6.2434639468878462E-3</v>
      </c>
      <c r="AC32" s="14" t="str">
        <f t="shared" si="5"/>
        <v>**</v>
      </c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</row>
    <row r="33" spans="1:46" ht="27" customHeight="1" x14ac:dyDescent="0.2">
      <c r="A33" s="9" t="s">
        <v>356</v>
      </c>
      <c r="B33" s="12" t="s">
        <v>160</v>
      </c>
      <c r="C33" s="12">
        <f>COUNTIFS('Molecules_Negative-ion mode'!$G$4:$G$390,'Lipid class level'!$B33)</f>
        <v>5</v>
      </c>
      <c r="D33" s="11">
        <f>SUMIFS('Molecules_Negative-ion mode'!I$4:I$390,'Molecules_Negative-ion mode'!$G$4:$G$390,'Lipid class level'!$B33)</f>
        <v>20853</v>
      </c>
      <c r="E33" s="11">
        <f>SUMIFS('Molecules_Negative-ion mode'!J$4:J$390,'Molecules_Negative-ion mode'!$G$4:$G$390,'Lipid class level'!$B33)</f>
        <v>22884</v>
      </c>
      <c r="F33" s="11">
        <f>SUMIFS('Molecules_Negative-ion mode'!K$4:K$390,'Molecules_Negative-ion mode'!$G$4:$G$390,'Lipid class level'!$B33)</f>
        <v>20231</v>
      </c>
      <c r="G33" s="11">
        <f>SUMIFS('Molecules_Negative-ion mode'!L$4:L$390,'Molecules_Negative-ion mode'!$G$4:$G$390,'Lipid class level'!$B33)</f>
        <v>17175</v>
      </c>
      <c r="H33" s="11">
        <f>SUMIFS('Molecules_Negative-ion mode'!M$4:M$390,'Molecules_Negative-ion mode'!$G$4:$G$390,'Lipid class level'!$B33)</f>
        <v>17299</v>
      </c>
      <c r="I33" s="11">
        <f>SUMIFS('Molecules_Negative-ion mode'!N$4:N$390,'Molecules_Negative-ion mode'!$G$4:$G$390,'Lipid class level'!$B33)</f>
        <v>24647</v>
      </c>
      <c r="J33" s="11">
        <f>SUMIFS('Molecules_Negative-ion mode'!O$4:O$390,'Molecules_Negative-ion mode'!$G$4:$G$390,'Lipid class level'!$B33)</f>
        <v>21085</v>
      </c>
      <c r="K33" s="11"/>
      <c r="L33" s="11">
        <f>SUMIFS('Molecules_Negative-ion mode'!Q$4:Q$390,'Molecules_Negative-ion mode'!$G$4:$G$390,'Lipid class level'!$B33)</f>
        <v>15790</v>
      </c>
      <c r="M33" s="11">
        <f>SUMIFS('Molecules_Negative-ion mode'!R$4:R$390,'Molecules_Negative-ion mode'!$G$4:$G$390,'Lipid class level'!$B33)</f>
        <v>15801</v>
      </c>
      <c r="N33" s="11">
        <f>SUMIFS('Molecules_Negative-ion mode'!S$4:S$390,'Molecules_Negative-ion mode'!$G$4:$G$390,'Lipid class level'!$B33)</f>
        <v>22917</v>
      </c>
      <c r="O33" s="11">
        <f>SUMIFS('Molecules_Negative-ion mode'!T$4:T$390,'Molecules_Negative-ion mode'!$G$4:$G$390,'Lipid class level'!$B33)</f>
        <v>23398</v>
      </c>
      <c r="P33" s="11">
        <f>SUMIFS('Molecules_Negative-ion mode'!U$4:U$390,'Molecules_Negative-ion mode'!$G$4:$G$390,'Lipid class level'!$B33)</f>
        <v>21069</v>
      </c>
      <c r="Q33" s="11">
        <f>SUMIFS('Molecules_Negative-ion mode'!V$4:V$390,'Molecules_Negative-ion mode'!$G$4:$G$390,'Lipid class level'!$B33)</f>
        <v>23276</v>
      </c>
      <c r="R33" s="11">
        <f>SUMIFS('Molecules_Negative-ion mode'!W$4:W$390,'Molecules_Negative-ion mode'!$G$4:$G$390,'Lipid class level'!$B33)</f>
        <v>18143</v>
      </c>
      <c r="S33" s="11"/>
      <c r="T33" s="11">
        <f>SUMIFS('Molecules_Negative-ion mode'!Y$4:Y$390,'Molecules_Negative-ion mode'!$G$4:$G$390,'Lipid class level'!$B33)</f>
        <v>0</v>
      </c>
      <c r="U33" s="11">
        <f>SUMIFS('Molecules_Negative-ion mode'!Z$4:Z$390,'Molecules_Negative-ion mode'!$G$4:$G$390,'Lipid class level'!$B33)</f>
        <v>19896</v>
      </c>
      <c r="V33" s="11">
        <f>SUMIFS('Molecules_Negative-ion mode'!AA$4:AA$390,'Molecules_Negative-ion mode'!$G$4:$G$390,'Lipid class level'!$B33)</f>
        <v>22546</v>
      </c>
      <c r="W33" s="11">
        <f>SUMIFS('Molecules_Negative-ion mode'!AB$4:AB$390,'Molecules_Negative-ion mode'!$G$4:$G$390,'Lipid class level'!$B33)</f>
        <v>20489</v>
      </c>
      <c r="X33" s="17">
        <f t="shared" si="3"/>
        <v>6.6299616462897684E-2</v>
      </c>
      <c r="Y33" s="11">
        <f t="shared" si="0"/>
        <v>20596.285714285714</v>
      </c>
      <c r="Z33" s="11">
        <f t="shared" si="1"/>
        <v>20056.285714285714</v>
      </c>
      <c r="AA33" s="28">
        <f t="shared" si="4"/>
        <v>0.97378168046943281</v>
      </c>
      <c r="AB33" s="42">
        <f t="shared" si="2"/>
        <v>0.75045691775868628</v>
      </c>
      <c r="AC33" s="14" t="str">
        <f t="shared" si="5"/>
        <v>-</v>
      </c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</row>
    <row r="34" spans="1:46" ht="27" customHeight="1" x14ac:dyDescent="0.2">
      <c r="A34" s="9" t="s">
        <v>356</v>
      </c>
      <c r="B34" s="12" t="s">
        <v>233</v>
      </c>
      <c r="C34" s="12">
        <f>COUNTIFS('Molecules_Negative-ion mode'!$G$4:$G$390,'Lipid class level'!$B34)</f>
        <v>4</v>
      </c>
      <c r="D34" s="11">
        <f>SUMIFS('Molecules_Negative-ion mode'!I$4:I$390,'Molecules_Negative-ion mode'!$G$4:$G$390,'Lipid class level'!$B34)</f>
        <v>4077</v>
      </c>
      <c r="E34" s="11">
        <f>SUMIFS('Molecules_Negative-ion mode'!J$4:J$390,'Molecules_Negative-ion mode'!$G$4:$G$390,'Lipid class level'!$B34)</f>
        <v>3493</v>
      </c>
      <c r="F34" s="11">
        <f>SUMIFS('Molecules_Negative-ion mode'!K$4:K$390,'Molecules_Negative-ion mode'!$G$4:$G$390,'Lipid class level'!$B34)</f>
        <v>2266</v>
      </c>
      <c r="G34" s="11">
        <f>SUMIFS('Molecules_Negative-ion mode'!L$4:L$390,'Molecules_Negative-ion mode'!$G$4:$G$390,'Lipid class level'!$B34)</f>
        <v>3490</v>
      </c>
      <c r="H34" s="11">
        <f>SUMIFS('Molecules_Negative-ion mode'!M$4:M$390,'Molecules_Negative-ion mode'!$G$4:$G$390,'Lipid class level'!$B34)</f>
        <v>3175</v>
      </c>
      <c r="I34" s="11">
        <f>SUMIFS('Molecules_Negative-ion mode'!N$4:N$390,'Molecules_Negative-ion mode'!$G$4:$G$390,'Lipid class level'!$B34)</f>
        <v>5487</v>
      </c>
      <c r="J34" s="11">
        <f>SUMIFS('Molecules_Negative-ion mode'!O$4:O$390,'Molecules_Negative-ion mode'!$G$4:$G$390,'Lipid class level'!$B34)</f>
        <v>2878</v>
      </c>
      <c r="K34" s="11"/>
      <c r="L34" s="11">
        <f>SUMIFS('Molecules_Negative-ion mode'!Q$4:Q$390,'Molecules_Negative-ion mode'!$G$4:$G$390,'Lipid class level'!$B34)</f>
        <v>9359</v>
      </c>
      <c r="M34" s="11">
        <f>SUMIFS('Molecules_Negative-ion mode'!R$4:R$390,'Molecules_Negative-ion mode'!$G$4:$G$390,'Lipid class level'!$B34)</f>
        <v>914</v>
      </c>
      <c r="N34" s="11">
        <f>SUMIFS('Molecules_Negative-ion mode'!S$4:S$390,'Molecules_Negative-ion mode'!$G$4:$G$390,'Lipid class level'!$B34)</f>
        <v>3081</v>
      </c>
      <c r="O34" s="11">
        <f>SUMIFS('Molecules_Negative-ion mode'!T$4:T$390,'Molecules_Negative-ion mode'!$G$4:$G$390,'Lipid class level'!$B34)</f>
        <v>5799</v>
      </c>
      <c r="P34" s="11">
        <f>SUMIFS('Molecules_Negative-ion mode'!U$4:U$390,'Molecules_Negative-ion mode'!$G$4:$G$390,'Lipid class level'!$B34)</f>
        <v>4871</v>
      </c>
      <c r="Q34" s="11">
        <f>SUMIFS('Molecules_Negative-ion mode'!V$4:V$390,'Molecules_Negative-ion mode'!$G$4:$G$390,'Lipid class level'!$B34)</f>
        <v>12424</v>
      </c>
      <c r="R34" s="11">
        <f>SUMIFS('Molecules_Negative-ion mode'!W$4:W$390,'Molecules_Negative-ion mode'!$G$4:$G$390,'Lipid class level'!$B34)</f>
        <v>4633</v>
      </c>
      <c r="S34" s="11"/>
      <c r="T34" s="11">
        <f>SUMIFS('Molecules_Negative-ion mode'!Y$4:Y$390,'Molecules_Negative-ion mode'!$G$4:$G$390,'Lipid class level'!$B34)</f>
        <v>60</v>
      </c>
      <c r="U34" s="11">
        <f>SUMIFS('Molecules_Negative-ion mode'!Z$4:Z$390,'Molecules_Negative-ion mode'!$G$4:$G$390,'Lipid class level'!$B34)</f>
        <v>4264</v>
      </c>
      <c r="V34" s="11">
        <f>SUMIFS('Molecules_Negative-ion mode'!AA$4:AA$390,'Molecules_Negative-ion mode'!$G$4:$G$390,'Lipid class level'!$B34)</f>
        <v>4598</v>
      </c>
      <c r="W34" s="11">
        <f>SUMIFS('Molecules_Negative-ion mode'!AB$4:AB$390,'Molecules_Negative-ion mode'!$G$4:$G$390,'Lipid class level'!$B34)</f>
        <v>4705</v>
      </c>
      <c r="X34" s="17">
        <f t="shared" si="3"/>
        <v>5.0865590913961006E-2</v>
      </c>
      <c r="Y34" s="11">
        <f t="shared" si="0"/>
        <v>3552.2857142857142</v>
      </c>
      <c r="Z34" s="11">
        <f t="shared" si="1"/>
        <v>5868.7142857142853</v>
      </c>
      <c r="AA34" s="28">
        <f t="shared" si="4"/>
        <v>1.6520952304351322</v>
      </c>
      <c r="AB34" s="42">
        <f t="shared" si="2"/>
        <v>0.17091611584535854</v>
      </c>
      <c r="AC34" s="14" t="str">
        <f t="shared" si="5"/>
        <v>-</v>
      </c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</row>
    <row r="35" spans="1:46" ht="27" customHeight="1" x14ac:dyDescent="0.2">
      <c r="A35" s="9" t="s">
        <v>356</v>
      </c>
      <c r="B35" s="12" t="s">
        <v>322</v>
      </c>
      <c r="C35" s="12">
        <f>COUNTIFS('Molecules_Negative-ion mode'!$G$4:$G$390,'Lipid class level'!$B35)</f>
        <v>2</v>
      </c>
      <c r="D35" s="11">
        <f>SUMIFS('Molecules_Negative-ion mode'!I$4:I$390,'Molecules_Negative-ion mode'!$G$4:$G$390,'Lipid class level'!$B35)</f>
        <v>803</v>
      </c>
      <c r="E35" s="11">
        <f>SUMIFS('Molecules_Negative-ion mode'!J$4:J$390,'Molecules_Negative-ion mode'!$G$4:$G$390,'Lipid class level'!$B35)</f>
        <v>716</v>
      </c>
      <c r="F35" s="11">
        <f>SUMIFS('Molecules_Negative-ion mode'!K$4:K$390,'Molecules_Negative-ion mode'!$G$4:$G$390,'Lipid class level'!$B35)</f>
        <v>1518</v>
      </c>
      <c r="G35" s="11">
        <f>SUMIFS('Molecules_Negative-ion mode'!L$4:L$390,'Molecules_Negative-ion mode'!$G$4:$G$390,'Lipid class level'!$B35)</f>
        <v>1109</v>
      </c>
      <c r="H35" s="11">
        <f>SUMIFS('Molecules_Negative-ion mode'!M$4:M$390,'Molecules_Negative-ion mode'!$G$4:$G$390,'Lipid class level'!$B35)</f>
        <v>1090</v>
      </c>
      <c r="I35" s="11">
        <f>SUMIFS('Molecules_Negative-ion mode'!N$4:N$390,'Molecules_Negative-ion mode'!$G$4:$G$390,'Lipid class level'!$B35)</f>
        <v>1191</v>
      </c>
      <c r="J35" s="11">
        <f>SUMIFS('Molecules_Negative-ion mode'!O$4:O$390,'Molecules_Negative-ion mode'!$G$4:$G$390,'Lipid class level'!$B35)</f>
        <v>1191</v>
      </c>
      <c r="K35" s="11"/>
      <c r="L35" s="11">
        <f>SUMIFS('Molecules_Negative-ion mode'!Q$4:Q$390,'Molecules_Negative-ion mode'!$G$4:$G$390,'Lipid class level'!$B35)</f>
        <v>1258</v>
      </c>
      <c r="M35" s="11">
        <f>SUMIFS('Molecules_Negative-ion mode'!R$4:R$390,'Molecules_Negative-ion mode'!$G$4:$G$390,'Lipid class level'!$B35)</f>
        <v>1067</v>
      </c>
      <c r="N35" s="11">
        <f>SUMIFS('Molecules_Negative-ion mode'!S$4:S$390,'Molecules_Negative-ion mode'!$G$4:$G$390,'Lipid class level'!$B35)</f>
        <v>849</v>
      </c>
      <c r="O35" s="11">
        <f>SUMIFS('Molecules_Negative-ion mode'!T$4:T$390,'Molecules_Negative-ion mode'!$G$4:$G$390,'Lipid class level'!$B35)</f>
        <v>1795</v>
      </c>
      <c r="P35" s="11">
        <f>SUMIFS('Molecules_Negative-ion mode'!U$4:U$390,'Molecules_Negative-ion mode'!$G$4:$G$390,'Lipid class level'!$B35)</f>
        <v>1844</v>
      </c>
      <c r="Q35" s="11">
        <f>SUMIFS('Molecules_Negative-ion mode'!V$4:V$390,'Molecules_Negative-ion mode'!$G$4:$G$390,'Lipid class level'!$B35)</f>
        <v>1498</v>
      </c>
      <c r="R35" s="11">
        <f>SUMIFS('Molecules_Negative-ion mode'!W$4:W$390,'Molecules_Negative-ion mode'!$G$4:$G$390,'Lipid class level'!$B35)</f>
        <v>2352</v>
      </c>
      <c r="S35" s="11"/>
      <c r="T35" s="11">
        <f>SUMIFS('Molecules_Negative-ion mode'!Y$4:Y$390,'Molecules_Negative-ion mode'!$G$4:$G$390,'Lipid class level'!$B35)</f>
        <v>0</v>
      </c>
      <c r="U35" s="11">
        <f>SUMIFS('Molecules_Negative-ion mode'!Z$4:Z$390,'Molecules_Negative-ion mode'!$G$4:$G$390,'Lipid class level'!$B35)</f>
        <v>1288</v>
      </c>
      <c r="V35" s="11">
        <f>SUMIFS('Molecules_Negative-ion mode'!AA$4:AA$390,'Molecules_Negative-ion mode'!$G$4:$G$390,'Lipid class level'!$B35)</f>
        <v>1293</v>
      </c>
      <c r="W35" s="11">
        <f>SUMIFS('Molecules_Negative-ion mode'!AB$4:AB$390,'Molecules_Negative-ion mode'!$G$4:$G$390,'Lipid class level'!$B35)</f>
        <v>1486</v>
      </c>
      <c r="X35" s="17">
        <f t="shared" si="3"/>
        <v>8.32798085561684E-2</v>
      </c>
      <c r="Y35" s="11">
        <f t="shared" si="0"/>
        <v>1088.2857142857142</v>
      </c>
      <c r="Z35" s="11">
        <f t="shared" si="1"/>
        <v>1523.2857142857142</v>
      </c>
      <c r="AA35" s="28">
        <f t="shared" si="4"/>
        <v>1.3997112102914151</v>
      </c>
      <c r="AB35" s="42">
        <f t="shared" si="2"/>
        <v>7.8868777422425179E-2</v>
      </c>
      <c r="AC35" s="14" t="str">
        <f t="shared" si="5"/>
        <v>-</v>
      </c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</row>
    <row r="36" spans="1:46" ht="27" customHeight="1" x14ac:dyDescent="0.2">
      <c r="A36" s="9" t="s">
        <v>356</v>
      </c>
      <c r="B36" s="12" t="s">
        <v>187</v>
      </c>
      <c r="C36" s="12">
        <f>COUNTIFS('Molecules_Negative-ion mode'!$G$4:$G$390,'Lipid class level'!$B36)</f>
        <v>3</v>
      </c>
      <c r="D36" s="11">
        <f>SUMIFS('Molecules_Negative-ion mode'!I$4:I$390,'Molecules_Negative-ion mode'!$G$4:$G$390,'Lipid class level'!$B36)</f>
        <v>10454</v>
      </c>
      <c r="E36" s="11">
        <f>SUMIFS('Molecules_Negative-ion mode'!J$4:J$390,'Molecules_Negative-ion mode'!$G$4:$G$390,'Lipid class level'!$B36)</f>
        <v>12099</v>
      </c>
      <c r="F36" s="11">
        <f>SUMIFS('Molecules_Negative-ion mode'!K$4:K$390,'Molecules_Negative-ion mode'!$G$4:$G$390,'Lipid class level'!$B36)</f>
        <v>10528</v>
      </c>
      <c r="G36" s="11">
        <f>SUMIFS('Molecules_Negative-ion mode'!L$4:L$390,'Molecules_Negative-ion mode'!$G$4:$G$390,'Lipid class level'!$B36)</f>
        <v>10311</v>
      </c>
      <c r="H36" s="11">
        <f>SUMIFS('Molecules_Negative-ion mode'!M$4:M$390,'Molecules_Negative-ion mode'!$G$4:$G$390,'Lipid class level'!$B36)</f>
        <v>11511</v>
      </c>
      <c r="I36" s="11">
        <f>SUMIFS('Molecules_Negative-ion mode'!N$4:N$390,'Molecules_Negative-ion mode'!$G$4:$G$390,'Lipid class level'!$B36)</f>
        <v>14504</v>
      </c>
      <c r="J36" s="11">
        <f>SUMIFS('Molecules_Negative-ion mode'!O$4:O$390,'Molecules_Negative-ion mode'!$G$4:$G$390,'Lipid class level'!$B36)</f>
        <v>16290</v>
      </c>
      <c r="K36" s="11"/>
      <c r="L36" s="11">
        <f>SUMIFS('Molecules_Negative-ion mode'!Q$4:Q$390,'Molecules_Negative-ion mode'!$G$4:$G$390,'Lipid class level'!$B36)</f>
        <v>9530</v>
      </c>
      <c r="M36" s="11">
        <f>SUMIFS('Molecules_Negative-ion mode'!R$4:R$390,'Molecules_Negative-ion mode'!$G$4:$G$390,'Lipid class level'!$B36)</f>
        <v>11000</v>
      </c>
      <c r="N36" s="11">
        <f>SUMIFS('Molecules_Negative-ion mode'!S$4:S$390,'Molecules_Negative-ion mode'!$G$4:$G$390,'Lipid class level'!$B36)</f>
        <v>10961</v>
      </c>
      <c r="O36" s="11">
        <f>SUMIFS('Molecules_Negative-ion mode'!T$4:T$390,'Molecules_Negative-ion mode'!$G$4:$G$390,'Lipid class level'!$B36)</f>
        <v>9822</v>
      </c>
      <c r="P36" s="11">
        <f>SUMIFS('Molecules_Negative-ion mode'!U$4:U$390,'Molecules_Negative-ion mode'!$G$4:$G$390,'Lipid class level'!$B36)</f>
        <v>8707</v>
      </c>
      <c r="Q36" s="11">
        <f>SUMIFS('Molecules_Negative-ion mode'!V$4:V$390,'Molecules_Negative-ion mode'!$G$4:$G$390,'Lipid class level'!$B36)</f>
        <v>12612</v>
      </c>
      <c r="R36" s="11">
        <f>SUMIFS('Molecules_Negative-ion mode'!W$4:W$390,'Molecules_Negative-ion mode'!$G$4:$G$390,'Lipid class level'!$B36)</f>
        <v>9510</v>
      </c>
      <c r="S36" s="11"/>
      <c r="T36" s="11">
        <f>SUMIFS('Molecules_Negative-ion mode'!Y$4:Y$390,'Molecules_Negative-ion mode'!$G$4:$G$390,'Lipid class level'!$B36)</f>
        <v>0</v>
      </c>
      <c r="U36" s="11">
        <f>SUMIFS('Molecules_Negative-ion mode'!Z$4:Z$390,'Molecules_Negative-ion mode'!$G$4:$G$390,'Lipid class level'!$B36)</f>
        <v>10905</v>
      </c>
      <c r="V36" s="11">
        <f>SUMIFS('Molecules_Negative-ion mode'!AA$4:AA$390,'Molecules_Negative-ion mode'!$G$4:$G$390,'Lipid class level'!$B36)</f>
        <v>12886</v>
      </c>
      <c r="W36" s="11">
        <f>SUMIFS('Molecules_Negative-ion mode'!AB$4:AB$390,'Molecules_Negative-ion mode'!$G$4:$G$390,'Lipid class level'!$B36)</f>
        <v>14368</v>
      </c>
      <c r="X36" s="17">
        <f t="shared" si="3"/>
        <v>0.13659804554238375</v>
      </c>
      <c r="Y36" s="11">
        <f t="shared" si="0"/>
        <v>12242.428571428571</v>
      </c>
      <c r="Z36" s="11">
        <f t="shared" si="1"/>
        <v>10306</v>
      </c>
      <c r="AA36" s="28">
        <f t="shared" si="4"/>
        <v>0.84182643499772458</v>
      </c>
      <c r="AB36" s="42">
        <f t="shared" si="2"/>
        <v>8.3661430083363256E-2</v>
      </c>
      <c r="AC36" s="14" t="str">
        <f t="shared" si="5"/>
        <v>-</v>
      </c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</row>
    <row r="37" spans="1:46" ht="27" customHeight="1" x14ac:dyDescent="0.2">
      <c r="A37" s="9" t="s">
        <v>356</v>
      </c>
      <c r="B37" s="12" t="s">
        <v>31</v>
      </c>
      <c r="C37" s="12">
        <f>COUNTIFS('Molecules_Negative-ion mode'!$G$4:$G$390,'Lipid class level'!$B37)</f>
        <v>37</v>
      </c>
      <c r="D37" s="11">
        <f>SUMIFS('Molecules_Negative-ion mode'!I$4:I$390,'Molecules_Negative-ion mode'!$G$4:$G$390,'Lipid class level'!$B37)</f>
        <v>511638</v>
      </c>
      <c r="E37" s="11">
        <f>SUMIFS('Molecules_Negative-ion mode'!J$4:J$390,'Molecules_Negative-ion mode'!$G$4:$G$390,'Lipid class level'!$B37)</f>
        <v>483130</v>
      </c>
      <c r="F37" s="11">
        <f>SUMIFS('Molecules_Negative-ion mode'!K$4:K$390,'Molecules_Negative-ion mode'!$G$4:$G$390,'Lipid class level'!$B37)</f>
        <v>711797</v>
      </c>
      <c r="G37" s="11">
        <f>SUMIFS('Molecules_Negative-ion mode'!L$4:L$390,'Molecules_Negative-ion mode'!$G$4:$G$390,'Lipid class level'!$B37)</f>
        <v>627908</v>
      </c>
      <c r="H37" s="11">
        <f>SUMIFS('Molecules_Negative-ion mode'!M$4:M$390,'Molecules_Negative-ion mode'!$G$4:$G$390,'Lipid class level'!$B37)</f>
        <v>766997</v>
      </c>
      <c r="I37" s="11">
        <f>SUMIFS('Molecules_Negative-ion mode'!N$4:N$390,'Molecules_Negative-ion mode'!$G$4:$G$390,'Lipid class level'!$B37)</f>
        <v>727186</v>
      </c>
      <c r="J37" s="11">
        <f>SUMIFS('Molecules_Negative-ion mode'!O$4:O$390,'Molecules_Negative-ion mode'!$G$4:$G$390,'Lipid class level'!$B37)</f>
        <v>894219</v>
      </c>
      <c r="K37" s="11"/>
      <c r="L37" s="11">
        <f>SUMIFS('Molecules_Negative-ion mode'!Q$4:Q$390,'Molecules_Negative-ion mode'!$G$4:$G$390,'Lipid class level'!$B37)</f>
        <v>529663</v>
      </c>
      <c r="M37" s="11">
        <f>SUMIFS('Molecules_Negative-ion mode'!R$4:R$390,'Molecules_Negative-ion mode'!$G$4:$G$390,'Lipid class level'!$B37)</f>
        <v>610496</v>
      </c>
      <c r="N37" s="11">
        <f>SUMIFS('Molecules_Negative-ion mode'!S$4:S$390,'Molecules_Negative-ion mode'!$G$4:$G$390,'Lipid class level'!$B37)</f>
        <v>436566</v>
      </c>
      <c r="O37" s="11">
        <f>SUMIFS('Molecules_Negative-ion mode'!T$4:T$390,'Molecules_Negative-ion mode'!$G$4:$G$390,'Lipid class level'!$B37)</f>
        <v>766753</v>
      </c>
      <c r="P37" s="11">
        <f>SUMIFS('Molecules_Negative-ion mode'!U$4:U$390,'Molecules_Negative-ion mode'!$G$4:$G$390,'Lipid class level'!$B37)</f>
        <v>773364</v>
      </c>
      <c r="Q37" s="11">
        <f>SUMIFS('Molecules_Negative-ion mode'!V$4:V$390,'Molecules_Negative-ion mode'!$G$4:$G$390,'Lipid class level'!$B37)</f>
        <v>633323</v>
      </c>
      <c r="R37" s="11">
        <f>SUMIFS('Molecules_Negative-ion mode'!W$4:W$390,'Molecules_Negative-ion mode'!$G$4:$G$390,'Lipid class level'!$B37)</f>
        <v>845769</v>
      </c>
      <c r="S37" s="11"/>
      <c r="T37" s="11">
        <f>SUMIFS('Molecules_Negative-ion mode'!Y$4:Y$390,'Molecules_Negative-ion mode'!$G$4:$G$390,'Lipid class level'!$B37)</f>
        <v>0</v>
      </c>
      <c r="U37" s="11">
        <f>SUMIFS('Molecules_Negative-ion mode'!Z$4:Z$390,'Molecules_Negative-ion mode'!$G$4:$G$390,'Lipid class level'!$B37)</f>
        <v>637836</v>
      </c>
      <c r="V37" s="11">
        <f>SUMIFS('Molecules_Negative-ion mode'!AA$4:AA$390,'Molecules_Negative-ion mode'!$G$4:$G$390,'Lipid class level'!$B37)</f>
        <v>737827</v>
      </c>
      <c r="W37" s="11">
        <f>SUMIFS('Molecules_Negative-ion mode'!AB$4:AB$390,'Molecules_Negative-ion mode'!$G$4:$G$390,'Lipid class level'!$B37)</f>
        <v>759816</v>
      </c>
      <c r="X37" s="17">
        <f t="shared" si="3"/>
        <v>9.1333923108192439E-2</v>
      </c>
      <c r="Y37" s="11">
        <f t="shared" si="0"/>
        <v>674696.42857142852</v>
      </c>
      <c r="Z37" s="11">
        <f t="shared" si="1"/>
        <v>656562</v>
      </c>
      <c r="AA37" s="28">
        <f t="shared" si="4"/>
        <v>0.97312209194611343</v>
      </c>
      <c r="AB37" s="42">
        <f t="shared" si="2"/>
        <v>0.81991319689143183</v>
      </c>
      <c r="AC37" s="14" t="str">
        <f t="shared" si="5"/>
        <v>-</v>
      </c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</row>
    <row r="38" spans="1:46" ht="27" customHeight="1" x14ac:dyDescent="0.2">
      <c r="A38" s="9" t="s">
        <v>356</v>
      </c>
      <c r="B38" s="12" t="s">
        <v>223</v>
      </c>
      <c r="C38" s="12">
        <f>COUNTIFS('Molecules_Negative-ion mode'!$G$4:$G$390,'Lipid class level'!$B38)</f>
        <v>2</v>
      </c>
      <c r="D38" s="11">
        <f>SUMIFS('Molecules_Negative-ion mode'!I$4:I$390,'Molecules_Negative-ion mode'!$G$4:$G$390,'Lipid class level'!$B38)</f>
        <v>934</v>
      </c>
      <c r="E38" s="11">
        <f>SUMIFS('Molecules_Negative-ion mode'!J$4:J$390,'Molecules_Negative-ion mode'!$G$4:$G$390,'Lipid class level'!$B38)</f>
        <v>1224</v>
      </c>
      <c r="F38" s="11">
        <f>SUMIFS('Molecules_Negative-ion mode'!K$4:K$390,'Molecules_Negative-ion mode'!$G$4:$G$390,'Lipid class level'!$B38)</f>
        <v>1820</v>
      </c>
      <c r="G38" s="11">
        <f>SUMIFS('Molecules_Negative-ion mode'!L$4:L$390,'Molecules_Negative-ion mode'!$G$4:$G$390,'Lipid class level'!$B38)</f>
        <v>845</v>
      </c>
      <c r="H38" s="11">
        <f>SUMIFS('Molecules_Negative-ion mode'!M$4:M$390,'Molecules_Negative-ion mode'!$G$4:$G$390,'Lipid class level'!$B38)</f>
        <v>703</v>
      </c>
      <c r="I38" s="11">
        <f>SUMIFS('Molecules_Negative-ion mode'!N$4:N$390,'Molecules_Negative-ion mode'!$G$4:$G$390,'Lipid class level'!$B38)</f>
        <v>1327</v>
      </c>
      <c r="J38" s="11">
        <f>SUMIFS('Molecules_Negative-ion mode'!O$4:O$390,'Molecules_Negative-ion mode'!$G$4:$G$390,'Lipid class level'!$B38)</f>
        <v>1192</v>
      </c>
      <c r="K38" s="11"/>
      <c r="L38" s="11">
        <f>SUMIFS('Molecules_Negative-ion mode'!Q$4:Q$390,'Molecules_Negative-ion mode'!$G$4:$G$390,'Lipid class level'!$B38)</f>
        <v>998</v>
      </c>
      <c r="M38" s="11">
        <f>SUMIFS('Molecules_Negative-ion mode'!R$4:R$390,'Molecules_Negative-ion mode'!$G$4:$G$390,'Lipid class level'!$B38)</f>
        <v>796</v>
      </c>
      <c r="N38" s="11">
        <f>SUMIFS('Molecules_Negative-ion mode'!S$4:S$390,'Molecules_Negative-ion mode'!$G$4:$G$390,'Lipid class level'!$B38)</f>
        <v>1717</v>
      </c>
      <c r="O38" s="11">
        <f>SUMIFS('Molecules_Negative-ion mode'!T$4:T$390,'Molecules_Negative-ion mode'!$G$4:$G$390,'Lipid class level'!$B38)</f>
        <v>2580</v>
      </c>
      <c r="P38" s="11">
        <f>SUMIFS('Molecules_Negative-ion mode'!U$4:U$390,'Molecules_Negative-ion mode'!$G$4:$G$390,'Lipid class level'!$B38)</f>
        <v>976</v>
      </c>
      <c r="Q38" s="11">
        <f>SUMIFS('Molecules_Negative-ion mode'!V$4:V$390,'Molecules_Negative-ion mode'!$G$4:$G$390,'Lipid class level'!$B38)</f>
        <v>1314</v>
      </c>
      <c r="R38" s="11">
        <f>SUMIFS('Molecules_Negative-ion mode'!W$4:W$390,'Molecules_Negative-ion mode'!$G$4:$G$390,'Lipid class level'!$B38)</f>
        <v>1263</v>
      </c>
      <c r="S38" s="11"/>
      <c r="T38" s="11">
        <f>SUMIFS('Molecules_Negative-ion mode'!Y$4:Y$390,'Molecules_Negative-ion mode'!$G$4:$G$390,'Lipid class level'!$B38)</f>
        <v>102</v>
      </c>
      <c r="U38" s="11">
        <f>SUMIFS('Molecules_Negative-ion mode'!Z$4:Z$390,'Molecules_Negative-ion mode'!$G$4:$G$390,'Lipid class level'!$B38)</f>
        <v>1161</v>
      </c>
      <c r="V38" s="11">
        <f>SUMIFS('Molecules_Negative-ion mode'!AA$4:AA$390,'Molecules_Negative-ion mode'!$G$4:$G$390,'Lipid class level'!$B38)</f>
        <v>1345</v>
      </c>
      <c r="W38" s="11">
        <f>SUMIFS('Molecules_Negative-ion mode'!AB$4:AB$390,'Molecules_Negative-ion mode'!$G$4:$G$390,'Lipid class level'!$B38)</f>
        <v>1434</v>
      </c>
      <c r="X38" s="17">
        <f t="shared" si="3"/>
        <v>0.1060108868201947</v>
      </c>
      <c r="Y38" s="11">
        <f t="shared" si="0"/>
        <v>1149.2857142857142</v>
      </c>
      <c r="Z38" s="11">
        <f t="shared" si="1"/>
        <v>1377.7142857142858</v>
      </c>
      <c r="AA38" s="28">
        <f t="shared" si="4"/>
        <v>1.1987569919204477</v>
      </c>
      <c r="AB38" s="42">
        <f t="shared" si="2"/>
        <v>0.41650695133799442</v>
      </c>
      <c r="AC38" s="14" t="str">
        <f t="shared" si="5"/>
        <v>-</v>
      </c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</row>
    <row r="39" spans="1:46" ht="27" customHeight="1" x14ac:dyDescent="0.2">
      <c r="A39" s="9" t="s">
        <v>356</v>
      </c>
      <c r="B39" s="12" t="s">
        <v>63</v>
      </c>
      <c r="C39" s="12">
        <f>COUNTIFS('Molecules_Negative-ion mode'!$G$4:$G$390,'Lipid class level'!$B39)</f>
        <v>7</v>
      </c>
      <c r="D39" s="11">
        <f>SUMIFS('Molecules_Negative-ion mode'!I$4:I$390,'Molecules_Negative-ion mode'!$G$4:$G$390,'Lipid class level'!$B39)</f>
        <v>189510</v>
      </c>
      <c r="E39" s="11">
        <f>SUMIFS('Molecules_Negative-ion mode'!J$4:J$390,'Molecules_Negative-ion mode'!$G$4:$G$390,'Lipid class level'!$B39)</f>
        <v>170857</v>
      </c>
      <c r="F39" s="11">
        <f>SUMIFS('Molecules_Negative-ion mode'!K$4:K$390,'Molecules_Negative-ion mode'!$G$4:$G$390,'Lipid class level'!$B39)</f>
        <v>178809</v>
      </c>
      <c r="G39" s="11">
        <f>SUMIFS('Molecules_Negative-ion mode'!L$4:L$390,'Molecules_Negative-ion mode'!$G$4:$G$390,'Lipid class level'!$B39)</f>
        <v>149508</v>
      </c>
      <c r="H39" s="11">
        <f>SUMIFS('Molecules_Negative-ion mode'!M$4:M$390,'Molecules_Negative-ion mode'!$G$4:$G$390,'Lipid class level'!$B39)</f>
        <v>137443</v>
      </c>
      <c r="I39" s="11">
        <f>SUMIFS('Molecules_Negative-ion mode'!N$4:N$390,'Molecules_Negative-ion mode'!$G$4:$G$390,'Lipid class level'!$B39)</f>
        <v>172902</v>
      </c>
      <c r="J39" s="11">
        <f>SUMIFS('Molecules_Negative-ion mode'!O$4:O$390,'Molecules_Negative-ion mode'!$G$4:$G$390,'Lipid class level'!$B39)</f>
        <v>175221</v>
      </c>
      <c r="K39" s="11"/>
      <c r="L39" s="11">
        <f>SUMIFS('Molecules_Negative-ion mode'!Q$4:Q$390,'Molecules_Negative-ion mode'!$G$4:$G$390,'Lipid class level'!$B39)</f>
        <v>170020</v>
      </c>
      <c r="M39" s="11">
        <f>SUMIFS('Molecules_Negative-ion mode'!R$4:R$390,'Molecules_Negative-ion mode'!$G$4:$G$390,'Lipid class level'!$B39)</f>
        <v>164620</v>
      </c>
      <c r="N39" s="11">
        <f>SUMIFS('Molecules_Negative-ion mode'!S$4:S$390,'Molecules_Negative-ion mode'!$G$4:$G$390,'Lipid class level'!$B39)</f>
        <v>196798</v>
      </c>
      <c r="O39" s="11">
        <f>SUMIFS('Molecules_Negative-ion mode'!T$4:T$390,'Molecules_Negative-ion mode'!$G$4:$G$390,'Lipid class level'!$B39)</f>
        <v>172417</v>
      </c>
      <c r="P39" s="11">
        <f>SUMIFS('Molecules_Negative-ion mode'!U$4:U$390,'Molecules_Negative-ion mode'!$G$4:$G$390,'Lipid class level'!$B39)</f>
        <v>220711</v>
      </c>
      <c r="Q39" s="11">
        <f>SUMIFS('Molecules_Negative-ion mode'!V$4:V$390,'Molecules_Negative-ion mode'!$G$4:$G$390,'Lipid class level'!$B39)</f>
        <v>148268</v>
      </c>
      <c r="R39" s="11">
        <f>SUMIFS('Molecules_Negative-ion mode'!W$4:W$390,'Molecules_Negative-ion mode'!$G$4:$G$390,'Lipid class level'!$B39)</f>
        <v>180296</v>
      </c>
      <c r="S39" s="11"/>
      <c r="T39" s="11">
        <f>SUMIFS('Molecules_Negative-ion mode'!Y$4:Y$390,'Molecules_Negative-ion mode'!$G$4:$G$390,'Lipid class level'!$B39)</f>
        <v>12</v>
      </c>
      <c r="U39" s="11">
        <f>SUMIFS('Molecules_Negative-ion mode'!Z$4:Z$390,'Molecules_Negative-ion mode'!$G$4:$G$390,'Lipid class level'!$B39)</f>
        <v>167437</v>
      </c>
      <c r="V39" s="11">
        <f>SUMIFS('Molecules_Negative-ion mode'!AA$4:AA$390,'Molecules_Negative-ion mode'!$G$4:$G$390,'Lipid class level'!$B39)</f>
        <v>184073</v>
      </c>
      <c r="W39" s="11">
        <f>SUMIFS('Molecules_Negative-ion mode'!AB$4:AB$390,'Molecules_Negative-ion mode'!$G$4:$G$390,'Lipid class level'!$B39)</f>
        <v>177967</v>
      </c>
      <c r="X39" s="17">
        <f t="shared" si="3"/>
        <v>4.7681777782454519E-2</v>
      </c>
      <c r="Y39" s="11">
        <f t="shared" si="0"/>
        <v>167750</v>
      </c>
      <c r="Z39" s="11">
        <f t="shared" si="1"/>
        <v>179018.57142857142</v>
      </c>
      <c r="AA39" s="28">
        <f t="shared" si="4"/>
        <v>1.067174792420694</v>
      </c>
      <c r="AB39" s="42">
        <f t="shared" si="2"/>
        <v>0.33574988247889437</v>
      </c>
      <c r="AC39" s="14" t="str">
        <f t="shared" si="5"/>
        <v>-</v>
      </c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</row>
    <row r="40" spans="1:46" ht="27" customHeight="1" x14ac:dyDescent="0.2">
      <c r="A40" s="9" t="s">
        <v>356</v>
      </c>
      <c r="B40" s="12" t="s">
        <v>105</v>
      </c>
      <c r="C40" s="12">
        <f>COUNTIFS('Molecules_Negative-ion mode'!$G$4:$G$390,'Lipid class level'!$B40)</f>
        <v>3</v>
      </c>
      <c r="D40" s="11">
        <f>SUMIFS('Molecules_Negative-ion mode'!I$4:I$390,'Molecules_Negative-ion mode'!$G$4:$G$390,'Lipid class level'!$B40)</f>
        <v>49670</v>
      </c>
      <c r="E40" s="11">
        <f>SUMIFS('Molecules_Negative-ion mode'!J$4:J$390,'Molecules_Negative-ion mode'!$G$4:$G$390,'Lipid class level'!$B40)</f>
        <v>35529</v>
      </c>
      <c r="F40" s="11">
        <f>SUMIFS('Molecules_Negative-ion mode'!K$4:K$390,'Molecules_Negative-ion mode'!$G$4:$G$390,'Lipid class level'!$B40)</f>
        <v>37609</v>
      </c>
      <c r="G40" s="11">
        <f>SUMIFS('Molecules_Negative-ion mode'!L$4:L$390,'Molecules_Negative-ion mode'!$G$4:$G$390,'Lipid class level'!$B40)</f>
        <v>41159</v>
      </c>
      <c r="H40" s="11">
        <f>SUMIFS('Molecules_Negative-ion mode'!M$4:M$390,'Molecules_Negative-ion mode'!$G$4:$G$390,'Lipid class level'!$B40)</f>
        <v>32500</v>
      </c>
      <c r="I40" s="11">
        <f>SUMIFS('Molecules_Negative-ion mode'!N$4:N$390,'Molecules_Negative-ion mode'!$G$4:$G$390,'Lipid class level'!$B40)</f>
        <v>43560</v>
      </c>
      <c r="J40" s="11">
        <f>SUMIFS('Molecules_Negative-ion mode'!O$4:O$390,'Molecules_Negative-ion mode'!$G$4:$G$390,'Lipid class level'!$B40)</f>
        <v>42340</v>
      </c>
      <c r="K40" s="11"/>
      <c r="L40" s="11">
        <f>SUMIFS('Molecules_Negative-ion mode'!Q$4:Q$390,'Molecules_Negative-ion mode'!$G$4:$G$390,'Lipid class level'!$B40)</f>
        <v>49541</v>
      </c>
      <c r="M40" s="11">
        <f>SUMIFS('Molecules_Negative-ion mode'!R$4:R$390,'Molecules_Negative-ion mode'!$G$4:$G$390,'Lipid class level'!$B40)</f>
        <v>55883</v>
      </c>
      <c r="N40" s="11">
        <f>SUMIFS('Molecules_Negative-ion mode'!S$4:S$390,'Molecules_Negative-ion mode'!$G$4:$G$390,'Lipid class level'!$B40)</f>
        <v>56697</v>
      </c>
      <c r="O40" s="11">
        <f>SUMIFS('Molecules_Negative-ion mode'!T$4:T$390,'Molecules_Negative-ion mode'!$G$4:$G$390,'Lipid class level'!$B40)</f>
        <v>62590</v>
      </c>
      <c r="P40" s="11">
        <f>SUMIFS('Molecules_Negative-ion mode'!U$4:U$390,'Molecules_Negative-ion mode'!$G$4:$G$390,'Lipid class level'!$B40)</f>
        <v>51198</v>
      </c>
      <c r="Q40" s="11">
        <f>SUMIFS('Molecules_Negative-ion mode'!V$4:V$390,'Molecules_Negative-ion mode'!$G$4:$G$390,'Lipid class level'!$B40)</f>
        <v>63443</v>
      </c>
      <c r="R40" s="11">
        <f>SUMIFS('Molecules_Negative-ion mode'!W$4:W$390,'Molecules_Negative-ion mode'!$G$4:$G$390,'Lipid class level'!$B40)</f>
        <v>69111</v>
      </c>
      <c r="S40" s="11"/>
      <c r="T40" s="11">
        <f>SUMIFS('Molecules_Negative-ion mode'!Y$4:Y$390,'Molecules_Negative-ion mode'!$G$4:$G$390,'Lipid class level'!$B40)</f>
        <v>0</v>
      </c>
      <c r="U40" s="11">
        <f>SUMIFS('Molecules_Negative-ion mode'!Z$4:Z$390,'Molecules_Negative-ion mode'!$G$4:$G$390,'Lipid class level'!$B40)</f>
        <v>49463</v>
      </c>
      <c r="V40" s="11">
        <f>SUMIFS('Molecules_Negative-ion mode'!AA$4:AA$390,'Molecules_Negative-ion mode'!$G$4:$G$390,'Lipid class level'!$B40)</f>
        <v>48812</v>
      </c>
      <c r="W40" s="11">
        <f>SUMIFS('Molecules_Negative-ion mode'!AB$4:AB$390,'Molecules_Negative-ion mode'!$G$4:$G$390,'Lipid class level'!$B40)</f>
        <v>48784</v>
      </c>
      <c r="X40" s="17">
        <f t="shared" si="3"/>
        <v>7.8375297087423471E-3</v>
      </c>
      <c r="Y40" s="11">
        <f t="shared" si="0"/>
        <v>40338.142857142855</v>
      </c>
      <c r="Z40" s="11">
        <f t="shared" si="1"/>
        <v>58351.857142857145</v>
      </c>
      <c r="AA40" s="28">
        <f t="shared" si="4"/>
        <v>1.4465677646467188</v>
      </c>
      <c r="AB40" s="42">
        <f t="shared" si="2"/>
        <v>2.2975650652550582E-4</v>
      </c>
      <c r="AC40" s="14" t="str">
        <f t="shared" si="5"/>
        <v>***</v>
      </c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</row>
    <row r="41" spans="1:46" ht="27" customHeight="1" x14ac:dyDescent="0.2">
      <c r="A41" s="9" t="s">
        <v>356</v>
      </c>
      <c r="B41" s="12" t="s">
        <v>204</v>
      </c>
      <c r="C41" s="12">
        <f>COUNTIFS('Molecules_Negative-ion mode'!$G$4:$G$390,'Lipid class level'!$B41)</f>
        <v>10</v>
      </c>
      <c r="D41" s="11">
        <f>SUMIFS('Molecules_Negative-ion mode'!I$4:I$390,'Molecules_Negative-ion mode'!$G$4:$G$390,'Lipid class level'!$B41)</f>
        <v>13413</v>
      </c>
      <c r="E41" s="11">
        <f>SUMIFS('Molecules_Negative-ion mode'!J$4:J$390,'Molecules_Negative-ion mode'!$G$4:$G$390,'Lipid class level'!$B41)</f>
        <v>16246</v>
      </c>
      <c r="F41" s="11">
        <f>SUMIFS('Molecules_Negative-ion mode'!K$4:K$390,'Molecules_Negative-ion mode'!$G$4:$G$390,'Lipid class level'!$B41)</f>
        <v>23839</v>
      </c>
      <c r="G41" s="11">
        <f>SUMIFS('Molecules_Negative-ion mode'!L$4:L$390,'Molecules_Negative-ion mode'!$G$4:$G$390,'Lipid class level'!$B41)</f>
        <v>16480</v>
      </c>
      <c r="H41" s="11">
        <f>SUMIFS('Molecules_Negative-ion mode'!M$4:M$390,'Molecules_Negative-ion mode'!$G$4:$G$390,'Lipid class level'!$B41)</f>
        <v>16285</v>
      </c>
      <c r="I41" s="11">
        <f>SUMIFS('Molecules_Negative-ion mode'!N$4:N$390,'Molecules_Negative-ion mode'!$G$4:$G$390,'Lipid class level'!$B41)</f>
        <v>17020</v>
      </c>
      <c r="J41" s="11">
        <f>SUMIFS('Molecules_Negative-ion mode'!O$4:O$390,'Molecules_Negative-ion mode'!$G$4:$G$390,'Lipid class level'!$B41)</f>
        <v>28643</v>
      </c>
      <c r="K41" s="11"/>
      <c r="L41" s="11">
        <f>SUMIFS('Molecules_Negative-ion mode'!Q$4:Q$390,'Molecules_Negative-ion mode'!$G$4:$G$390,'Lipid class level'!$B41)</f>
        <v>17590</v>
      </c>
      <c r="M41" s="11">
        <f>SUMIFS('Molecules_Negative-ion mode'!R$4:R$390,'Molecules_Negative-ion mode'!$G$4:$G$390,'Lipid class level'!$B41)</f>
        <v>16170</v>
      </c>
      <c r="N41" s="11">
        <f>SUMIFS('Molecules_Negative-ion mode'!S$4:S$390,'Molecules_Negative-ion mode'!$G$4:$G$390,'Lipid class level'!$B41)</f>
        <v>16604</v>
      </c>
      <c r="O41" s="11">
        <f>SUMIFS('Molecules_Negative-ion mode'!T$4:T$390,'Molecules_Negative-ion mode'!$G$4:$G$390,'Lipid class level'!$B41)</f>
        <v>22856</v>
      </c>
      <c r="P41" s="11">
        <f>SUMIFS('Molecules_Negative-ion mode'!U$4:U$390,'Molecules_Negative-ion mode'!$G$4:$G$390,'Lipid class level'!$B41)</f>
        <v>23438</v>
      </c>
      <c r="Q41" s="11">
        <f>SUMIFS('Molecules_Negative-ion mode'!V$4:V$390,'Molecules_Negative-ion mode'!$G$4:$G$390,'Lipid class level'!$B41)</f>
        <v>21500</v>
      </c>
      <c r="R41" s="11">
        <f>SUMIFS('Molecules_Negative-ion mode'!W$4:W$390,'Molecules_Negative-ion mode'!$G$4:$G$390,'Lipid class level'!$B41)</f>
        <v>29296</v>
      </c>
      <c r="S41" s="11"/>
      <c r="T41" s="11">
        <f>SUMIFS('Molecules_Negative-ion mode'!Y$4:Y$390,'Molecules_Negative-ion mode'!$G$4:$G$390,'Lipid class level'!$B41)</f>
        <v>225</v>
      </c>
      <c r="U41" s="11">
        <f>SUMIFS('Molecules_Negative-ion mode'!Z$4:Z$390,'Molecules_Negative-ion mode'!$G$4:$G$390,'Lipid class level'!$B41)</f>
        <v>19670</v>
      </c>
      <c r="V41" s="11">
        <f>SUMIFS('Molecules_Negative-ion mode'!AA$4:AA$390,'Molecules_Negative-ion mode'!$G$4:$G$390,'Lipid class level'!$B41)</f>
        <v>21172</v>
      </c>
      <c r="W41" s="11">
        <f>SUMIFS('Molecules_Negative-ion mode'!AB$4:AB$390,'Molecules_Negative-ion mode'!$G$4:$G$390,'Lipid class level'!$B41)</f>
        <v>25291</v>
      </c>
      <c r="X41" s="17">
        <f t="shared" si="3"/>
        <v>0.13201867233678494</v>
      </c>
      <c r="Y41" s="11">
        <f t="shared" si="0"/>
        <v>18846.571428571428</v>
      </c>
      <c r="Z41" s="11">
        <f t="shared" si="1"/>
        <v>21064.857142857141</v>
      </c>
      <c r="AA41" s="28">
        <f t="shared" si="4"/>
        <v>1.1177023482861603</v>
      </c>
      <c r="AB41" s="42">
        <f t="shared" si="2"/>
        <v>0.42702528335528833</v>
      </c>
      <c r="AC41" s="14" t="str">
        <f t="shared" si="5"/>
        <v>-</v>
      </c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</row>
    <row r="42" spans="1:46" ht="27" customHeight="1" x14ac:dyDescent="0.2">
      <c r="A42" s="9" t="s">
        <v>356</v>
      </c>
      <c r="B42" s="12" t="s">
        <v>57</v>
      </c>
      <c r="C42" s="12">
        <f>COUNTIFS('Molecules_Negative-ion mode'!$G$4:$G$390,'Lipid class level'!$B42)</f>
        <v>14</v>
      </c>
      <c r="D42" s="11">
        <f>SUMIFS('Molecules_Negative-ion mode'!I$4:I$390,'Molecules_Negative-ion mode'!$G$4:$G$390,'Lipid class level'!$B42)</f>
        <v>213596</v>
      </c>
      <c r="E42" s="11">
        <f>SUMIFS('Molecules_Negative-ion mode'!J$4:J$390,'Molecules_Negative-ion mode'!$G$4:$G$390,'Lipid class level'!$B42)</f>
        <v>222653</v>
      </c>
      <c r="F42" s="11">
        <f>SUMIFS('Molecules_Negative-ion mode'!K$4:K$390,'Molecules_Negative-ion mode'!$G$4:$G$390,'Lipid class level'!$B42)</f>
        <v>319317</v>
      </c>
      <c r="G42" s="11">
        <f>SUMIFS('Molecules_Negative-ion mode'!L$4:L$390,'Molecules_Negative-ion mode'!$G$4:$G$390,'Lipid class level'!$B42)</f>
        <v>255927</v>
      </c>
      <c r="H42" s="11">
        <f>SUMIFS('Molecules_Negative-ion mode'!M$4:M$390,'Molecules_Negative-ion mode'!$G$4:$G$390,'Lipid class level'!$B42)</f>
        <v>286795</v>
      </c>
      <c r="I42" s="11">
        <f>SUMIFS('Molecules_Negative-ion mode'!N$4:N$390,'Molecules_Negative-ion mode'!$G$4:$G$390,'Lipid class level'!$B42)</f>
        <v>317172</v>
      </c>
      <c r="J42" s="11">
        <f>SUMIFS('Molecules_Negative-ion mode'!O$4:O$390,'Molecules_Negative-ion mode'!$G$4:$G$390,'Lipid class level'!$B42)</f>
        <v>342428</v>
      </c>
      <c r="K42" s="11"/>
      <c r="L42" s="11">
        <f>SUMIFS('Molecules_Negative-ion mode'!Q$4:Q$390,'Molecules_Negative-ion mode'!$G$4:$G$390,'Lipid class level'!$B42)</f>
        <v>322635</v>
      </c>
      <c r="M42" s="11">
        <f>SUMIFS('Molecules_Negative-ion mode'!R$4:R$390,'Molecules_Negative-ion mode'!$G$4:$G$390,'Lipid class level'!$B42)</f>
        <v>363271</v>
      </c>
      <c r="N42" s="11">
        <f>SUMIFS('Molecules_Negative-ion mode'!S$4:S$390,'Molecules_Negative-ion mode'!$G$4:$G$390,'Lipid class level'!$B42)</f>
        <v>277411</v>
      </c>
      <c r="O42" s="11">
        <f>SUMIFS('Molecules_Negative-ion mode'!T$4:T$390,'Molecules_Negative-ion mode'!$G$4:$G$390,'Lipid class level'!$B42)</f>
        <v>389581</v>
      </c>
      <c r="P42" s="11">
        <f>SUMIFS('Molecules_Negative-ion mode'!U$4:U$390,'Molecules_Negative-ion mode'!$G$4:$G$390,'Lipid class level'!$B42)</f>
        <v>415744</v>
      </c>
      <c r="Q42" s="11">
        <f>SUMIFS('Molecules_Negative-ion mode'!V$4:V$390,'Molecules_Negative-ion mode'!$G$4:$G$390,'Lipid class level'!$B42)</f>
        <v>375324</v>
      </c>
      <c r="R42" s="11">
        <f>SUMIFS('Molecules_Negative-ion mode'!W$4:W$390,'Molecules_Negative-ion mode'!$G$4:$G$390,'Lipid class level'!$B42)</f>
        <v>447885</v>
      </c>
      <c r="S42" s="11"/>
      <c r="T42" s="11">
        <f>SUMIFS('Molecules_Negative-ion mode'!Y$4:Y$390,'Molecules_Negative-ion mode'!$G$4:$G$390,'Lipid class level'!$B42)</f>
        <v>593</v>
      </c>
      <c r="U42" s="11">
        <f>SUMIFS('Molecules_Negative-ion mode'!Z$4:Z$390,'Molecules_Negative-ion mode'!$G$4:$G$390,'Lipid class level'!$B42)</f>
        <v>321959</v>
      </c>
      <c r="V42" s="11">
        <f>SUMIFS('Molecules_Negative-ion mode'!AA$4:AA$390,'Molecules_Negative-ion mode'!$G$4:$G$390,'Lipid class level'!$B42)</f>
        <v>350378</v>
      </c>
      <c r="W42" s="11">
        <f>SUMIFS('Molecules_Negative-ion mode'!AB$4:AB$390,'Molecules_Negative-ion mode'!$G$4:$G$390,'Lipid class level'!$B42)</f>
        <v>379920</v>
      </c>
      <c r="X42" s="17">
        <f t="shared" si="3"/>
        <v>8.2628995947132591E-2</v>
      </c>
      <c r="Y42" s="11">
        <f t="shared" si="0"/>
        <v>279698.28571428574</v>
      </c>
      <c r="Z42" s="11">
        <f t="shared" si="1"/>
        <v>370264.42857142858</v>
      </c>
      <c r="AA42" s="28">
        <f t="shared" si="4"/>
        <v>1.3237994206001569</v>
      </c>
      <c r="AB42" s="42">
        <f t="shared" si="2"/>
        <v>8.4197727556002151E-3</v>
      </c>
      <c r="AC42" s="14" t="str">
        <f t="shared" si="5"/>
        <v>**</v>
      </c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</row>
    <row r="43" spans="1:46" ht="27" customHeight="1" x14ac:dyDescent="0.2">
      <c r="A43" s="10" t="s">
        <v>357</v>
      </c>
      <c r="B43" s="12" t="s">
        <v>391</v>
      </c>
      <c r="C43" s="12">
        <f>COUNTIFS('Molecules_Positive ion mode'!$G$4:$G$390,'Lipid class level'!$B43)</f>
        <v>19</v>
      </c>
      <c r="D43" s="11">
        <f>SUMIFS('Molecules_Positive ion mode'!I$4:I$390,'Molecules_Positive ion mode'!$G$4:$G$390,'Lipid class level'!$B43)</f>
        <v>109134</v>
      </c>
      <c r="E43" s="11">
        <f>SUMIFS('Molecules_Positive ion mode'!J$4:J$390,'Molecules_Positive ion mode'!$G$4:$G$390,'Lipid class level'!$B43)</f>
        <v>101983</v>
      </c>
      <c r="F43" s="11">
        <f>SUMIFS('Molecules_Positive ion mode'!K$4:K$390,'Molecules_Positive ion mode'!$G$4:$G$390,'Lipid class level'!$B43)</f>
        <v>249642</v>
      </c>
      <c r="G43" s="11">
        <f>SUMIFS('Molecules_Positive ion mode'!L$4:L$390,'Molecules_Positive ion mode'!$G$4:$G$390,'Lipid class level'!$B43)</f>
        <v>120052</v>
      </c>
      <c r="H43" s="11">
        <f>SUMIFS('Molecules_Positive ion mode'!M$4:M$390,'Molecules_Positive ion mode'!$G$4:$G$390,'Lipid class level'!$B43)</f>
        <v>101274</v>
      </c>
      <c r="I43" s="11">
        <f>SUMIFS('Molecules_Positive ion mode'!N$4:N$390,'Molecules_Positive ion mode'!$G$4:$G$390,'Lipid class level'!$B43)</f>
        <v>157275</v>
      </c>
      <c r="J43" s="11">
        <f>SUMIFS('Molecules_Positive ion mode'!O$4:O$390,'Molecules_Positive ion mode'!$G$4:$G$390,'Lipid class level'!$B43)</f>
        <v>156206</v>
      </c>
      <c r="K43" s="11"/>
      <c r="L43" s="11">
        <f>SUMIFS('Molecules_Positive ion mode'!Q$4:Q$390,'Molecules_Positive ion mode'!$G$4:$G$390,'Lipid class level'!$B43)</f>
        <v>98403</v>
      </c>
      <c r="M43" s="11">
        <f>SUMIFS('Molecules_Positive ion mode'!R$4:R$390,'Molecules_Positive ion mode'!$G$4:$G$390,'Lipid class level'!$B43)</f>
        <v>207055</v>
      </c>
      <c r="N43" s="11">
        <f>SUMIFS('Molecules_Positive ion mode'!S$4:S$390,'Molecules_Positive ion mode'!$G$4:$G$390,'Lipid class level'!$B43)</f>
        <v>119164</v>
      </c>
      <c r="O43" s="11">
        <f>SUMIFS('Molecules_Positive ion mode'!T$4:T$390,'Molecules_Positive ion mode'!$G$4:$G$390,'Lipid class level'!$B43)</f>
        <v>156789</v>
      </c>
      <c r="P43" s="11">
        <f>SUMIFS('Molecules_Positive ion mode'!U$4:U$390,'Molecules_Positive ion mode'!$G$4:$G$390,'Lipid class level'!$B43)</f>
        <v>179895</v>
      </c>
      <c r="Q43" s="11">
        <f>SUMIFS('Molecules_Positive ion mode'!V$4:V$390,'Molecules_Positive ion mode'!$G$4:$G$390,'Lipid class level'!$B43)</f>
        <v>170225</v>
      </c>
      <c r="R43" s="11">
        <f>SUMIFS('Molecules_Positive ion mode'!W$4:W$390,'Molecules_Positive ion mode'!$G$4:$G$390,'Lipid class level'!$B43)</f>
        <v>264877</v>
      </c>
      <c r="S43" s="11"/>
      <c r="T43" s="11">
        <f>SUMIFS('Molecules_Positive ion mode'!Y$4:Y$390,'Molecules_Positive ion mode'!$G$4:$G$390,'Lipid class level'!$B43)</f>
        <v>764</v>
      </c>
      <c r="U43" s="11">
        <f>SUMIFS('Molecules_Positive ion mode'!Z$4:Z$390,'Molecules_Positive ion mode'!$G$4:$G$390,'Lipid class level'!$B43)</f>
        <v>145632</v>
      </c>
      <c r="V43" s="11">
        <f>SUMIFS('Molecules_Positive ion mode'!AA$4:AA$390,'Molecules_Positive ion mode'!$G$4:$G$390,'Lipid class level'!$B43)</f>
        <v>151397</v>
      </c>
      <c r="W43" s="11">
        <f>SUMIFS('Molecules_Positive ion mode'!AB$4:AB$390,'Molecules_Positive ion mode'!$G$4:$G$390,'Lipid class level'!$B43)</f>
        <v>123831</v>
      </c>
      <c r="X43" s="17">
        <f t="shared" si="3"/>
        <v>0.10364220405225116</v>
      </c>
      <c r="Y43" s="11">
        <f t="shared" si="0"/>
        <v>142223.71428571429</v>
      </c>
      <c r="Z43" s="11">
        <f t="shared" si="1"/>
        <v>170915.42857142858</v>
      </c>
      <c r="AA43" s="28">
        <f t="shared" si="4"/>
        <v>1.2017364996394011</v>
      </c>
      <c r="AB43" s="42">
        <f t="shared" si="2"/>
        <v>0.34121294551913739</v>
      </c>
      <c r="AC43" s="14" t="str">
        <f t="shared" si="5"/>
        <v>-</v>
      </c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</row>
    <row r="44" spans="1:46" ht="27" customHeight="1" x14ac:dyDescent="0.2">
      <c r="A44" s="10" t="s">
        <v>357</v>
      </c>
      <c r="B44" s="12" t="s">
        <v>512</v>
      </c>
      <c r="C44" s="12">
        <f>COUNTIFS('Molecules_Positive ion mode'!$G$4:$G$390,'Lipid class level'!$B44)</f>
        <v>8</v>
      </c>
      <c r="D44" s="11">
        <f>SUMIFS('Molecules_Positive ion mode'!I$4:I$390,'Molecules_Positive ion mode'!$G$4:$G$390,'Lipid class level'!$B44)</f>
        <v>316694</v>
      </c>
      <c r="E44" s="11">
        <f>SUMIFS('Molecules_Positive ion mode'!J$4:J$390,'Molecules_Positive ion mode'!$G$4:$G$390,'Lipid class level'!$B44)</f>
        <v>295651</v>
      </c>
      <c r="F44" s="11">
        <f>SUMIFS('Molecules_Positive ion mode'!K$4:K$390,'Molecules_Positive ion mode'!$G$4:$G$390,'Lipid class level'!$B44)</f>
        <v>487953</v>
      </c>
      <c r="G44" s="11">
        <f>SUMIFS('Molecules_Positive ion mode'!L$4:L$390,'Molecules_Positive ion mode'!$G$4:$G$390,'Lipid class level'!$B44)</f>
        <v>279004</v>
      </c>
      <c r="H44" s="11">
        <f>SUMIFS('Molecules_Positive ion mode'!M$4:M$390,'Molecules_Positive ion mode'!$G$4:$G$390,'Lipid class level'!$B44)</f>
        <v>287148</v>
      </c>
      <c r="I44" s="11">
        <f>SUMIFS('Molecules_Positive ion mode'!N$4:N$390,'Molecules_Positive ion mode'!$G$4:$G$390,'Lipid class level'!$B44)</f>
        <v>398309</v>
      </c>
      <c r="J44" s="11">
        <f>SUMIFS('Molecules_Positive ion mode'!O$4:O$390,'Molecules_Positive ion mode'!$G$4:$G$390,'Lipid class level'!$B44)</f>
        <v>451228</v>
      </c>
      <c r="K44" s="11"/>
      <c r="L44" s="11">
        <f>SUMIFS('Molecules_Positive ion mode'!Q$4:Q$390,'Molecules_Positive ion mode'!$G$4:$G$390,'Lipid class level'!$B44)</f>
        <v>182707</v>
      </c>
      <c r="M44" s="11">
        <f>SUMIFS('Molecules_Positive ion mode'!R$4:R$390,'Molecules_Positive ion mode'!$G$4:$G$390,'Lipid class level'!$B44)</f>
        <v>294943</v>
      </c>
      <c r="N44" s="11">
        <f>SUMIFS('Molecules_Positive ion mode'!S$4:S$390,'Molecules_Positive ion mode'!$G$4:$G$390,'Lipid class level'!$B44)</f>
        <v>177997</v>
      </c>
      <c r="O44" s="11">
        <f>SUMIFS('Molecules_Positive ion mode'!T$4:T$390,'Molecules_Positive ion mode'!$G$4:$G$390,'Lipid class level'!$B44)</f>
        <v>281825</v>
      </c>
      <c r="P44" s="11">
        <f>SUMIFS('Molecules_Positive ion mode'!U$4:U$390,'Molecules_Positive ion mode'!$G$4:$G$390,'Lipid class level'!$B44)</f>
        <v>282960</v>
      </c>
      <c r="Q44" s="11">
        <f>SUMIFS('Molecules_Positive ion mode'!V$4:V$390,'Molecules_Positive ion mode'!$G$4:$G$390,'Lipid class level'!$B44)</f>
        <v>326469</v>
      </c>
      <c r="R44" s="11">
        <f>SUMIFS('Molecules_Positive ion mode'!W$4:W$390,'Molecules_Positive ion mode'!$G$4:$G$390,'Lipid class level'!$B44)</f>
        <v>378656</v>
      </c>
      <c r="S44" s="11"/>
      <c r="T44" s="11">
        <f>SUMIFS('Molecules_Positive ion mode'!Y$4:Y$390,'Molecules_Positive ion mode'!$G$4:$G$390,'Lipid class level'!$B44)</f>
        <v>389</v>
      </c>
      <c r="U44" s="11">
        <f>SUMIFS('Molecules_Positive ion mode'!Z$4:Z$390,'Molecules_Positive ion mode'!$G$4:$G$390,'Lipid class level'!$B44)</f>
        <v>295906</v>
      </c>
      <c r="V44" s="11">
        <f>SUMIFS('Molecules_Positive ion mode'!AA$4:AA$390,'Molecules_Positive ion mode'!$G$4:$G$390,'Lipid class level'!$B44)</f>
        <v>305194</v>
      </c>
      <c r="W44" s="11">
        <f>SUMIFS('Molecules_Positive ion mode'!AB$4:AB$390,'Molecules_Positive ion mode'!$G$4:$G$390,'Lipid class level'!$B44)</f>
        <v>235279</v>
      </c>
      <c r="X44" s="17">
        <f t="shared" si="3"/>
        <v>0.13619173311492971</v>
      </c>
      <c r="Y44" s="11">
        <f t="shared" si="0"/>
        <v>359426.71428571426</v>
      </c>
      <c r="Z44" s="11">
        <f t="shared" si="1"/>
        <v>275079.57142857142</v>
      </c>
      <c r="AA44" s="28">
        <f t="shared" si="4"/>
        <v>0.7653286761815542</v>
      </c>
      <c r="AB44" s="42">
        <f t="shared" si="2"/>
        <v>7.116084419014633E-2</v>
      </c>
      <c r="AC44" s="14" t="str">
        <f t="shared" si="5"/>
        <v>-</v>
      </c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</row>
    <row r="45" spans="1:46" ht="27" customHeight="1" x14ac:dyDescent="0.2">
      <c r="A45" s="9" t="s">
        <v>356</v>
      </c>
      <c r="B45" s="22" t="s">
        <v>707</v>
      </c>
      <c r="C45" s="12">
        <f>COUNTIFS('Molecules_Negative-ion mode'!$G$4:$G$390,'Lipid class level'!$B45)</f>
        <v>3</v>
      </c>
      <c r="D45" s="11">
        <f>SUMIFS('Molecules_Negative-ion mode'!I$4:I$390,'Molecules_Negative-ion mode'!$G$4:$G$390,'Lipid class level'!$B45)</f>
        <v>2089</v>
      </c>
      <c r="E45" s="11">
        <f>SUMIFS('Molecules_Negative-ion mode'!J$4:J$390,'Molecules_Negative-ion mode'!$G$4:$G$390,'Lipid class level'!$B45)</f>
        <v>2326</v>
      </c>
      <c r="F45" s="11">
        <f>SUMIFS('Molecules_Negative-ion mode'!K$4:K$390,'Molecules_Negative-ion mode'!$G$4:$G$390,'Lipid class level'!$B45)</f>
        <v>3617</v>
      </c>
      <c r="G45" s="11">
        <f>SUMIFS('Molecules_Negative-ion mode'!L$4:L$390,'Molecules_Negative-ion mode'!$G$4:$G$390,'Lipid class level'!$B45)</f>
        <v>2605</v>
      </c>
      <c r="H45" s="11">
        <f>SUMIFS('Molecules_Negative-ion mode'!M$4:M$390,'Molecules_Negative-ion mode'!$G$4:$G$390,'Lipid class level'!$B45)</f>
        <v>2603</v>
      </c>
      <c r="I45" s="11">
        <f>SUMIFS('Molecules_Negative-ion mode'!N$4:N$390,'Molecules_Negative-ion mode'!$G$4:$G$390,'Lipid class level'!$B45)</f>
        <v>2719</v>
      </c>
      <c r="J45" s="11">
        <f>SUMIFS('Molecules_Negative-ion mode'!O$4:O$390,'Molecules_Negative-ion mode'!$G$4:$G$390,'Lipid class level'!$B45)</f>
        <v>4009</v>
      </c>
      <c r="K45" s="11"/>
      <c r="L45" s="11">
        <f>SUMIFS('Molecules_Negative-ion mode'!Q$4:Q$390,'Molecules_Negative-ion mode'!$G$4:$G$390,'Lipid class level'!$B45)</f>
        <v>4634</v>
      </c>
      <c r="M45" s="11">
        <f>SUMIFS('Molecules_Negative-ion mode'!R$4:R$390,'Molecules_Negative-ion mode'!$G$4:$G$390,'Lipid class level'!$B45)</f>
        <v>3573</v>
      </c>
      <c r="N45" s="11">
        <f>SUMIFS('Molecules_Negative-ion mode'!S$4:S$390,'Molecules_Negative-ion mode'!$G$4:$G$390,'Lipid class level'!$B45)</f>
        <v>3802</v>
      </c>
      <c r="O45" s="11">
        <f>SUMIFS('Molecules_Negative-ion mode'!T$4:T$390,'Molecules_Negative-ion mode'!$G$4:$G$390,'Lipid class level'!$B45)</f>
        <v>5686</v>
      </c>
      <c r="P45" s="11">
        <f>SUMIFS('Molecules_Negative-ion mode'!U$4:U$390,'Molecules_Negative-ion mode'!$G$4:$G$390,'Lipid class level'!$B45)</f>
        <v>4633</v>
      </c>
      <c r="Q45" s="11">
        <f>SUMIFS('Molecules_Negative-ion mode'!V$4:V$390,'Molecules_Negative-ion mode'!$G$4:$G$390,'Lipid class level'!$B45)</f>
        <v>6184</v>
      </c>
      <c r="R45" s="11">
        <f>SUMIFS('Molecules_Negative-ion mode'!W$4:W$390,'Molecules_Negative-ion mode'!$G$4:$G$390,'Lipid class level'!$B45)</f>
        <v>6209</v>
      </c>
      <c r="S45" s="11"/>
      <c r="T45" s="11">
        <f>SUMIFS('Molecules_Negative-ion mode'!Y$4:Y$390,'Molecules_Negative-ion mode'!$G$4:$G$390,'Lipid class level'!$B45)</f>
        <v>0</v>
      </c>
      <c r="U45" s="11">
        <f>SUMIFS('Molecules_Negative-ion mode'!Z$4:Z$390,'Molecules_Negative-ion mode'!$G$4:$G$390,'Lipid class level'!$B45)</f>
        <v>3596</v>
      </c>
      <c r="V45" s="11">
        <f>SUMIFS('Molecules_Negative-ion mode'!AA$4:AA$390,'Molecules_Negative-ion mode'!$G$4:$G$390,'Lipid class level'!$B45)</f>
        <v>3337</v>
      </c>
      <c r="W45" s="11">
        <f>SUMIFS('Molecules_Negative-ion mode'!AB$4:AB$390,'Molecules_Negative-ion mode'!$G$4:$G$390,'Lipid class level'!$B45)</f>
        <v>4754</v>
      </c>
      <c r="X45" s="17">
        <f t="shared" si="3"/>
        <v>0.19368559450894401</v>
      </c>
      <c r="Y45" s="11">
        <f t="shared" si="0"/>
        <v>2852.5714285714284</v>
      </c>
      <c r="Z45" s="11">
        <f t="shared" si="1"/>
        <v>4960.1428571428569</v>
      </c>
      <c r="AA45" s="28">
        <f t="shared" si="4"/>
        <v>1.7388321314102564</v>
      </c>
      <c r="AB45" s="42">
        <f t="shared" si="2"/>
        <v>1.4273655665330042E-3</v>
      </c>
      <c r="AC45" s="14" t="str">
        <f t="shared" si="5"/>
        <v>**</v>
      </c>
      <c r="AD45" s="36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7"/>
    </row>
    <row r="47" spans="1:46" x14ac:dyDescent="0.2">
      <c r="B47" s="16"/>
      <c r="C47" s="16"/>
      <c r="D47"/>
      <c r="AB47" s="16" t="s">
        <v>723</v>
      </c>
    </row>
    <row r="48" spans="1:46" x14ac:dyDescent="0.2">
      <c r="B48" s="16"/>
      <c r="C48" s="16"/>
      <c r="D48"/>
      <c r="AB48" s="16" t="s">
        <v>725</v>
      </c>
    </row>
    <row r="49" spans="28:28" x14ac:dyDescent="0.2">
      <c r="AB49" s="16" t="s">
        <v>727</v>
      </c>
    </row>
    <row r="50" spans="28:28" x14ac:dyDescent="0.2">
      <c r="AB50" s="16" t="s">
        <v>729</v>
      </c>
    </row>
  </sheetData>
  <autoFilter ref="A3:AC3" xr:uid="{D01507AB-763A-4918-83C4-31B6534605A9}"/>
  <mergeCells count="46">
    <mergeCell ref="AD45:AT45"/>
    <mergeCell ref="AD18:AT18"/>
    <mergeCell ref="AD19:AT19"/>
    <mergeCell ref="AD7:AT7"/>
    <mergeCell ref="Y2:Z2"/>
    <mergeCell ref="AB2:AC2"/>
    <mergeCell ref="AD4:AT4"/>
    <mergeCell ref="AD5:AT5"/>
    <mergeCell ref="AD6:AT6"/>
    <mergeCell ref="AD13:AT13"/>
    <mergeCell ref="AD14:AT14"/>
    <mergeCell ref="AD15:AT15"/>
    <mergeCell ref="AD16:AT16"/>
    <mergeCell ref="AD17:AT17"/>
    <mergeCell ref="AD23:AT23"/>
    <mergeCell ref="AD8:AT8"/>
    <mergeCell ref="AD9:AT9"/>
    <mergeCell ref="AD10:AT10"/>
    <mergeCell ref="AD11:AT11"/>
    <mergeCell ref="AD12:AT12"/>
    <mergeCell ref="AD31:AT31"/>
    <mergeCell ref="AD29:AT29"/>
    <mergeCell ref="AD30:AT30"/>
    <mergeCell ref="AD44:AT44"/>
    <mergeCell ref="AD39:AT39"/>
    <mergeCell ref="AD40:AT40"/>
    <mergeCell ref="AD41:AT41"/>
    <mergeCell ref="AD43:AT43"/>
    <mergeCell ref="AD33:AT33"/>
    <mergeCell ref="AD34:AT34"/>
    <mergeCell ref="AD1:AJ1"/>
    <mergeCell ref="AL1:AR1"/>
    <mergeCell ref="AD42:AT42"/>
    <mergeCell ref="AD35:AT35"/>
    <mergeCell ref="AD36:AT36"/>
    <mergeCell ref="AD37:AT37"/>
    <mergeCell ref="AD38:AT38"/>
    <mergeCell ref="AD24:AT24"/>
    <mergeCell ref="AD25:AT25"/>
    <mergeCell ref="AD26:AT26"/>
    <mergeCell ref="AD27:AT27"/>
    <mergeCell ref="AD20:AT20"/>
    <mergeCell ref="AD21:AT21"/>
    <mergeCell ref="AD22:AT22"/>
    <mergeCell ref="AD32:AT32"/>
    <mergeCell ref="AD28:AT28"/>
  </mergeCells>
  <phoneticPr fontId="2"/>
  <conditionalFormatting sqref="B4:AT45">
    <cfRule type="expression" dxfId="1" priority="6">
      <formula>#REF!=FALSE</formula>
    </cfRule>
  </conditionalFormatting>
  <conditionalFormatting sqref="AB4:AC45">
    <cfRule type="expression" dxfId="0" priority="7">
      <formula>#REF!=FALSE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FD403D2D-E983-46AD-99A1-797C7F15F5D8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'Lipid class level'!D7:T7</xm:f>
              <xm:sqref>AD7</xm:sqref>
            </x14:sparkline>
            <x14:sparkline>
              <xm:f>'Lipid class level'!D8:T8</xm:f>
              <xm:sqref>AD8</xm:sqref>
            </x14:sparkline>
            <x14:sparkline>
              <xm:f>'Lipid class level'!D10:T10</xm:f>
              <xm:sqref>AD10</xm:sqref>
            </x14:sparkline>
            <x14:sparkline>
              <xm:f>'Lipid class level'!D11:T11</xm:f>
              <xm:sqref>AD11</xm:sqref>
            </x14:sparkline>
            <x14:sparkline>
              <xm:f>'Lipid class level'!D12:T12</xm:f>
              <xm:sqref>AD12</xm:sqref>
            </x14:sparkline>
            <x14:sparkline>
              <xm:f>'Lipid class level'!D43:T43</xm:f>
              <xm:sqref>AD43</xm:sqref>
            </x14:sparkline>
            <x14:sparkline>
              <xm:f>'Lipid class level'!D44:T44</xm:f>
              <xm:sqref>AD44</xm:sqref>
            </x14:sparkline>
          </x14:sparklines>
        </x14:sparklineGroup>
        <x14:sparklineGroup manualMin="0" type="column" displayEmptyCellsAs="gap" minAxisType="custom" xr2:uid="{F989499E-B97A-416F-BFBE-6D7A3DE60A91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'Lipid class level'!D4:T4</xm:f>
              <xm:sqref>AD4</xm:sqref>
            </x14:sparkline>
            <x14:sparkline>
              <xm:f>'Lipid class level'!D5:T5</xm:f>
              <xm:sqref>AD5</xm:sqref>
            </x14:sparkline>
            <x14:sparkline>
              <xm:f>'Lipid class level'!D6:T6</xm:f>
              <xm:sqref>AD6</xm:sqref>
            </x14:sparkline>
            <x14:sparkline>
              <xm:f>'Lipid class level'!D9:T9</xm:f>
              <xm:sqref>AD9</xm:sqref>
            </x14:sparkline>
            <x14:sparkline>
              <xm:f>'Lipid class level'!D13:T13</xm:f>
              <xm:sqref>AD13</xm:sqref>
            </x14:sparkline>
            <x14:sparkline>
              <xm:f>'Lipid class level'!D14:T14</xm:f>
              <xm:sqref>AD14</xm:sqref>
            </x14:sparkline>
            <x14:sparkline>
              <xm:f>'Lipid class level'!D15:T15</xm:f>
              <xm:sqref>AD15</xm:sqref>
            </x14:sparkline>
            <x14:sparkline>
              <xm:f>'Lipid class level'!D16:T16</xm:f>
              <xm:sqref>AD16</xm:sqref>
            </x14:sparkline>
            <x14:sparkline>
              <xm:f>'Lipid class level'!D17:T17</xm:f>
              <xm:sqref>AD17</xm:sqref>
            </x14:sparkline>
            <x14:sparkline>
              <xm:f>'Lipid class level'!D18:T18</xm:f>
              <xm:sqref>AD18</xm:sqref>
            </x14:sparkline>
            <x14:sparkline>
              <xm:f>'Lipid class level'!D19:T19</xm:f>
              <xm:sqref>AD19</xm:sqref>
            </x14:sparkline>
            <x14:sparkline>
              <xm:f>'Lipid class level'!D20:T20</xm:f>
              <xm:sqref>AD20</xm:sqref>
            </x14:sparkline>
            <x14:sparkline>
              <xm:f>'Lipid class level'!D21:T21</xm:f>
              <xm:sqref>AD21</xm:sqref>
            </x14:sparkline>
            <x14:sparkline>
              <xm:f>'Lipid class level'!D22:T22</xm:f>
              <xm:sqref>AD22</xm:sqref>
            </x14:sparkline>
            <x14:sparkline>
              <xm:f>'Lipid class level'!D23:T23</xm:f>
              <xm:sqref>AD23</xm:sqref>
            </x14:sparkline>
            <x14:sparkline>
              <xm:f>'Lipid class level'!D24:T24</xm:f>
              <xm:sqref>AD24</xm:sqref>
            </x14:sparkline>
            <x14:sparkline>
              <xm:f>'Lipid class level'!D25:T25</xm:f>
              <xm:sqref>AD25</xm:sqref>
            </x14:sparkline>
            <x14:sparkline>
              <xm:f>'Lipid class level'!D26:T26</xm:f>
              <xm:sqref>AD26</xm:sqref>
            </x14:sparkline>
            <x14:sparkline>
              <xm:f>'Lipid class level'!D27:T27</xm:f>
              <xm:sqref>AD27</xm:sqref>
            </x14:sparkline>
            <x14:sparkline>
              <xm:f>'Lipid class level'!D28:T28</xm:f>
              <xm:sqref>AD28</xm:sqref>
            </x14:sparkline>
            <x14:sparkline>
              <xm:f>'Lipid class level'!D29:T29</xm:f>
              <xm:sqref>AD29</xm:sqref>
            </x14:sparkline>
            <x14:sparkline>
              <xm:f>'Lipid class level'!D30:T30</xm:f>
              <xm:sqref>AD30</xm:sqref>
            </x14:sparkline>
            <x14:sparkline>
              <xm:f>'Lipid class level'!D31:T31</xm:f>
              <xm:sqref>AD31</xm:sqref>
            </x14:sparkline>
            <x14:sparkline>
              <xm:f>'Lipid class level'!D32:T32</xm:f>
              <xm:sqref>AD32</xm:sqref>
            </x14:sparkline>
            <x14:sparkline>
              <xm:f>'Lipid class level'!D33:T33</xm:f>
              <xm:sqref>AD33</xm:sqref>
            </x14:sparkline>
            <x14:sparkline>
              <xm:f>'Lipid class level'!D34:T34</xm:f>
              <xm:sqref>AD34</xm:sqref>
            </x14:sparkline>
            <x14:sparkline>
              <xm:f>'Lipid class level'!D35:T35</xm:f>
              <xm:sqref>AD35</xm:sqref>
            </x14:sparkline>
            <x14:sparkline>
              <xm:f>'Lipid class level'!D36:T36</xm:f>
              <xm:sqref>AD36</xm:sqref>
            </x14:sparkline>
            <x14:sparkline>
              <xm:f>'Lipid class level'!D37:T37</xm:f>
              <xm:sqref>AD37</xm:sqref>
            </x14:sparkline>
            <x14:sparkline>
              <xm:f>'Lipid class level'!D38:T38</xm:f>
              <xm:sqref>AD38</xm:sqref>
            </x14:sparkline>
            <x14:sparkline>
              <xm:f>'Lipid class level'!D39:T39</xm:f>
              <xm:sqref>AD39</xm:sqref>
            </x14:sparkline>
            <x14:sparkline>
              <xm:f>'Lipid class level'!D40:T40</xm:f>
              <xm:sqref>AD40</xm:sqref>
            </x14:sparkline>
            <x14:sparkline>
              <xm:f>'Lipid class level'!D41:T41</xm:f>
              <xm:sqref>AD41</xm:sqref>
            </x14:sparkline>
            <x14:sparkline>
              <xm:f>'Lipid class level'!D42:T42</xm:f>
              <xm:sqref>AD42</xm:sqref>
            </x14:sparkline>
            <x14:sparkline>
              <xm:f>'Lipid class level'!D45:T45</xm:f>
              <xm:sqref>AD45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4FD6-2DB9-4791-8380-FFF4DD8C5D7F}">
  <dimension ref="A1:BX78"/>
  <sheetViews>
    <sheetView topLeftCell="A50" zoomScale="83" zoomScaleNormal="83" workbookViewId="0">
      <pane xSplit="2" ySplit="4" topLeftCell="C63" activePane="bottomRight" state="frozen"/>
      <selection activeCell="A50" sqref="A50"/>
      <selection pane="topRight" activeCell="C50" sqref="C50"/>
      <selection pane="bottomLeft" activeCell="A54" sqref="A54"/>
      <selection pane="bottomRight" activeCell="V67" sqref="V67"/>
    </sheetView>
  </sheetViews>
  <sheetFormatPr defaultRowHeight="13.2" x14ac:dyDescent="0.2"/>
  <cols>
    <col min="10" max="10" width="1.6640625" customWidth="1"/>
    <col min="18" max="18" width="1.6640625" customWidth="1"/>
    <col min="24" max="40" width="1.6640625" customWidth="1"/>
    <col min="42" max="58" width="1.6640625" customWidth="1"/>
    <col min="60" max="76" width="1.6640625" customWidth="1"/>
  </cols>
  <sheetData>
    <row r="1" spans="1:21" x14ac:dyDescent="0.2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S1" t="s">
        <v>2</v>
      </c>
    </row>
    <row r="2" spans="1:21" x14ac:dyDescent="0.2">
      <c r="A2" t="s">
        <v>513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/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/>
      <c r="S2" t="s">
        <v>2</v>
      </c>
      <c r="T2" t="s">
        <v>684</v>
      </c>
      <c r="U2" t="s">
        <v>683</v>
      </c>
    </row>
    <row r="3" spans="1:21" x14ac:dyDescent="0.2">
      <c r="A3">
        <v>4116</v>
      </c>
      <c r="B3" t="s">
        <v>353</v>
      </c>
      <c r="C3">
        <v>372</v>
      </c>
      <c r="D3">
        <v>683</v>
      </c>
      <c r="E3">
        <v>373</v>
      </c>
      <c r="F3">
        <v>207</v>
      </c>
      <c r="G3">
        <v>539</v>
      </c>
      <c r="H3">
        <v>680</v>
      </c>
      <c r="I3">
        <v>754</v>
      </c>
      <c r="K3">
        <v>182</v>
      </c>
      <c r="L3">
        <v>339</v>
      </c>
      <c r="M3">
        <v>67</v>
      </c>
      <c r="N3">
        <v>175</v>
      </c>
      <c r="O3">
        <v>145</v>
      </c>
      <c r="P3">
        <v>238</v>
      </c>
      <c r="Q3">
        <v>207</v>
      </c>
      <c r="S3">
        <v>141</v>
      </c>
      <c r="T3" t="b">
        <v>1</v>
      </c>
      <c r="U3" t="b">
        <v>1</v>
      </c>
    </row>
    <row r="4" spans="1:21" x14ac:dyDescent="0.2">
      <c r="A4">
        <v>1390</v>
      </c>
      <c r="B4" t="s">
        <v>330</v>
      </c>
      <c r="C4">
        <v>945</v>
      </c>
      <c r="D4">
        <v>1096</v>
      </c>
      <c r="E4">
        <v>1566</v>
      </c>
      <c r="F4">
        <v>823</v>
      </c>
      <c r="G4">
        <v>2316</v>
      </c>
      <c r="H4">
        <v>1615</v>
      </c>
      <c r="I4">
        <v>1753</v>
      </c>
      <c r="K4">
        <v>630</v>
      </c>
      <c r="L4">
        <v>524</v>
      </c>
      <c r="M4">
        <v>120</v>
      </c>
      <c r="N4">
        <v>518</v>
      </c>
      <c r="O4">
        <v>314</v>
      </c>
      <c r="P4">
        <v>549</v>
      </c>
      <c r="Q4">
        <v>267</v>
      </c>
      <c r="S4">
        <v>0</v>
      </c>
      <c r="T4" t="b">
        <v>1</v>
      </c>
      <c r="U4" t="b">
        <v>1</v>
      </c>
    </row>
    <row r="5" spans="1:21" x14ac:dyDescent="0.2">
      <c r="A5">
        <v>786</v>
      </c>
      <c r="B5" t="s">
        <v>307</v>
      </c>
      <c r="C5">
        <v>1295</v>
      </c>
      <c r="D5">
        <v>2018</v>
      </c>
      <c r="E5">
        <v>805</v>
      </c>
      <c r="F5">
        <v>1341</v>
      </c>
      <c r="G5">
        <v>4380</v>
      </c>
      <c r="H5">
        <v>2815</v>
      </c>
      <c r="I5">
        <v>2336</v>
      </c>
      <c r="K5">
        <v>987</v>
      </c>
      <c r="L5">
        <v>1275</v>
      </c>
      <c r="M5">
        <v>198</v>
      </c>
      <c r="N5">
        <v>804</v>
      </c>
      <c r="O5">
        <v>756</v>
      </c>
      <c r="P5">
        <v>1014</v>
      </c>
      <c r="Q5">
        <v>796</v>
      </c>
      <c r="S5">
        <v>0</v>
      </c>
      <c r="T5" t="b">
        <v>1</v>
      </c>
      <c r="U5" t="b">
        <v>1</v>
      </c>
    </row>
    <row r="6" spans="1:21" x14ac:dyDescent="0.2">
      <c r="A6">
        <v>416</v>
      </c>
      <c r="B6" t="s">
        <v>293</v>
      </c>
      <c r="C6">
        <v>3018</v>
      </c>
      <c r="D6">
        <v>3472</v>
      </c>
      <c r="E6">
        <v>2431</v>
      </c>
      <c r="F6">
        <v>2643</v>
      </c>
      <c r="G6">
        <v>8756</v>
      </c>
      <c r="H6">
        <v>5960</v>
      </c>
      <c r="I6">
        <v>7328</v>
      </c>
      <c r="K6">
        <v>1333</v>
      </c>
      <c r="L6">
        <v>2465</v>
      </c>
      <c r="M6">
        <v>554</v>
      </c>
      <c r="N6">
        <v>909</v>
      </c>
      <c r="O6">
        <v>1803</v>
      </c>
      <c r="P6">
        <v>1317</v>
      </c>
      <c r="Q6">
        <v>2077</v>
      </c>
      <c r="S6">
        <v>0</v>
      </c>
      <c r="T6" t="b">
        <v>1</v>
      </c>
      <c r="U6" t="b">
        <v>1</v>
      </c>
    </row>
    <row r="7" spans="1:21" x14ac:dyDescent="0.2">
      <c r="A7">
        <v>1306</v>
      </c>
      <c r="B7" t="s">
        <v>318</v>
      </c>
      <c r="C7">
        <v>745</v>
      </c>
      <c r="D7">
        <v>1299</v>
      </c>
      <c r="E7">
        <v>1059</v>
      </c>
      <c r="F7">
        <v>844</v>
      </c>
      <c r="G7">
        <v>2928</v>
      </c>
      <c r="H7">
        <v>3211</v>
      </c>
      <c r="I7">
        <v>2478</v>
      </c>
      <c r="K7">
        <v>377</v>
      </c>
      <c r="L7">
        <v>685</v>
      </c>
      <c r="M7">
        <v>355</v>
      </c>
      <c r="N7">
        <v>752</v>
      </c>
      <c r="O7">
        <v>460</v>
      </c>
      <c r="P7">
        <v>686</v>
      </c>
      <c r="Q7">
        <v>887</v>
      </c>
      <c r="S7">
        <v>0</v>
      </c>
      <c r="T7" t="b">
        <v>1</v>
      </c>
      <c r="U7" t="b">
        <v>1</v>
      </c>
    </row>
    <row r="8" spans="1:21" x14ac:dyDescent="0.2">
      <c r="A8">
        <v>169</v>
      </c>
      <c r="B8" t="s">
        <v>251</v>
      </c>
      <c r="C8">
        <v>10645</v>
      </c>
      <c r="D8">
        <v>10734</v>
      </c>
      <c r="E8">
        <v>6557</v>
      </c>
      <c r="F8">
        <v>4907</v>
      </c>
      <c r="G8">
        <v>16598</v>
      </c>
      <c r="H8">
        <v>22596</v>
      </c>
      <c r="I8">
        <v>14218</v>
      </c>
      <c r="K8">
        <v>4999</v>
      </c>
      <c r="L8">
        <v>5152</v>
      </c>
      <c r="M8">
        <v>1784</v>
      </c>
      <c r="N8">
        <v>3812</v>
      </c>
      <c r="O8">
        <v>6055</v>
      </c>
      <c r="P8">
        <v>6664</v>
      </c>
      <c r="Q8">
        <v>6607</v>
      </c>
      <c r="S8">
        <v>0</v>
      </c>
      <c r="T8" t="b">
        <v>1</v>
      </c>
      <c r="U8" t="b">
        <v>1</v>
      </c>
    </row>
    <row r="9" spans="1:21" x14ac:dyDescent="0.2">
      <c r="A9">
        <v>470</v>
      </c>
      <c r="B9" t="s">
        <v>281</v>
      </c>
      <c r="C9">
        <v>2976</v>
      </c>
      <c r="D9">
        <v>3695</v>
      </c>
      <c r="E9">
        <v>2696</v>
      </c>
      <c r="F9">
        <v>2216</v>
      </c>
      <c r="G9">
        <v>6321</v>
      </c>
      <c r="H9">
        <v>7541</v>
      </c>
      <c r="I9">
        <v>4748</v>
      </c>
      <c r="K9">
        <v>1955</v>
      </c>
      <c r="L9">
        <v>2131</v>
      </c>
      <c r="M9">
        <v>480</v>
      </c>
      <c r="N9">
        <v>1514</v>
      </c>
      <c r="O9">
        <v>2090</v>
      </c>
      <c r="P9">
        <v>1761</v>
      </c>
      <c r="Q9">
        <v>1640</v>
      </c>
      <c r="S9">
        <v>0</v>
      </c>
      <c r="T9" t="b">
        <v>1</v>
      </c>
      <c r="U9" t="b">
        <v>1</v>
      </c>
    </row>
    <row r="10" spans="1:21" x14ac:dyDescent="0.2">
      <c r="A10">
        <v>1173</v>
      </c>
      <c r="B10" t="s">
        <v>281</v>
      </c>
      <c r="C10">
        <v>1937</v>
      </c>
      <c r="D10">
        <v>1612</v>
      </c>
      <c r="E10">
        <v>1135</v>
      </c>
      <c r="F10">
        <v>774</v>
      </c>
      <c r="G10">
        <v>2073</v>
      </c>
      <c r="H10">
        <v>2787</v>
      </c>
      <c r="I10">
        <v>2616</v>
      </c>
      <c r="K10">
        <v>517</v>
      </c>
      <c r="L10">
        <v>1953</v>
      </c>
      <c r="M10">
        <v>238</v>
      </c>
      <c r="N10">
        <v>370</v>
      </c>
      <c r="O10">
        <v>864</v>
      </c>
      <c r="P10">
        <v>586</v>
      </c>
      <c r="Q10">
        <v>678</v>
      </c>
      <c r="S10">
        <v>4</v>
      </c>
      <c r="T10" t="b">
        <v>1</v>
      </c>
      <c r="U10" t="b">
        <v>1</v>
      </c>
    </row>
    <row r="11" spans="1:21" x14ac:dyDescent="0.2">
      <c r="A11">
        <v>454</v>
      </c>
      <c r="B11" t="s">
        <v>264</v>
      </c>
      <c r="C11">
        <v>3365</v>
      </c>
      <c r="D11">
        <v>4891</v>
      </c>
      <c r="E11">
        <v>2268</v>
      </c>
      <c r="F11">
        <v>1011</v>
      </c>
      <c r="G11">
        <v>6030</v>
      </c>
      <c r="H11">
        <v>7870</v>
      </c>
      <c r="I11">
        <v>4876</v>
      </c>
      <c r="K11">
        <v>698</v>
      </c>
      <c r="L11">
        <v>1217</v>
      </c>
      <c r="M11">
        <v>557</v>
      </c>
      <c r="N11">
        <v>1219</v>
      </c>
      <c r="O11">
        <v>3088</v>
      </c>
      <c r="P11">
        <v>1963</v>
      </c>
      <c r="Q11">
        <v>1663</v>
      </c>
      <c r="S11">
        <v>0</v>
      </c>
      <c r="T11" t="b">
        <v>1</v>
      </c>
      <c r="U11" t="b">
        <v>1</v>
      </c>
    </row>
    <row r="12" spans="1:21" x14ac:dyDescent="0.2">
      <c r="A12">
        <v>1752</v>
      </c>
      <c r="B12" t="s">
        <v>336</v>
      </c>
      <c r="C12">
        <v>479</v>
      </c>
      <c r="D12">
        <v>620</v>
      </c>
      <c r="E12">
        <v>572</v>
      </c>
      <c r="F12">
        <v>189</v>
      </c>
      <c r="G12">
        <v>1777</v>
      </c>
      <c r="H12">
        <v>1400</v>
      </c>
      <c r="I12">
        <v>1143</v>
      </c>
      <c r="K12">
        <v>230</v>
      </c>
      <c r="L12">
        <v>799</v>
      </c>
      <c r="M12">
        <v>171</v>
      </c>
      <c r="N12">
        <v>360</v>
      </c>
      <c r="O12">
        <v>1715</v>
      </c>
      <c r="P12">
        <v>481</v>
      </c>
      <c r="Q12">
        <v>383</v>
      </c>
      <c r="S12">
        <v>0</v>
      </c>
      <c r="T12" t="b">
        <v>1</v>
      </c>
      <c r="U12" t="b">
        <v>0</v>
      </c>
    </row>
    <row r="13" spans="1:21" x14ac:dyDescent="0.2">
      <c r="A13">
        <v>348</v>
      </c>
      <c r="B13" t="s">
        <v>331</v>
      </c>
      <c r="C13">
        <v>4566</v>
      </c>
      <c r="D13">
        <v>6191</v>
      </c>
      <c r="E13">
        <v>2636</v>
      </c>
      <c r="F13">
        <v>1912</v>
      </c>
      <c r="G13">
        <v>7877</v>
      </c>
      <c r="H13">
        <v>10503</v>
      </c>
      <c r="I13">
        <v>8671</v>
      </c>
      <c r="K13">
        <v>1966</v>
      </c>
      <c r="L13">
        <v>3460</v>
      </c>
      <c r="M13">
        <v>925</v>
      </c>
      <c r="N13">
        <v>1923</v>
      </c>
      <c r="O13">
        <v>3086</v>
      </c>
      <c r="P13">
        <v>2151</v>
      </c>
      <c r="Q13">
        <v>4987</v>
      </c>
      <c r="S13">
        <v>0</v>
      </c>
      <c r="T13" t="b">
        <v>1</v>
      </c>
      <c r="U13" t="b">
        <v>1</v>
      </c>
    </row>
    <row r="14" spans="1:21" x14ac:dyDescent="0.2">
      <c r="A14">
        <v>222</v>
      </c>
      <c r="B14" t="s">
        <v>214</v>
      </c>
      <c r="C14">
        <v>8893</v>
      </c>
      <c r="D14">
        <v>8838</v>
      </c>
      <c r="E14">
        <v>6408</v>
      </c>
      <c r="F14">
        <v>5095</v>
      </c>
      <c r="G14">
        <v>17725</v>
      </c>
      <c r="H14">
        <v>15204</v>
      </c>
      <c r="I14">
        <v>13441</v>
      </c>
      <c r="K14">
        <v>3495</v>
      </c>
      <c r="L14">
        <v>5987</v>
      </c>
      <c r="M14">
        <v>1552</v>
      </c>
      <c r="N14">
        <v>3881</v>
      </c>
      <c r="O14">
        <v>6075</v>
      </c>
      <c r="P14">
        <v>4379</v>
      </c>
      <c r="Q14">
        <v>4794</v>
      </c>
      <c r="S14">
        <v>0</v>
      </c>
      <c r="T14" t="b">
        <v>1</v>
      </c>
      <c r="U14" t="b">
        <v>1</v>
      </c>
    </row>
    <row r="15" spans="1:21" x14ac:dyDescent="0.2">
      <c r="A15">
        <v>188</v>
      </c>
      <c r="B15" t="s">
        <v>220</v>
      </c>
      <c r="C15">
        <v>10951</v>
      </c>
      <c r="D15">
        <v>10149</v>
      </c>
      <c r="E15">
        <v>5315</v>
      </c>
      <c r="F15">
        <v>3408</v>
      </c>
      <c r="G15">
        <v>17265</v>
      </c>
      <c r="H15">
        <v>20811</v>
      </c>
      <c r="I15">
        <v>11416</v>
      </c>
      <c r="K15">
        <v>2400</v>
      </c>
      <c r="L15">
        <v>4369</v>
      </c>
      <c r="M15">
        <v>1182</v>
      </c>
      <c r="N15">
        <v>2772</v>
      </c>
      <c r="O15">
        <v>8235</v>
      </c>
      <c r="P15">
        <v>3691</v>
      </c>
      <c r="Q15">
        <v>4610</v>
      </c>
      <c r="S15">
        <v>0</v>
      </c>
      <c r="T15" t="b">
        <v>1</v>
      </c>
      <c r="U15" t="b">
        <v>1</v>
      </c>
    </row>
    <row r="16" spans="1:21" x14ac:dyDescent="0.2">
      <c r="A16">
        <v>1385</v>
      </c>
      <c r="B16" t="s">
        <v>312</v>
      </c>
      <c r="C16">
        <v>1601</v>
      </c>
      <c r="D16">
        <v>1402</v>
      </c>
      <c r="E16">
        <v>1006</v>
      </c>
      <c r="F16">
        <v>294</v>
      </c>
      <c r="G16">
        <v>1719</v>
      </c>
      <c r="H16">
        <v>2331</v>
      </c>
      <c r="I16">
        <v>1959</v>
      </c>
      <c r="K16">
        <v>287</v>
      </c>
      <c r="L16">
        <v>1025</v>
      </c>
      <c r="M16">
        <v>232</v>
      </c>
      <c r="N16">
        <v>327</v>
      </c>
      <c r="O16">
        <v>1259</v>
      </c>
      <c r="P16">
        <v>336</v>
      </c>
      <c r="Q16">
        <v>921</v>
      </c>
      <c r="S16">
        <v>0</v>
      </c>
      <c r="T16" t="b">
        <v>1</v>
      </c>
      <c r="U16" t="b">
        <v>0</v>
      </c>
    </row>
    <row r="17" spans="1:21" x14ac:dyDescent="0.2">
      <c r="A17">
        <v>1810</v>
      </c>
      <c r="B17" t="s">
        <v>312</v>
      </c>
      <c r="C17">
        <v>736</v>
      </c>
      <c r="D17">
        <v>607</v>
      </c>
      <c r="E17">
        <v>257</v>
      </c>
      <c r="F17">
        <v>65</v>
      </c>
      <c r="G17">
        <v>1408</v>
      </c>
      <c r="H17">
        <v>1711</v>
      </c>
      <c r="I17">
        <v>1025</v>
      </c>
      <c r="K17">
        <v>120</v>
      </c>
      <c r="L17">
        <v>306</v>
      </c>
      <c r="M17">
        <v>4</v>
      </c>
      <c r="N17">
        <v>112</v>
      </c>
      <c r="O17">
        <v>590</v>
      </c>
      <c r="P17">
        <v>227</v>
      </c>
      <c r="Q17">
        <v>376</v>
      </c>
      <c r="S17">
        <v>0</v>
      </c>
      <c r="T17" t="b">
        <v>1</v>
      </c>
      <c r="U17" t="b">
        <v>0</v>
      </c>
    </row>
    <row r="18" spans="1:21" x14ac:dyDescent="0.2">
      <c r="A18">
        <v>674</v>
      </c>
      <c r="B18" t="s">
        <v>559</v>
      </c>
      <c r="C18">
        <v>2893</v>
      </c>
      <c r="D18">
        <v>2989</v>
      </c>
      <c r="E18">
        <v>1615</v>
      </c>
      <c r="F18">
        <v>930</v>
      </c>
      <c r="G18">
        <v>4162</v>
      </c>
      <c r="H18">
        <v>3647</v>
      </c>
      <c r="I18">
        <v>5256</v>
      </c>
      <c r="K18">
        <v>470</v>
      </c>
      <c r="L18">
        <v>1320</v>
      </c>
      <c r="M18">
        <v>182</v>
      </c>
      <c r="N18">
        <v>728</v>
      </c>
      <c r="O18">
        <v>1691</v>
      </c>
      <c r="P18">
        <v>917</v>
      </c>
      <c r="Q18">
        <v>1225</v>
      </c>
      <c r="S18">
        <v>0</v>
      </c>
      <c r="T18" t="b">
        <v>1</v>
      </c>
      <c r="U18" t="b">
        <v>1</v>
      </c>
    </row>
    <row r="19" spans="1:21" x14ac:dyDescent="0.2">
      <c r="A19">
        <v>895</v>
      </c>
      <c r="B19" t="s">
        <v>339</v>
      </c>
      <c r="C19">
        <v>3788</v>
      </c>
      <c r="D19">
        <v>3398</v>
      </c>
      <c r="E19">
        <v>1681</v>
      </c>
      <c r="F19">
        <v>873</v>
      </c>
      <c r="G19">
        <v>3248</v>
      </c>
      <c r="H19">
        <v>3284</v>
      </c>
      <c r="I19">
        <v>3810</v>
      </c>
      <c r="K19">
        <v>405</v>
      </c>
      <c r="L19">
        <v>1313</v>
      </c>
      <c r="M19">
        <v>147</v>
      </c>
      <c r="N19">
        <v>743</v>
      </c>
      <c r="O19">
        <v>2451</v>
      </c>
      <c r="P19">
        <v>1143</v>
      </c>
      <c r="Q19">
        <v>1463</v>
      </c>
      <c r="S19">
        <v>0</v>
      </c>
      <c r="T19" t="b">
        <v>1</v>
      </c>
      <c r="U19" t="b">
        <v>1</v>
      </c>
    </row>
    <row r="20" spans="1:21" x14ac:dyDescent="0.2">
      <c r="A20">
        <v>1416</v>
      </c>
      <c r="B20" t="s">
        <v>578</v>
      </c>
      <c r="C20">
        <v>717</v>
      </c>
      <c r="D20">
        <v>888</v>
      </c>
      <c r="E20">
        <v>509</v>
      </c>
      <c r="F20">
        <v>345</v>
      </c>
      <c r="G20">
        <v>1611</v>
      </c>
      <c r="H20">
        <v>2259</v>
      </c>
      <c r="I20">
        <v>1359</v>
      </c>
      <c r="K20">
        <v>641</v>
      </c>
      <c r="L20">
        <v>1129</v>
      </c>
      <c r="M20">
        <v>491</v>
      </c>
      <c r="N20">
        <v>415</v>
      </c>
      <c r="O20">
        <v>342</v>
      </c>
      <c r="P20">
        <v>726</v>
      </c>
      <c r="Q20">
        <v>1228</v>
      </c>
      <c r="S20">
        <v>0</v>
      </c>
      <c r="T20" t="b">
        <v>1</v>
      </c>
      <c r="U20" t="b">
        <v>1</v>
      </c>
    </row>
    <row r="21" spans="1:21" x14ac:dyDescent="0.2">
      <c r="A21">
        <v>2232</v>
      </c>
      <c r="B21" t="s">
        <v>589</v>
      </c>
      <c r="C21">
        <v>496</v>
      </c>
      <c r="D21">
        <v>259</v>
      </c>
      <c r="E21">
        <v>37</v>
      </c>
      <c r="F21">
        <v>9</v>
      </c>
      <c r="G21">
        <v>657</v>
      </c>
      <c r="H21">
        <v>1361</v>
      </c>
      <c r="I21">
        <v>747</v>
      </c>
      <c r="K21">
        <v>134</v>
      </c>
      <c r="L21">
        <v>353</v>
      </c>
      <c r="M21">
        <v>14</v>
      </c>
      <c r="N21">
        <v>249</v>
      </c>
      <c r="O21">
        <v>422</v>
      </c>
      <c r="P21">
        <v>226</v>
      </c>
      <c r="Q21">
        <v>506</v>
      </c>
      <c r="S21">
        <v>0</v>
      </c>
      <c r="T21" t="b">
        <v>0</v>
      </c>
      <c r="U21" t="b">
        <v>1</v>
      </c>
    </row>
    <row r="22" spans="1:21" x14ac:dyDescent="0.2">
      <c r="A22">
        <v>1561</v>
      </c>
      <c r="B22" t="s">
        <v>581</v>
      </c>
      <c r="C22">
        <v>1062</v>
      </c>
      <c r="D22">
        <v>540</v>
      </c>
      <c r="E22">
        <v>315</v>
      </c>
      <c r="F22">
        <v>93</v>
      </c>
      <c r="G22">
        <v>1091</v>
      </c>
      <c r="H22">
        <v>2048</v>
      </c>
      <c r="I22">
        <v>1166</v>
      </c>
      <c r="K22">
        <v>372</v>
      </c>
      <c r="L22">
        <v>709</v>
      </c>
      <c r="M22">
        <v>89</v>
      </c>
      <c r="N22">
        <v>308</v>
      </c>
      <c r="O22">
        <v>38</v>
      </c>
      <c r="P22">
        <v>454</v>
      </c>
      <c r="Q22">
        <v>462</v>
      </c>
      <c r="S22">
        <v>0</v>
      </c>
      <c r="T22" t="b">
        <v>1</v>
      </c>
      <c r="U22" t="b">
        <v>1</v>
      </c>
    </row>
    <row r="23" spans="1:21" x14ac:dyDescent="0.2">
      <c r="A23">
        <v>1476</v>
      </c>
      <c r="B23" t="s">
        <v>580</v>
      </c>
      <c r="C23">
        <v>520</v>
      </c>
      <c r="D23">
        <v>375</v>
      </c>
      <c r="E23">
        <v>308</v>
      </c>
      <c r="F23">
        <v>61</v>
      </c>
      <c r="G23">
        <v>489</v>
      </c>
      <c r="H23">
        <v>563</v>
      </c>
      <c r="I23">
        <v>491</v>
      </c>
      <c r="K23">
        <v>775</v>
      </c>
      <c r="L23">
        <v>1128</v>
      </c>
      <c r="M23">
        <v>462</v>
      </c>
      <c r="N23">
        <v>903</v>
      </c>
      <c r="O23">
        <v>397</v>
      </c>
      <c r="P23">
        <v>914</v>
      </c>
      <c r="Q23">
        <v>2187</v>
      </c>
      <c r="S23">
        <v>0</v>
      </c>
      <c r="T23" t="b">
        <v>1</v>
      </c>
      <c r="U23" t="b">
        <v>0</v>
      </c>
    </row>
    <row r="24" spans="1:21" x14ac:dyDescent="0.2">
      <c r="B24" t="s">
        <v>531</v>
      </c>
      <c r="C24">
        <f>SUM(C3:C23)</f>
        <v>62000</v>
      </c>
      <c r="D24">
        <f>SUM(D3:D23)</f>
        <v>65756</v>
      </c>
      <c r="E24">
        <f>SUM(E3:E23)</f>
        <v>39549</v>
      </c>
      <c r="F24">
        <f t="shared" ref="F24:H24" si="0">SUM(F3:F23)</f>
        <v>28040</v>
      </c>
      <c r="G24">
        <f t="shared" si="0"/>
        <v>108970</v>
      </c>
      <c r="H24">
        <f t="shared" si="0"/>
        <v>120197</v>
      </c>
      <c r="I24">
        <f>SUM(I3:I23)</f>
        <v>91591</v>
      </c>
      <c r="K24">
        <f>SUM(K3:K23)</f>
        <v>22973</v>
      </c>
      <c r="L24">
        <f t="shared" ref="L24:Q24" si="1">SUM(L3:L23)</f>
        <v>37639</v>
      </c>
      <c r="M24">
        <f t="shared" si="1"/>
        <v>9804</v>
      </c>
      <c r="N24">
        <f t="shared" si="1"/>
        <v>22794</v>
      </c>
      <c r="O24">
        <f t="shared" si="1"/>
        <v>41876</v>
      </c>
      <c r="P24">
        <f t="shared" si="1"/>
        <v>30423</v>
      </c>
      <c r="Q24">
        <f t="shared" si="1"/>
        <v>37964</v>
      </c>
      <c r="S24">
        <f>SUM(S3:S23)</f>
        <v>145</v>
      </c>
    </row>
    <row r="26" spans="1:21" x14ac:dyDescent="0.2">
      <c r="A26" t="s">
        <v>514</v>
      </c>
      <c r="T26" t="s">
        <v>684</v>
      </c>
      <c r="U26" t="s">
        <v>683</v>
      </c>
    </row>
    <row r="27" spans="1:21" x14ac:dyDescent="0.2">
      <c r="A27">
        <v>396</v>
      </c>
      <c r="B27" t="s">
        <v>420</v>
      </c>
      <c r="C27">
        <v>4318</v>
      </c>
      <c r="D27">
        <v>6076</v>
      </c>
      <c r="E27">
        <v>5411</v>
      </c>
      <c r="F27">
        <v>8392</v>
      </c>
      <c r="G27">
        <v>5426</v>
      </c>
      <c r="H27">
        <v>6825</v>
      </c>
      <c r="I27">
        <v>5831</v>
      </c>
      <c r="K27">
        <v>1039</v>
      </c>
      <c r="L27">
        <v>2151</v>
      </c>
      <c r="M27">
        <v>1084</v>
      </c>
      <c r="N27">
        <v>1600</v>
      </c>
      <c r="O27">
        <v>928</v>
      </c>
      <c r="P27">
        <v>2166</v>
      </c>
      <c r="Q27">
        <v>1811</v>
      </c>
      <c r="S27">
        <v>676</v>
      </c>
      <c r="T27" t="b">
        <v>1</v>
      </c>
      <c r="U27" t="b">
        <v>1</v>
      </c>
    </row>
    <row r="28" spans="1:21" x14ac:dyDescent="0.2">
      <c r="A28">
        <v>267</v>
      </c>
      <c r="B28" t="s">
        <v>414</v>
      </c>
      <c r="C28">
        <v>4988</v>
      </c>
      <c r="D28">
        <v>7244</v>
      </c>
      <c r="E28">
        <v>10638</v>
      </c>
      <c r="F28">
        <v>15285</v>
      </c>
      <c r="G28">
        <v>8345</v>
      </c>
      <c r="H28">
        <v>7325</v>
      </c>
      <c r="I28">
        <v>5085</v>
      </c>
      <c r="K28">
        <v>1005</v>
      </c>
      <c r="L28">
        <v>2725</v>
      </c>
      <c r="M28">
        <v>1301</v>
      </c>
      <c r="N28">
        <v>1351</v>
      </c>
      <c r="O28">
        <v>1022</v>
      </c>
      <c r="P28">
        <v>2158</v>
      </c>
      <c r="Q28">
        <v>2449</v>
      </c>
      <c r="S28">
        <v>459</v>
      </c>
      <c r="T28" t="b">
        <v>1</v>
      </c>
      <c r="U28" t="b">
        <v>1</v>
      </c>
    </row>
    <row r="29" spans="1:21" x14ac:dyDescent="0.2">
      <c r="A29">
        <v>130</v>
      </c>
      <c r="B29" t="s">
        <v>385</v>
      </c>
      <c r="C29">
        <v>19515</v>
      </c>
      <c r="D29">
        <v>16965</v>
      </c>
      <c r="E29">
        <v>30901</v>
      </c>
      <c r="F29">
        <v>38521</v>
      </c>
      <c r="G29">
        <v>33113</v>
      </c>
      <c r="H29">
        <v>27218</v>
      </c>
      <c r="I29">
        <v>15297</v>
      </c>
      <c r="K29">
        <v>2469</v>
      </c>
      <c r="L29">
        <v>7184</v>
      </c>
      <c r="M29">
        <v>2695</v>
      </c>
      <c r="N29">
        <v>3004</v>
      </c>
      <c r="O29">
        <v>2331</v>
      </c>
      <c r="P29">
        <v>5777</v>
      </c>
      <c r="Q29">
        <v>4610</v>
      </c>
      <c r="S29">
        <v>110</v>
      </c>
      <c r="T29" t="b">
        <v>1</v>
      </c>
      <c r="U29" t="b">
        <v>1</v>
      </c>
    </row>
    <row r="30" spans="1:21" x14ac:dyDescent="0.2">
      <c r="A30">
        <v>63</v>
      </c>
      <c r="B30" t="s">
        <v>377</v>
      </c>
      <c r="C30">
        <v>69833</v>
      </c>
      <c r="D30">
        <v>59649</v>
      </c>
      <c r="E30">
        <v>99611</v>
      </c>
      <c r="F30">
        <v>82093</v>
      </c>
      <c r="G30">
        <v>81212</v>
      </c>
      <c r="H30">
        <v>95517</v>
      </c>
      <c r="I30">
        <v>33749</v>
      </c>
      <c r="K30">
        <v>4176</v>
      </c>
      <c r="L30">
        <v>13398</v>
      </c>
      <c r="M30">
        <v>7752</v>
      </c>
      <c r="N30">
        <v>6685</v>
      </c>
      <c r="O30">
        <v>8731</v>
      </c>
      <c r="P30">
        <v>14383</v>
      </c>
      <c r="Q30">
        <v>8847</v>
      </c>
      <c r="S30">
        <v>514</v>
      </c>
      <c r="T30" t="b">
        <v>1</v>
      </c>
      <c r="U30" t="b">
        <v>1</v>
      </c>
    </row>
    <row r="31" spans="1:21" x14ac:dyDescent="0.2">
      <c r="A31">
        <v>174</v>
      </c>
      <c r="B31" t="s">
        <v>395</v>
      </c>
      <c r="C31">
        <v>12001</v>
      </c>
      <c r="D31">
        <v>12880</v>
      </c>
      <c r="E31">
        <v>25573</v>
      </c>
      <c r="F31">
        <v>27632</v>
      </c>
      <c r="G31">
        <v>17219</v>
      </c>
      <c r="H31">
        <v>18598</v>
      </c>
      <c r="I31">
        <v>11369</v>
      </c>
      <c r="K31">
        <v>1206</v>
      </c>
      <c r="L31">
        <v>4857</v>
      </c>
      <c r="M31">
        <v>1587</v>
      </c>
      <c r="N31">
        <v>2053</v>
      </c>
      <c r="O31">
        <v>2259</v>
      </c>
      <c r="P31">
        <v>4798</v>
      </c>
      <c r="Q31">
        <v>3675</v>
      </c>
      <c r="S31">
        <v>85</v>
      </c>
      <c r="T31" t="b">
        <v>1</v>
      </c>
      <c r="U31" t="b">
        <v>1</v>
      </c>
    </row>
    <row r="32" spans="1:21" x14ac:dyDescent="0.2">
      <c r="A32">
        <v>30</v>
      </c>
      <c r="B32" t="s">
        <v>370</v>
      </c>
      <c r="C32">
        <v>134176</v>
      </c>
      <c r="D32">
        <v>127922</v>
      </c>
      <c r="E32">
        <v>245857</v>
      </c>
      <c r="F32">
        <v>192937</v>
      </c>
      <c r="G32">
        <v>137040</v>
      </c>
      <c r="H32">
        <v>178891</v>
      </c>
      <c r="I32">
        <v>86187</v>
      </c>
      <c r="K32">
        <v>10122</v>
      </c>
      <c r="L32">
        <v>30766</v>
      </c>
      <c r="M32">
        <v>13512</v>
      </c>
      <c r="N32">
        <v>14913</v>
      </c>
      <c r="O32">
        <v>27363</v>
      </c>
      <c r="P32">
        <v>26402</v>
      </c>
      <c r="Q32">
        <v>24386</v>
      </c>
      <c r="S32">
        <v>204</v>
      </c>
      <c r="T32" t="b">
        <v>1</v>
      </c>
      <c r="U32" t="b">
        <v>1</v>
      </c>
    </row>
    <row r="33" spans="1:21" x14ac:dyDescent="0.2">
      <c r="A33">
        <v>96</v>
      </c>
      <c r="B33" t="s">
        <v>381</v>
      </c>
      <c r="C33">
        <v>42143</v>
      </c>
      <c r="D33">
        <v>31520</v>
      </c>
      <c r="E33">
        <v>59273</v>
      </c>
      <c r="F33">
        <v>49579</v>
      </c>
      <c r="G33">
        <v>48290</v>
      </c>
      <c r="H33">
        <v>53604</v>
      </c>
      <c r="I33">
        <v>24597</v>
      </c>
      <c r="K33">
        <v>2151</v>
      </c>
      <c r="L33">
        <v>7933</v>
      </c>
      <c r="M33">
        <v>1822</v>
      </c>
      <c r="N33">
        <v>3336</v>
      </c>
      <c r="O33">
        <v>4941</v>
      </c>
      <c r="P33">
        <v>8969</v>
      </c>
      <c r="Q33">
        <v>5510</v>
      </c>
      <c r="S33">
        <v>133</v>
      </c>
      <c r="T33" t="b">
        <v>1</v>
      </c>
      <c r="U33" t="b">
        <v>1</v>
      </c>
    </row>
    <row r="34" spans="1:21" x14ac:dyDescent="0.2">
      <c r="A34">
        <v>553</v>
      </c>
      <c r="B34" t="s">
        <v>381</v>
      </c>
      <c r="C34">
        <v>4056</v>
      </c>
      <c r="D34">
        <v>2820</v>
      </c>
      <c r="E34">
        <v>4994</v>
      </c>
      <c r="F34">
        <v>4038</v>
      </c>
      <c r="G34">
        <v>3721</v>
      </c>
      <c r="H34">
        <v>4187</v>
      </c>
      <c r="I34">
        <v>2499</v>
      </c>
      <c r="K34">
        <v>217</v>
      </c>
      <c r="L34">
        <v>1252</v>
      </c>
      <c r="M34">
        <v>375</v>
      </c>
      <c r="N34">
        <v>297</v>
      </c>
      <c r="O34">
        <v>687</v>
      </c>
      <c r="P34">
        <v>730</v>
      </c>
      <c r="Q34">
        <v>793</v>
      </c>
      <c r="S34">
        <v>16</v>
      </c>
      <c r="T34" t="b">
        <v>1</v>
      </c>
      <c r="U34" t="b">
        <v>1</v>
      </c>
    </row>
    <row r="35" spans="1:21" x14ac:dyDescent="0.2">
      <c r="A35">
        <v>90</v>
      </c>
      <c r="B35" t="s">
        <v>379</v>
      </c>
      <c r="C35">
        <v>54211</v>
      </c>
      <c r="D35">
        <v>35890</v>
      </c>
      <c r="E35">
        <v>61056</v>
      </c>
      <c r="F35">
        <v>60283</v>
      </c>
      <c r="G35">
        <v>62243</v>
      </c>
      <c r="H35">
        <v>63139</v>
      </c>
      <c r="I35">
        <v>32495</v>
      </c>
      <c r="K35">
        <v>1759</v>
      </c>
      <c r="L35">
        <v>9860</v>
      </c>
      <c r="M35">
        <v>3698</v>
      </c>
      <c r="N35">
        <v>4311</v>
      </c>
      <c r="O35">
        <v>9002</v>
      </c>
      <c r="P35">
        <v>14526</v>
      </c>
      <c r="Q35">
        <v>6958</v>
      </c>
      <c r="S35">
        <v>4</v>
      </c>
      <c r="T35" t="b">
        <v>1</v>
      </c>
      <c r="U35" t="b">
        <v>1</v>
      </c>
    </row>
    <row r="36" spans="1:21" x14ac:dyDescent="0.2">
      <c r="A36">
        <v>578</v>
      </c>
      <c r="B36" t="s">
        <v>445</v>
      </c>
      <c r="C36">
        <v>2891</v>
      </c>
      <c r="D36">
        <v>3564</v>
      </c>
      <c r="E36">
        <v>3602</v>
      </c>
      <c r="F36">
        <v>2945</v>
      </c>
      <c r="G36">
        <v>2894</v>
      </c>
      <c r="H36">
        <v>4711</v>
      </c>
      <c r="I36">
        <v>2221</v>
      </c>
      <c r="K36">
        <v>150</v>
      </c>
      <c r="L36">
        <v>610</v>
      </c>
      <c r="M36">
        <v>362</v>
      </c>
      <c r="N36">
        <v>267</v>
      </c>
      <c r="O36">
        <v>728</v>
      </c>
      <c r="P36">
        <v>669</v>
      </c>
      <c r="Q36">
        <v>376</v>
      </c>
      <c r="S36">
        <v>71</v>
      </c>
      <c r="T36" t="b">
        <v>1</v>
      </c>
      <c r="U36" t="b">
        <v>1</v>
      </c>
    </row>
    <row r="37" spans="1:21" x14ac:dyDescent="0.2">
      <c r="A37">
        <v>103</v>
      </c>
      <c r="B37" t="s">
        <v>389</v>
      </c>
      <c r="C37">
        <v>48004</v>
      </c>
      <c r="D37">
        <v>33143</v>
      </c>
      <c r="E37">
        <v>51804</v>
      </c>
      <c r="F37">
        <v>28598</v>
      </c>
      <c r="G37">
        <v>35217</v>
      </c>
      <c r="H37">
        <v>46645</v>
      </c>
      <c r="I37">
        <v>28330</v>
      </c>
      <c r="K37">
        <v>2345</v>
      </c>
      <c r="L37">
        <v>5836</v>
      </c>
      <c r="M37">
        <v>4076</v>
      </c>
      <c r="N37">
        <v>3346</v>
      </c>
      <c r="O37">
        <v>5200</v>
      </c>
      <c r="P37">
        <v>9577</v>
      </c>
      <c r="Q37">
        <v>4568</v>
      </c>
      <c r="S37">
        <v>697</v>
      </c>
      <c r="T37" t="b">
        <v>1</v>
      </c>
      <c r="U37" t="b">
        <v>1</v>
      </c>
    </row>
    <row r="38" spans="1:21" x14ac:dyDescent="0.2">
      <c r="A38">
        <v>33</v>
      </c>
      <c r="B38" t="s">
        <v>371</v>
      </c>
      <c r="C38">
        <v>152973</v>
      </c>
      <c r="D38">
        <v>111467</v>
      </c>
      <c r="E38">
        <v>226070</v>
      </c>
      <c r="F38">
        <v>129943</v>
      </c>
      <c r="G38">
        <v>94314</v>
      </c>
      <c r="H38">
        <v>171489</v>
      </c>
      <c r="I38">
        <v>69710</v>
      </c>
      <c r="K38">
        <v>4779</v>
      </c>
      <c r="L38">
        <v>18968</v>
      </c>
      <c r="M38">
        <v>7820</v>
      </c>
      <c r="N38">
        <v>10453</v>
      </c>
      <c r="O38">
        <v>24161</v>
      </c>
      <c r="P38">
        <v>24386</v>
      </c>
      <c r="Q38">
        <v>14061</v>
      </c>
      <c r="S38">
        <v>22</v>
      </c>
      <c r="T38" t="b">
        <v>1</v>
      </c>
      <c r="U38" t="b">
        <v>1</v>
      </c>
    </row>
    <row r="39" spans="1:21" x14ac:dyDescent="0.2">
      <c r="A39">
        <v>40</v>
      </c>
      <c r="B39" t="s">
        <v>368</v>
      </c>
      <c r="C39">
        <v>181841</v>
      </c>
      <c r="D39">
        <v>107376</v>
      </c>
      <c r="E39">
        <v>175622</v>
      </c>
      <c r="F39">
        <v>146020</v>
      </c>
      <c r="G39">
        <v>140857</v>
      </c>
      <c r="H39">
        <v>150531</v>
      </c>
      <c r="I39">
        <v>81718</v>
      </c>
      <c r="K39">
        <v>4553</v>
      </c>
      <c r="L39">
        <v>21520</v>
      </c>
      <c r="M39">
        <v>6252</v>
      </c>
      <c r="N39">
        <v>10307</v>
      </c>
      <c r="O39">
        <v>30868</v>
      </c>
      <c r="P39">
        <v>23698</v>
      </c>
      <c r="Q39">
        <v>20051</v>
      </c>
      <c r="S39">
        <v>145</v>
      </c>
      <c r="T39" t="b">
        <v>1</v>
      </c>
      <c r="U39" t="b">
        <v>1</v>
      </c>
    </row>
    <row r="40" spans="1:21" x14ac:dyDescent="0.2">
      <c r="A40">
        <v>428</v>
      </c>
      <c r="B40" t="s">
        <v>421</v>
      </c>
      <c r="C40">
        <v>7684</v>
      </c>
      <c r="D40">
        <v>4682</v>
      </c>
      <c r="E40">
        <v>6707</v>
      </c>
      <c r="F40">
        <v>5868</v>
      </c>
      <c r="G40">
        <v>7432</v>
      </c>
      <c r="H40">
        <v>6507</v>
      </c>
      <c r="I40">
        <v>3840</v>
      </c>
      <c r="K40">
        <v>285</v>
      </c>
      <c r="L40">
        <v>1208</v>
      </c>
      <c r="M40">
        <v>297</v>
      </c>
      <c r="N40">
        <v>679</v>
      </c>
      <c r="O40">
        <v>1744</v>
      </c>
      <c r="P40">
        <v>1060</v>
      </c>
      <c r="Q40">
        <v>1363</v>
      </c>
      <c r="S40">
        <v>61</v>
      </c>
      <c r="T40" t="b">
        <v>1</v>
      </c>
      <c r="U40" t="b">
        <v>1</v>
      </c>
    </row>
    <row r="41" spans="1:21" x14ac:dyDescent="0.2">
      <c r="A41">
        <v>632</v>
      </c>
      <c r="B41" t="s">
        <v>421</v>
      </c>
      <c r="C41">
        <v>4200</v>
      </c>
      <c r="D41">
        <v>2293</v>
      </c>
      <c r="E41">
        <v>3475</v>
      </c>
      <c r="F41">
        <v>2750</v>
      </c>
      <c r="G41">
        <v>2545</v>
      </c>
      <c r="H41">
        <v>2913</v>
      </c>
      <c r="I41">
        <v>1742</v>
      </c>
      <c r="K41">
        <v>112</v>
      </c>
      <c r="L41">
        <v>1157</v>
      </c>
      <c r="M41">
        <v>254</v>
      </c>
      <c r="N41">
        <v>516</v>
      </c>
      <c r="O41">
        <v>1360</v>
      </c>
      <c r="P41">
        <v>679</v>
      </c>
      <c r="Q41">
        <v>575</v>
      </c>
      <c r="S41">
        <v>42</v>
      </c>
      <c r="T41" t="b">
        <v>1</v>
      </c>
      <c r="U41" t="b">
        <v>1</v>
      </c>
    </row>
    <row r="42" spans="1:21" x14ac:dyDescent="0.2">
      <c r="A42">
        <v>126</v>
      </c>
      <c r="B42" t="s">
        <v>398</v>
      </c>
      <c r="C42">
        <v>30800</v>
      </c>
      <c r="D42">
        <v>19516</v>
      </c>
      <c r="E42">
        <v>39975</v>
      </c>
      <c r="F42">
        <v>15335</v>
      </c>
      <c r="G42">
        <v>13671</v>
      </c>
      <c r="H42">
        <v>21722</v>
      </c>
      <c r="I42">
        <v>15958</v>
      </c>
      <c r="K42">
        <v>665</v>
      </c>
      <c r="L42">
        <v>2578</v>
      </c>
      <c r="M42">
        <v>898</v>
      </c>
      <c r="N42">
        <v>1565</v>
      </c>
      <c r="O42">
        <v>3227</v>
      </c>
      <c r="P42">
        <v>4281</v>
      </c>
      <c r="Q42">
        <v>1725</v>
      </c>
      <c r="S42">
        <v>27</v>
      </c>
      <c r="T42" t="b">
        <v>1</v>
      </c>
      <c r="U42" t="b">
        <v>1</v>
      </c>
    </row>
    <row r="43" spans="1:21" x14ac:dyDescent="0.2">
      <c r="A43">
        <v>119</v>
      </c>
      <c r="B43" t="s">
        <v>393</v>
      </c>
      <c r="C43">
        <v>38230</v>
      </c>
      <c r="D43">
        <v>22021</v>
      </c>
      <c r="E43">
        <v>42870</v>
      </c>
      <c r="F43">
        <v>20924</v>
      </c>
      <c r="G43">
        <v>19044</v>
      </c>
      <c r="H43">
        <v>24213</v>
      </c>
      <c r="I43">
        <v>17309</v>
      </c>
      <c r="K43">
        <v>1676</v>
      </c>
      <c r="L43">
        <v>3359</v>
      </c>
      <c r="M43">
        <v>1937</v>
      </c>
      <c r="N43">
        <v>3631</v>
      </c>
      <c r="O43">
        <v>7784</v>
      </c>
      <c r="P43">
        <v>6954</v>
      </c>
      <c r="Q43">
        <v>2468</v>
      </c>
      <c r="S43">
        <v>782</v>
      </c>
      <c r="T43" t="b">
        <v>1</v>
      </c>
      <c r="U43" t="b">
        <v>1</v>
      </c>
    </row>
    <row r="44" spans="1:21" x14ac:dyDescent="0.2">
      <c r="A44">
        <v>584</v>
      </c>
      <c r="B44" t="s">
        <v>453</v>
      </c>
      <c r="C44">
        <v>4626</v>
      </c>
      <c r="D44">
        <v>1929</v>
      </c>
      <c r="E44">
        <v>1974</v>
      </c>
      <c r="F44">
        <v>1552</v>
      </c>
      <c r="G44">
        <v>3704</v>
      </c>
      <c r="H44">
        <v>3904</v>
      </c>
      <c r="I44">
        <v>3114</v>
      </c>
      <c r="K44">
        <v>361</v>
      </c>
      <c r="L44">
        <v>1059</v>
      </c>
      <c r="M44">
        <v>327</v>
      </c>
      <c r="N44">
        <v>379</v>
      </c>
      <c r="O44">
        <v>279</v>
      </c>
      <c r="P44">
        <v>664</v>
      </c>
      <c r="Q44">
        <v>590</v>
      </c>
      <c r="S44">
        <v>243</v>
      </c>
      <c r="T44" t="b">
        <v>1</v>
      </c>
      <c r="U44" t="b">
        <v>1</v>
      </c>
    </row>
    <row r="45" spans="1:21" x14ac:dyDescent="0.2">
      <c r="A45">
        <v>374</v>
      </c>
      <c r="B45" t="s">
        <v>442</v>
      </c>
      <c r="C45">
        <v>7125</v>
      </c>
      <c r="D45">
        <v>3251</v>
      </c>
      <c r="E45">
        <v>3654</v>
      </c>
      <c r="F45">
        <v>2045</v>
      </c>
      <c r="G45">
        <v>5637</v>
      </c>
      <c r="H45">
        <v>9331</v>
      </c>
      <c r="I45">
        <v>3638</v>
      </c>
      <c r="K45">
        <v>377</v>
      </c>
      <c r="L45">
        <v>990</v>
      </c>
      <c r="M45">
        <v>958</v>
      </c>
      <c r="N45">
        <v>1048</v>
      </c>
      <c r="O45">
        <v>1463</v>
      </c>
      <c r="P45">
        <v>1170</v>
      </c>
      <c r="Q45">
        <v>1812</v>
      </c>
      <c r="S45">
        <v>38</v>
      </c>
      <c r="T45" t="b">
        <v>1</v>
      </c>
      <c r="U45" t="b">
        <v>1</v>
      </c>
    </row>
    <row r="46" spans="1:21" x14ac:dyDescent="0.2">
      <c r="A46">
        <v>354</v>
      </c>
      <c r="B46" t="s">
        <v>447</v>
      </c>
      <c r="C46">
        <v>10082</v>
      </c>
      <c r="D46">
        <v>2660</v>
      </c>
      <c r="E46">
        <v>2959</v>
      </c>
      <c r="F46">
        <v>1600</v>
      </c>
      <c r="G46">
        <v>6379</v>
      </c>
      <c r="H46">
        <v>8167</v>
      </c>
      <c r="I46">
        <v>4469</v>
      </c>
      <c r="K46">
        <v>246</v>
      </c>
      <c r="L46">
        <v>1310</v>
      </c>
      <c r="M46">
        <v>367</v>
      </c>
      <c r="N46">
        <v>387</v>
      </c>
      <c r="O46">
        <v>203</v>
      </c>
      <c r="P46">
        <v>707</v>
      </c>
      <c r="Q46">
        <v>738</v>
      </c>
      <c r="S46">
        <v>6</v>
      </c>
      <c r="T46" t="b">
        <v>1</v>
      </c>
      <c r="U46" t="b">
        <v>1</v>
      </c>
    </row>
    <row r="47" spans="1:21" x14ac:dyDescent="0.2">
      <c r="A47">
        <v>972</v>
      </c>
      <c r="B47" t="s">
        <v>446</v>
      </c>
      <c r="C47">
        <v>1322</v>
      </c>
      <c r="D47">
        <v>935</v>
      </c>
      <c r="E47">
        <v>1499</v>
      </c>
      <c r="F47">
        <v>595</v>
      </c>
      <c r="G47">
        <v>1044</v>
      </c>
      <c r="H47">
        <v>1369</v>
      </c>
      <c r="I47">
        <v>483</v>
      </c>
      <c r="K47">
        <v>244</v>
      </c>
      <c r="L47">
        <v>1516</v>
      </c>
      <c r="M47">
        <v>1579</v>
      </c>
      <c r="N47">
        <v>399</v>
      </c>
      <c r="O47">
        <v>269</v>
      </c>
      <c r="P47">
        <v>326</v>
      </c>
      <c r="Q47">
        <v>2330</v>
      </c>
      <c r="S47">
        <v>10</v>
      </c>
      <c r="T47" t="b">
        <v>1</v>
      </c>
      <c r="U47" t="b">
        <v>1</v>
      </c>
    </row>
    <row r="48" spans="1:21" x14ac:dyDescent="0.2">
      <c r="B48" t="s">
        <v>531</v>
      </c>
      <c r="C48">
        <f>SUM(C27:C47)</f>
        <v>835019</v>
      </c>
      <c r="D48">
        <f t="shared" ref="D48:I48" si="2">SUM(D27:D47)</f>
        <v>613803</v>
      </c>
      <c r="E48">
        <f t="shared" si="2"/>
        <v>1103525</v>
      </c>
      <c r="F48">
        <f t="shared" si="2"/>
        <v>836935</v>
      </c>
      <c r="G48">
        <f t="shared" si="2"/>
        <v>729347</v>
      </c>
      <c r="H48">
        <f t="shared" si="2"/>
        <v>906806</v>
      </c>
      <c r="I48">
        <f t="shared" si="2"/>
        <v>449641</v>
      </c>
      <c r="K48">
        <f t="shared" ref="K48:Q48" si="3">SUM(K27:K47)</f>
        <v>39937</v>
      </c>
      <c r="L48">
        <f t="shared" si="3"/>
        <v>140237</v>
      </c>
      <c r="M48">
        <f t="shared" si="3"/>
        <v>58953</v>
      </c>
      <c r="N48">
        <f t="shared" si="3"/>
        <v>70527</v>
      </c>
      <c r="O48">
        <f t="shared" si="3"/>
        <v>134550</v>
      </c>
      <c r="P48">
        <f t="shared" si="3"/>
        <v>154080</v>
      </c>
      <c r="Q48">
        <f t="shared" si="3"/>
        <v>109696</v>
      </c>
      <c r="S48">
        <f t="shared" ref="S48" si="4">SUM(S27:S47)</f>
        <v>4345</v>
      </c>
    </row>
    <row r="49" spans="1:76" ht="27" customHeight="1" x14ac:dyDescent="0.2"/>
    <row r="50" spans="1:76" ht="27" customHeight="1" x14ac:dyDescent="0.2"/>
    <row r="51" spans="1:76" ht="27" customHeight="1" x14ac:dyDescent="0.2">
      <c r="A51" t="s">
        <v>515</v>
      </c>
      <c r="X51" s="41" t="s">
        <v>515</v>
      </c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P51" s="41" t="s">
        <v>513</v>
      </c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H51" s="41" t="s">
        <v>514</v>
      </c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</row>
    <row r="52" spans="1:76" ht="27" customHeight="1" x14ac:dyDescent="0.2"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S52" t="s">
        <v>2</v>
      </c>
      <c r="V52" s="40" t="s">
        <v>687</v>
      </c>
      <c r="W52" s="40"/>
      <c r="X52" s="41" t="s">
        <v>0</v>
      </c>
      <c r="Y52" s="41"/>
      <c r="Z52" s="41"/>
      <c r="AA52" s="41"/>
      <c r="AB52" s="41"/>
      <c r="AC52" s="41"/>
      <c r="AD52" s="41"/>
      <c r="AF52" s="41" t="s">
        <v>1</v>
      </c>
      <c r="AG52" s="41"/>
      <c r="AH52" s="41"/>
      <c r="AI52" s="41"/>
      <c r="AJ52" s="41"/>
      <c r="AK52" s="41"/>
      <c r="AL52" s="41"/>
      <c r="AN52" t="s">
        <v>508</v>
      </c>
      <c r="AP52" s="41" t="s">
        <v>0</v>
      </c>
      <c r="AQ52" s="41"/>
      <c r="AR52" s="41"/>
      <c r="AS52" s="41"/>
      <c r="AT52" s="41"/>
      <c r="AU52" s="41"/>
      <c r="AV52" s="41"/>
      <c r="AX52" s="41" t="s">
        <v>1</v>
      </c>
      <c r="AY52" s="41"/>
      <c r="AZ52" s="41"/>
      <c r="BA52" s="41"/>
      <c r="BB52" s="41"/>
      <c r="BC52" s="41"/>
      <c r="BD52" s="41"/>
      <c r="BF52" t="s">
        <v>508</v>
      </c>
      <c r="BH52" s="41" t="s">
        <v>0</v>
      </c>
      <c r="BI52" s="41"/>
      <c r="BJ52" s="41"/>
      <c r="BK52" s="41"/>
      <c r="BL52" s="41"/>
      <c r="BM52" s="41"/>
      <c r="BN52" s="41"/>
      <c r="BP52" s="41" t="s">
        <v>1</v>
      </c>
      <c r="BQ52" s="41"/>
      <c r="BR52" s="41"/>
      <c r="BS52" s="41"/>
      <c r="BT52" s="41"/>
      <c r="BU52" s="41"/>
      <c r="BV52" s="41"/>
      <c r="BX52" t="s">
        <v>508</v>
      </c>
    </row>
    <row r="53" spans="1:76" ht="27" customHeight="1" x14ac:dyDescent="0.2">
      <c r="C53" s="1">
        <v>1</v>
      </c>
      <c r="D53" s="1">
        <v>2</v>
      </c>
      <c r="E53" s="1">
        <v>3</v>
      </c>
      <c r="F53" s="1">
        <v>4</v>
      </c>
      <c r="G53" s="1">
        <v>5</v>
      </c>
      <c r="H53" s="1">
        <v>6</v>
      </c>
      <c r="I53" s="1">
        <v>7</v>
      </c>
      <c r="J53" s="1"/>
      <c r="K53" s="1">
        <v>8</v>
      </c>
      <c r="L53" s="1">
        <v>9</v>
      </c>
      <c r="M53" s="1">
        <v>10</v>
      </c>
      <c r="N53" s="1">
        <v>11</v>
      </c>
      <c r="O53" s="1">
        <v>12</v>
      </c>
      <c r="P53" s="1">
        <v>13</v>
      </c>
      <c r="Q53" s="1">
        <v>14</v>
      </c>
      <c r="R53" s="1"/>
      <c r="S53" t="s">
        <v>2</v>
      </c>
      <c r="T53" t="s">
        <v>530</v>
      </c>
      <c r="U53" t="s">
        <v>507</v>
      </c>
      <c r="V53" t="s">
        <v>684</v>
      </c>
      <c r="W53" s="3" t="s">
        <v>685</v>
      </c>
      <c r="X53" s="1">
        <v>1</v>
      </c>
      <c r="Y53" s="1">
        <v>2</v>
      </c>
      <c r="Z53" s="1">
        <v>3</v>
      </c>
      <c r="AA53" s="1">
        <v>4</v>
      </c>
      <c r="AB53" s="1">
        <v>5</v>
      </c>
      <c r="AC53" s="1">
        <v>6</v>
      </c>
      <c r="AD53" s="1">
        <v>7</v>
      </c>
      <c r="AE53" s="1"/>
      <c r="AF53" s="1">
        <v>8</v>
      </c>
      <c r="AG53" s="1">
        <v>9</v>
      </c>
      <c r="AH53" s="7" t="s">
        <v>674</v>
      </c>
      <c r="AI53" s="7" t="s">
        <v>675</v>
      </c>
      <c r="AJ53" s="7" t="s">
        <v>676</v>
      </c>
      <c r="AK53" s="7" t="s">
        <v>677</v>
      </c>
      <c r="AL53" s="7" t="s">
        <v>678</v>
      </c>
      <c r="AM53" s="1"/>
      <c r="AN53" t="s">
        <v>509</v>
      </c>
      <c r="AP53" s="1">
        <v>1</v>
      </c>
      <c r="AQ53" s="1">
        <v>2</v>
      </c>
      <c r="AR53" s="1">
        <v>3</v>
      </c>
      <c r="AS53" s="1">
        <v>4</v>
      </c>
      <c r="AT53" s="1">
        <v>5</v>
      </c>
      <c r="AU53" s="1">
        <v>6</v>
      </c>
      <c r="AV53" s="1">
        <v>7</v>
      </c>
      <c r="AW53" s="1"/>
      <c r="AX53" s="1">
        <v>8</v>
      </c>
      <c r="AY53" s="1">
        <v>9</v>
      </c>
      <c r="AZ53" s="7" t="s">
        <v>674</v>
      </c>
      <c r="BA53" s="7" t="s">
        <v>675</v>
      </c>
      <c r="BB53" s="7" t="s">
        <v>676</v>
      </c>
      <c r="BC53" s="7" t="s">
        <v>677</v>
      </c>
      <c r="BD53" s="7" t="s">
        <v>678</v>
      </c>
      <c r="BE53" s="1"/>
      <c r="BF53" t="s">
        <v>509</v>
      </c>
      <c r="BH53" s="1">
        <v>1</v>
      </c>
      <c r="BI53" s="1">
        <v>2</v>
      </c>
      <c r="BJ53" s="1">
        <v>3</v>
      </c>
      <c r="BK53" s="1">
        <v>4</v>
      </c>
      <c r="BL53" s="1">
        <v>5</v>
      </c>
      <c r="BM53" s="1">
        <v>6</v>
      </c>
      <c r="BN53" s="1">
        <v>7</v>
      </c>
      <c r="BO53" s="1"/>
      <c r="BP53" s="1">
        <v>8</v>
      </c>
      <c r="BQ53" s="1">
        <v>9</v>
      </c>
      <c r="BR53" s="7" t="s">
        <v>674</v>
      </c>
      <c r="BS53" s="7" t="s">
        <v>675</v>
      </c>
      <c r="BT53" s="7" t="s">
        <v>676</v>
      </c>
      <c r="BU53" s="7" t="s">
        <v>677</v>
      </c>
      <c r="BV53" s="7" t="s">
        <v>678</v>
      </c>
      <c r="BW53" s="1"/>
      <c r="BX53" t="s">
        <v>509</v>
      </c>
    </row>
    <row r="54" spans="1:76" ht="27" customHeight="1" x14ac:dyDescent="0.2">
      <c r="B54" s="6" t="s">
        <v>516</v>
      </c>
      <c r="C54">
        <f>C3/C27</f>
        <v>8.6150995831403426E-2</v>
      </c>
      <c r="D54">
        <f t="shared" ref="D54:I54" si="5">D3/D27</f>
        <v>0.11240947992100066</v>
      </c>
      <c r="E54">
        <f t="shared" si="5"/>
        <v>6.8933653668453151E-2</v>
      </c>
      <c r="F54">
        <f t="shared" si="5"/>
        <v>2.4666348903717827E-2</v>
      </c>
      <c r="G54">
        <f t="shared" si="5"/>
        <v>9.9336527828971621E-2</v>
      </c>
      <c r="H54">
        <f t="shared" si="5"/>
        <v>9.9633699633699641E-2</v>
      </c>
      <c r="I54">
        <f t="shared" si="5"/>
        <v>0.12930886640370434</v>
      </c>
      <c r="K54">
        <f>K3/K27</f>
        <v>0.1751684311838306</v>
      </c>
      <c r="L54">
        <f t="shared" ref="L54:Q54" si="6">L3/L27</f>
        <v>0.15760111576011157</v>
      </c>
      <c r="M54">
        <f t="shared" si="6"/>
        <v>6.1808118081180814E-2</v>
      </c>
      <c r="N54">
        <f t="shared" si="6"/>
        <v>0.109375</v>
      </c>
      <c r="O54">
        <f t="shared" si="6"/>
        <v>0.15625</v>
      </c>
      <c r="P54">
        <f t="shared" si="6"/>
        <v>0.10987996306555864</v>
      </c>
      <c r="Q54">
        <f t="shared" si="6"/>
        <v>0.11430149088901159</v>
      </c>
      <c r="S54">
        <f>S3/S27</f>
        <v>0.20857988165680474</v>
      </c>
      <c r="T54">
        <f>TTEST(C54:I54,K54:Q54,2,3)</f>
        <v>7.8308412077877074E-2</v>
      </c>
      <c r="U54" s="4" t="str">
        <f t="shared" ref="U54:U75" si="7">IF(T54&lt;0.001,"***",IF(T54&lt;0.01,"**",IF(T54&lt;0.05,"*","-")))</f>
        <v>-</v>
      </c>
      <c r="V54" s="4" t="b">
        <f>AND(T3,T27)</f>
        <v>1</v>
      </c>
      <c r="W54" s="4" t="b">
        <f>AND(U3,U27)</f>
        <v>1</v>
      </c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</row>
    <row r="55" spans="1:76" ht="27" customHeight="1" x14ac:dyDescent="0.2">
      <c r="B55" s="6" t="s">
        <v>517</v>
      </c>
      <c r="C55">
        <f t="shared" ref="C55:I55" si="8">C4/C28</f>
        <v>0.18945469125902165</v>
      </c>
      <c r="D55">
        <f t="shared" si="8"/>
        <v>0.15129762562120375</v>
      </c>
      <c r="E55">
        <f t="shared" si="8"/>
        <v>0.14720812182741116</v>
      </c>
      <c r="F55">
        <f t="shared" si="8"/>
        <v>5.3843637553156687E-2</v>
      </c>
      <c r="G55">
        <f t="shared" si="8"/>
        <v>0.27753145596165368</v>
      </c>
      <c r="H55">
        <f t="shared" si="8"/>
        <v>0.22047781569965871</v>
      </c>
      <c r="I55">
        <f t="shared" si="8"/>
        <v>0.3447394296951819</v>
      </c>
      <c r="K55">
        <f t="shared" ref="K55:Q55" si="9">K4/K28</f>
        <v>0.62686567164179108</v>
      </c>
      <c r="L55">
        <f t="shared" si="9"/>
        <v>0.19229357798165136</v>
      </c>
      <c r="M55">
        <f t="shared" si="9"/>
        <v>9.2236740968485775E-2</v>
      </c>
      <c r="N55">
        <f t="shared" si="9"/>
        <v>0.38341968911917096</v>
      </c>
      <c r="O55">
        <f t="shared" si="9"/>
        <v>0.30724070450097846</v>
      </c>
      <c r="P55">
        <f t="shared" si="9"/>
        <v>0.25440222428174236</v>
      </c>
      <c r="Q55">
        <f t="shared" si="9"/>
        <v>0.10902409146590446</v>
      </c>
      <c r="S55">
        <f>S4/S28</f>
        <v>0</v>
      </c>
      <c r="T55">
        <f>TTEST(C55:I55,K55:Q55,2,3)</f>
        <v>0.31786792708426642</v>
      </c>
      <c r="U55" s="4" t="str">
        <f t="shared" si="7"/>
        <v>-</v>
      </c>
      <c r="V55" s="4" t="b">
        <f t="shared" ref="V55:W55" si="10">AND(T4,T28)</f>
        <v>1</v>
      </c>
      <c r="W55" s="4" t="b">
        <f t="shared" si="10"/>
        <v>1</v>
      </c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</row>
    <row r="56" spans="1:76" ht="27" customHeight="1" x14ac:dyDescent="0.2">
      <c r="B56" s="6" t="s">
        <v>518</v>
      </c>
      <c r="C56">
        <f t="shared" ref="C56:I56" si="11">C5/C29</f>
        <v>6.6359210863438378E-2</v>
      </c>
      <c r="D56">
        <f t="shared" si="11"/>
        <v>0.11895078101974654</v>
      </c>
      <c r="E56">
        <f t="shared" si="11"/>
        <v>2.6050936862884698E-2</v>
      </c>
      <c r="F56">
        <f t="shared" si="11"/>
        <v>3.4812180369149293E-2</v>
      </c>
      <c r="G56">
        <f t="shared" si="11"/>
        <v>0.13227433334339989</v>
      </c>
      <c r="H56">
        <f t="shared" si="11"/>
        <v>0.10342420457050482</v>
      </c>
      <c r="I56">
        <f t="shared" si="11"/>
        <v>0.15270968163692228</v>
      </c>
      <c r="K56">
        <f t="shared" ref="K56:Q56" si="12">K5/K29</f>
        <v>0.3997569866342649</v>
      </c>
      <c r="L56">
        <f t="shared" si="12"/>
        <v>0.17747772828507796</v>
      </c>
      <c r="M56">
        <f t="shared" si="12"/>
        <v>7.3469387755102047E-2</v>
      </c>
      <c r="N56">
        <f t="shared" si="12"/>
        <v>0.26764314247669774</v>
      </c>
      <c r="O56">
        <f t="shared" si="12"/>
        <v>0.32432432432432434</v>
      </c>
      <c r="P56">
        <f t="shared" si="12"/>
        <v>0.17552362818071662</v>
      </c>
      <c r="Q56">
        <f t="shared" si="12"/>
        <v>0.17266811279826463</v>
      </c>
      <c r="S56">
        <f>S5/S29</f>
        <v>0</v>
      </c>
      <c r="T56">
        <f t="shared" ref="T56:T69" si="13">TTEST(C56:I56,K56:Q56,2,3)</f>
        <v>1.6353621153934687E-2</v>
      </c>
      <c r="U56" s="4" t="str">
        <f t="shared" si="7"/>
        <v>*</v>
      </c>
      <c r="V56" s="4" t="b">
        <f t="shared" ref="V56:W56" si="14">AND(T5,T29)</f>
        <v>1</v>
      </c>
      <c r="W56" s="4" t="b">
        <f t="shared" si="14"/>
        <v>1</v>
      </c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</row>
    <row r="57" spans="1:76" ht="27" customHeight="1" x14ac:dyDescent="0.2">
      <c r="B57" s="6" t="s">
        <v>519</v>
      </c>
      <c r="C57">
        <f t="shared" ref="C57:I57" si="15">C6/C30</f>
        <v>4.3217390059141096E-2</v>
      </c>
      <c r="D57">
        <f t="shared" si="15"/>
        <v>5.8207178661838423E-2</v>
      </c>
      <c r="E57">
        <f t="shared" si="15"/>
        <v>2.4404935197919909E-2</v>
      </c>
      <c r="F57">
        <f t="shared" si="15"/>
        <v>3.2195193256428688E-2</v>
      </c>
      <c r="G57">
        <f t="shared" si="15"/>
        <v>0.10781657883071467</v>
      </c>
      <c r="H57">
        <f t="shared" si="15"/>
        <v>6.2397269595988146E-2</v>
      </c>
      <c r="I57">
        <f t="shared" si="15"/>
        <v>0.21713235947731785</v>
      </c>
      <c r="K57">
        <f t="shared" ref="K57:Q57" si="16">K6/K30</f>
        <v>0.31920498084291188</v>
      </c>
      <c r="L57">
        <f t="shared" si="16"/>
        <v>0.18398268398268397</v>
      </c>
      <c r="M57">
        <f t="shared" si="16"/>
        <v>7.1465428276573789E-2</v>
      </c>
      <c r="N57">
        <f t="shared" si="16"/>
        <v>0.13597606581899777</v>
      </c>
      <c r="O57">
        <f t="shared" si="16"/>
        <v>0.20650555491925324</v>
      </c>
      <c r="P57">
        <f t="shared" si="16"/>
        <v>9.156643259403463E-2</v>
      </c>
      <c r="Q57">
        <f t="shared" si="16"/>
        <v>0.23476884819712898</v>
      </c>
      <c r="S57">
        <f t="shared" ref="S57:S64" si="17">S6/S30</f>
        <v>0</v>
      </c>
      <c r="T57">
        <f t="shared" si="13"/>
        <v>3.376322749500564E-2</v>
      </c>
      <c r="U57" s="4" t="str">
        <f t="shared" si="7"/>
        <v>*</v>
      </c>
      <c r="V57" s="4" t="b">
        <f t="shared" ref="V57:W57" si="18">AND(T6,T30)</f>
        <v>1</v>
      </c>
      <c r="W57" s="4" t="b">
        <f t="shared" si="18"/>
        <v>1</v>
      </c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</row>
    <row r="58" spans="1:76" ht="27" customHeight="1" x14ac:dyDescent="0.2">
      <c r="B58" s="6" t="s">
        <v>520</v>
      </c>
      <c r="C58">
        <f t="shared" ref="C58:I58" si="19">C7/C31</f>
        <v>6.2078160153320558E-2</v>
      </c>
      <c r="D58">
        <f t="shared" si="19"/>
        <v>0.10085403726708074</v>
      </c>
      <c r="E58">
        <f t="shared" si="19"/>
        <v>4.1410863019590974E-2</v>
      </c>
      <c r="F58">
        <f t="shared" si="19"/>
        <v>3.0544296467863347E-2</v>
      </c>
      <c r="G58">
        <f t="shared" si="19"/>
        <v>0.17004471804402113</v>
      </c>
      <c r="H58">
        <f t="shared" si="19"/>
        <v>0.17265297343800409</v>
      </c>
      <c r="I58">
        <f t="shared" si="19"/>
        <v>0.21796112235025067</v>
      </c>
      <c r="K58">
        <f t="shared" ref="K58:Q58" si="20">K7/K31</f>
        <v>0.31260364842454397</v>
      </c>
      <c r="L58">
        <f t="shared" si="20"/>
        <v>0.14103355981058266</v>
      </c>
      <c r="M58">
        <f t="shared" si="20"/>
        <v>0.2236925015752993</v>
      </c>
      <c r="N58">
        <f t="shared" si="20"/>
        <v>0.36629322942036047</v>
      </c>
      <c r="O58">
        <f t="shared" si="20"/>
        <v>0.2036299247454626</v>
      </c>
      <c r="P58">
        <f t="shared" si="20"/>
        <v>0.14297624010004167</v>
      </c>
      <c r="Q58">
        <f t="shared" si="20"/>
        <v>0.24136054421768707</v>
      </c>
      <c r="S58">
        <f t="shared" si="17"/>
        <v>0</v>
      </c>
      <c r="T58">
        <f t="shared" si="13"/>
        <v>1.5039044466187517E-2</v>
      </c>
      <c r="U58" s="4" t="str">
        <f t="shared" si="7"/>
        <v>*</v>
      </c>
      <c r="V58" s="4" t="b">
        <f t="shared" ref="V58:W58" si="21">AND(T7,T31)</f>
        <v>1</v>
      </c>
      <c r="W58" s="4" t="b">
        <f t="shared" si="21"/>
        <v>1</v>
      </c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</row>
    <row r="59" spans="1:76" ht="27" customHeight="1" x14ac:dyDescent="0.2">
      <c r="B59" s="6" t="s">
        <v>521</v>
      </c>
      <c r="C59">
        <f t="shared" ref="C59:I59" si="22">C8/C32</f>
        <v>7.9336095874075835E-2</v>
      </c>
      <c r="D59">
        <f t="shared" si="22"/>
        <v>8.391050796579165E-2</v>
      </c>
      <c r="E59">
        <f t="shared" si="22"/>
        <v>2.6669974822762826E-2</v>
      </c>
      <c r="F59">
        <f t="shared" si="22"/>
        <v>2.5433172486355651E-2</v>
      </c>
      <c r="G59">
        <f t="shared" si="22"/>
        <v>0.12111792177466434</v>
      </c>
      <c r="H59">
        <f t="shared" si="22"/>
        <v>0.12631155284502854</v>
      </c>
      <c r="I59">
        <f t="shared" si="22"/>
        <v>0.16496687435460103</v>
      </c>
      <c r="K59">
        <f t="shared" ref="K59:Q59" si="23">K8/K32</f>
        <v>0.49387472831456236</v>
      </c>
      <c r="L59">
        <f t="shared" si="23"/>
        <v>0.16745758304621985</v>
      </c>
      <c r="M59">
        <f t="shared" si="23"/>
        <v>0.13203078744819419</v>
      </c>
      <c r="N59">
        <f t="shared" si="23"/>
        <v>0.25561590558573055</v>
      </c>
      <c r="O59">
        <f t="shared" si="23"/>
        <v>0.22128421591199796</v>
      </c>
      <c r="P59">
        <f t="shared" si="23"/>
        <v>0.25240512082417998</v>
      </c>
      <c r="Q59">
        <f t="shared" si="23"/>
        <v>0.27093414254080211</v>
      </c>
      <c r="S59">
        <f t="shared" si="17"/>
        <v>0</v>
      </c>
      <c r="T59">
        <f t="shared" si="13"/>
        <v>8.1205486235881499E-3</v>
      </c>
      <c r="U59" s="4" t="str">
        <f t="shared" si="7"/>
        <v>**</v>
      </c>
      <c r="V59" s="4" t="b">
        <f t="shared" ref="V59:W59" si="24">AND(T8,T32)</f>
        <v>1</v>
      </c>
      <c r="W59" s="4" t="b">
        <f t="shared" si="24"/>
        <v>1</v>
      </c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</row>
    <row r="60" spans="1:76" ht="27" customHeight="1" x14ac:dyDescent="0.2">
      <c r="B60" s="6" t="s">
        <v>522</v>
      </c>
      <c r="C60">
        <f t="shared" ref="C60:I60" si="25">C9/C33</f>
        <v>7.061670977386518E-2</v>
      </c>
      <c r="D60">
        <f t="shared" si="25"/>
        <v>0.11722715736040609</v>
      </c>
      <c r="E60">
        <f t="shared" si="25"/>
        <v>4.5484453292392826E-2</v>
      </c>
      <c r="F60">
        <f t="shared" si="25"/>
        <v>4.4696343209826739E-2</v>
      </c>
      <c r="G60">
        <f t="shared" si="25"/>
        <v>0.13089666597639263</v>
      </c>
      <c r="H60">
        <f t="shared" si="25"/>
        <v>0.14067980001492425</v>
      </c>
      <c r="I60">
        <f t="shared" si="25"/>
        <v>0.19303167052892628</v>
      </c>
      <c r="K60">
        <f t="shared" ref="K60:Q60" si="26">K9/K33</f>
        <v>0.90887959088795911</v>
      </c>
      <c r="L60">
        <f t="shared" si="26"/>
        <v>0.26862473213160215</v>
      </c>
      <c r="M60">
        <f t="shared" si="26"/>
        <v>0.26344676180021953</v>
      </c>
      <c r="N60">
        <f t="shared" si="26"/>
        <v>0.4538369304556355</v>
      </c>
      <c r="O60">
        <f t="shared" si="26"/>
        <v>0.4229912973082372</v>
      </c>
      <c r="P60">
        <f t="shared" si="26"/>
        <v>0.19634295908127997</v>
      </c>
      <c r="Q60">
        <f t="shared" si="26"/>
        <v>0.29764065335753176</v>
      </c>
      <c r="S60">
        <f t="shared" si="17"/>
        <v>0</v>
      </c>
      <c r="T60">
        <f t="shared" si="13"/>
        <v>1.7234590065643172E-2</v>
      </c>
      <c r="U60" s="4" t="str">
        <f t="shared" si="7"/>
        <v>*</v>
      </c>
      <c r="V60" s="4" t="b">
        <f t="shared" ref="V60:W60" si="27">AND(T9,T33)</f>
        <v>1</v>
      </c>
      <c r="W60" s="4" t="b">
        <f t="shared" si="27"/>
        <v>1</v>
      </c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</row>
    <row r="61" spans="1:76" ht="27" customHeight="1" x14ac:dyDescent="0.2">
      <c r="B61" s="6" t="s">
        <v>522</v>
      </c>
      <c r="C61">
        <f t="shared" ref="C61:I61" si="28">C10/C34</f>
        <v>0.47756410256410259</v>
      </c>
      <c r="D61">
        <f t="shared" si="28"/>
        <v>0.57163120567375891</v>
      </c>
      <c r="E61">
        <f t="shared" si="28"/>
        <v>0.22727272727272727</v>
      </c>
      <c r="F61">
        <f t="shared" si="28"/>
        <v>0.19167904903417535</v>
      </c>
      <c r="G61">
        <f t="shared" si="28"/>
        <v>0.55710830421929591</v>
      </c>
      <c r="H61">
        <f t="shared" si="28"/>
        <v>0.66563171721996661</v>
      </c>
      <c r="I61">
        <f t="shared" si="28"/>
        <v>1.0468187274909964</v>
      </c>
      <c r="K61">
        <f t="shared" ref="K61:Q61" si="29">K10/K34</f>
        <v>2.3824884792626726</v>
      </c>
      <c r="L61">
        <f t="shared" si="29"/>
        <v>1.5599041533546325</v>
      </c>
      <c r="M61">
        <f t="shared" si="29"/>
        <v>0.63466666666666671</v>
      </c>
      <c r="N61">
        <f t="shared" si="29"/>
        <v>1.2457912457912459</v>
      </c>
      <c r="O61">
        <f t="shared" si="29"/>
        <v>1.25764192139738</v>
      </c>
      <c r="P61">
        <f t="shared" si="29"/>
        <v>0.80273972602739729</v>
      </c>
      <c r="Q61">
        <f t="shared" si="29"/>
        <v>0.85498108448928123</v>
      </c>
      <c r="S61">
        <f t="shared" si="17"/>
        <v>0.25</v>
      </c>
      <c r="T61">
        <f t="shared" si="13"/>
        <v>1.9311661186530327E-2</v>
      </c>
      <c r="U61" s="4" t="str">
        <f t="shared" si="7"/>
        <v>*</v>
      </c>
      <c r="V61" s="4" t="b">
        <f t="shared" ref="V61:W61" si="30">AND(T10,T34)</f>
        <v>1</v>
      </c>
      <c r="W61" s="4" t="b">
        <f t="shared" si="30"/>
        <v>1</v>
      </c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</row>
    <row r="62" spans="1:76" ht="27" customHeight="1" x14ac:dyDescent="0.2">
      <c r="B62" s="6" t="s">
        <v>523</v>
      </c>
      <c r="C62">
        <f t="shared" ref="C62:I62" si="31">C11/C35</f>
        <v>6.2072273154894761E-2</v>
      </c>
      <c r="D62">
        <f t="shared" si="31"/>
        <v>0.13627751462803009</v>
      </c>
      <c r="E62">
        <f t="shared" si="31"/>
        <v>3.7146226415094338E-2</v>
      </c>
      <c r="F62">
        <f t="shared" si="31"/>
        <v>1.677089726788647E-2</v>
      </c>
      <c r="G62">
        <f t="shared" si="31"/>
        <v>9.6878363832077499E-2</v>
      </c>
      <c r="H62">
        <f t="shared" si="31"/>
        <v>0.12464562314892538</v>
      </c>
      <c r="I62">
        <f t="shared" si="31"/>
        <v>0.15005385443914449</v>
      </c>
      <c r="K62">
        <f t="shared" ref="K62:Q62" si="32">K11/K35</f>
        <v>0.39681637293916999</v>
      </c>
      <c r="L62">
        <f t="shared" si="32"/>
        <v>0.12342799188640974</v>
      </c>
      <c r="M62">
        <f t="shared" si="32"/>
        <v>0.15062195781503515</v>
      </c>
      <c r="N62">
        <f t="shared" si="32"/>
        <v>0.28276501971700302</v>
      </c>
      <c r="O62">
        <f t="shared" si="32"/>
        <v>0.34303488113752501</v>
      </c>
      <c r="P62">
        <f t="shared" si="32"/>
        <v>0.13513699573179128</v>
      </c>
      <c r="Q62">
        <f t="shared" si="32"/>
        <v>0.23900546133946537</v>
      </c>
      <c r="S62">
        <f t="shared" si="17"/>
        <v>0</v>
      </c>
      <c r="T62">
        <f t="shared" si="13"/>
        <v>9.5897872245754596E-3</v>
      </c>
      <c r="U62" s="4" t="str">
        <f t="shared" si="7"/>
        <v>**</v>
      </c>
      <c r="V62" s="4" t="b">
        <f t="shared" ref="V62:W62" si="33">AND(T11,T35)</f>
        <v>1</v>
      </c>
      <c r="W62" s="4" t="b">
        <f t="shared" si="33"/>
        <v>1</v>
      </c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</row>
    <row r="63" spans="1:76" ht="27" customHeight="1" x14ac:dyDescent="0.2">
      <c r="B63" s="6" t="s">
        <v>524</v>
      </c>
      <c r="C63">
        <f t="shared" ref="C63:I63" si="34">C12/C36</f>
        <v>0.16568661362850226</v>
      </c>
      <c r="D63">
        <f t="shared" si="34"/>
        <v>0.17396184062850731</v>
      </c>
      <c r="E63">
        <f t="shared" si="34"/>
        <v>0.15880066629650194</v>
      </c>
      <c r="F63">
        <f t="shared" si="34"/>
        <v>6.4176570458404081E-2</v>
      </c>
      <c r="G63">
        <f t="shared" si="34"/>
        <v>0.61402902557014516</v>
      </c>
      <c r="H63">
        <f t="shared" si="34"/>
        <v>0.29717682020802377</v>
      </c>
      <c r="I63">
        <f t="shared" si="34"/>
        <v>0.51463304817649702</v>
      </c>
      <c r="K63">
        <f t="shared" ref="K63:Q63" si="35">K12/K36</f>
        <v>1.5333333333333334</v>
      </c>
      <c r="L63">
        <f t="shared" si="35"/>
        <v>1.3098360655737704</v>
      </c>
      <c r="M63">
        <f t="shared" si="35"/>
        <v>0.47237569060773482</v>
      </c>
      <c r="N63">
        <f t="shared" si="35"/>
        <v>1.348314606741573</v>
      </c>
      <c r="O63">
        <f t="shared" si="35"/>
        <v>2.3557692307692308</v>
      </c>
      <c r="P63">
        <f t="shared" si="35"/>
        <v>0.71898355754858001</v>
      </c>
      <c r="Q63">
        <f t="shared" si="35"/>
        <v>1.0186170212765957</v>
      </c>
      <c r="S63">
        <f t="shared" si="17"/>
        <v>0</v>
      </c>
      <c r="T63">
        <f t="shared" si="13"/>
        <v>5.0079025342784807E-3</v>
      </c>
      <c r="U63" s="4" t="str">
        <f t="shared" si="7"/>
        <v>**</v>
      </c>
      <c r="V63" s="4" t="b">
        <f t="shared" ref="V63:W63" si="36">AND(T12,T36)</f>
        <v>1</v>
      </c>
      <c r="W63" s="4" t="b">
        <f t="shared" si="36"/>
        <v>0</v>
      </c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</row>
    <row r="64" spans="1:76" ht="27" customHeight="1" x14ac:dyDescent="0.2">
      <c r="B64" s="6" t="s">
        <v>525</v>
      </c>
      <c r="C64">
        <f t="shared" ref="C64:I64" si="37">C13/C37</f>
        <v>9.5117073577201894E-2</v>
      </c>
      <c r="D64">
        <f t="shared" si="37"/>
        <v>0.18679660863530761</v>
      </c>
      <c r="E64">
        <f t="shared" si="37"/>
        <v>5.0884101613774997E-2</v>
      </c>
      <c r="F64">
        <f t="shared" si="37"/>
        <v>6.6857822225330446E-2</v>
      </c>
      <c r="G64">
        <f t="shared" si="37"/>
        <v>0.22367038646108414</v>
      </c>
      <c r="H64">
        <f t="shared" si="37"/>
        <v>0.22516882838460714</v>
      </c>
      <c r="I64">
        <f t="shared" si="37"/>
        <v>0.3060713025061772</v>
      </c>
      <c r="K64">
        <f t="shared" ref="K64:Q64" si="38">K13/K37</f>
        <v>0.83837953091684436</v>
      </c>
      <c r="L64">
        <f t="shared" si="38"/>
        <v>0.59287183002056199</v>
      </c>
      <c r="M64">
        <f t="shared" si="38"/>
        <v>0.22693817468105987</v>
      </c>
      <c r="N64">
        <f t="shared" si="38"/>
        <v>0.57471607890017928</v>
      </c>
      <c r="O64">
        <f t="shared" si="38"/>
        <v>0.59346153846153848</v>
      </c>
      <c r="P64">
        <f t="shared" si="38"/>
        <v>0.22460060561762557</v>
      </c>
      <c r="Q64">
        <f t="shared" si="38"/>
        <v>1.0917250437828372</v>
      </c>
      <c r="S64">
        <f t="shared" si="17"/>
        <v>0</v>
      </c>
      <c r="T64">
        <f t="shared" si="13"/>
        <v>1.0047263124170818E-2</v>
      </c>
      <c r="U64" s="4" t="str">
        <f t="shared" si="7"/>
        <v>*</v>
      </c>
      <c r="V64" s="4" t="b">
        <f t="shared" ref="V64:W64" si="39">AND(T13,T37)</f>
        <v>1</v>
      </c>
      <c r="W64" s="4" t="b">
        <f t="shared" si="39"/>
        <v>1</v>
      </c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</row>
    <row r="65" spans="2:76" ht="27" customHeight="1" x14ac:dyDescent="0.2">
      <c r="B65" s="6" t="s">
        <v>526</v>
      </c>
      <c r="C65">
        <f t="shared" ref="C65:I65" si="40">C14/C38</f>
        <v>5.8134442025716958E-2</v>
      </c>
      <c r="D65">
        <f t="shared" si="40"/>
        <v>7.9288040406577734E-2</v>
      </c>
      <c r="E65">
        <f t="shared" si="40"/>
        <v>2.834520281328792E-2</v>
      </c>
      <c r="F65">
        <f t="shared" si="40"/>
        <v>3.9209499549802608E-2</v>
      </c>
      <c r="G65">
        <f t="shared" si="40"/>
        <v>0.18793604342939543</v>
      </c>
      <c r="H65">
        <f t="shared" si="40"/>
        <v>8.8658747791403536E-2</v>
      </c>
      <c r="I65">
        <f t="shared" si="40"/>
        <v>0.19281308277148185</v>
      </c>
      <c r="K65">
        <f t="shared" ref="K65:Q65" si="41">K14/K38</f>
        <v>0.73132454488386689</v>
      </c>
      <c r="L65">
        <f t="shared" si="41"/>
        <v>0.31563686208350905</v>
      </c>
      <c r="M65">
        <f t="shared" si="41"/>
        <v>0.19846547314578006</v>
      </c>
      <c r="N65">
        <f t="shared" si="41"/>
        <v>0.37128097196976945</v>
      </c>
      <c r="O65">
        <f t="shared" si="41"/>
        <v>0.25143826828359755</v>
      </c>
      <c r="P65">
        <f t="shared" si="41"/>
        <v>0.17957024522266873</v>
      </c>
      <c r="Q65">
        <f t="shared" si="41"/>
        <v>0.34094303392361852</v>
      </c>
      <c r="S65">
        <f t="shared" ref="S65" si="42">S14/S38</f>
        <v>0</v>
      </c>
      <c r="T65">
        <f t="shared" si="13"/>
        <v>1.23151048214827E-2</v>
      </c>
      <c r="U65" s="4" t="str">
        <f t="shared" si="7"/>
        <v>*</v>
      </c>
      <c r="V65" s="4" t="b">
        <f t="shared" ref="V65:W65" si="43">AND(T14,T38)</f>
        <v>1</v>
      </c>
      <c r="W65" s="4" t="b">
        <f t="shared" si="43"/>
        <v>1</v>
      </c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</row>
    <row r="66" spans="2:76" ht="27" customHeight="1" x14ac:dyDescent="0.2">
      <c r="B66" s="6" t="s">
        <v>527</v>
      </c>
      <c r="C66">
        <f t="shared" ref="C66:I66" si="44">C15/C39</f>
        <v>6.0222942020776396E-2</v>
      </c>
      <c r="D66">
        <f t="shared" si="44"/>
        <v>9.4518328118015194E-2</v>
      </c>
      <c r="E66">
        <f t="shared" si="44"/>
        <v>3.0263862158499504E-2</v>
      </c>
      <c r="F66">
        <f t="shared" si="44"/>
        <v>2.3339268593343378E-2</v>
      </c>
      <c r="G66">
        <f t="shared" si="44"/>
        <v>0.12257111822628623</v>
      </c>
      <c r="H66">
        <f t="shared" si="44"/>
        <v>0.13825059290113001</v>
      </c>
      <c r="I66">
        <f t="shared" si="44"/>
        <v>0.13969994370885239</v>
      </c>
      <c r="K66">
        <f t="shared" ref="K66:Q66" si="45">K15/K39</f>
        <v>0.52712497254557433</v>
      </c>
      <c r="L66">
        <f t="shared" si="45"/>
        <v>0.20302044609665426</v>
      </c>
      <c r="M66">
        <f t="shared" si="45"/>
        <v>0.1890595009596929</v>
      </c>
      <c r="N66">
        <f t="shared" si="45"/>
        <v>0.26894343649946639</v>
      </c>
      <c r="O66">
        <f t="shared" si="45"/>
        <v>0.26678113256446806</v>
      </c>
      <c r="P66">
        <f t="shared" si="45"/>
        <v>0.15575154021436408</v>
      </c>
      <c r="Q66">
        <f t="shared" si="45"/>
        <v>0.2299137200139644</v>
      </c>
      <c r="S66">
        <f t="shared" ref="S66" si="46">S15/S39</f>
        <v>0</v>
      </c>
      <c r="T66">
        <f t="shared" si="13"/>
        <v>8.2775310748924094E-3</v>
      </c>
      <c r="U66" s="4" t="str">
        <f t="shared" si="7"/>
        <v>**</v>
      </c>
      <c r="V66" s="4" t="b">
        <f t="shared" ref="V66:W66" si="47">AND(T15,T39)</f>
        <v>1</v>
      </c>
      <c r="W66" s="4" t="b">
        <f t="shared" si="47"/>
        <v>1</v>
      </c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</row>
    <row r="67" spans="2:76" ht="27" customHeight="1" x14ac:dyDescent="0.2">
      <c r="B67" s="6" t="s">
        <v>528</v>
      </c>
      <c r="C67">
        <f t="shared" ref="C67:I67" si="48">C16/C40</f>
        <v>0.20835502342529932</v>
      </c>
      <c r="D67">
        <f t="shared" si="48"/>
        <v>0.29944468175993166</v>
      </c>
      <c r="E67">
        <f t="shared" si="48"/>
        <v>0.14999254510213211</v>
      </c>
      <c r="F67">
        <f t="shared" si="48"/>
        <v>5.0102249488752554E-2</v>
      </c>
      <c r="G67">
        <f t="shared" si="48"/>
        <v>0.23129709364908504</v>
      </c>
      <c r="H67">
        <f t="shared" si="48"/>
        <v>0.35822959889349931</v>
      </c>
      <c r="I67">
        <f t="shared" si="48"/>
        <v>0.51015624999999998</v>
      </c>
      <c r="K67">
        <f t="shared" ref="K67:Q67" si="49">K16/K40</f>
        <v>1.0070175438596491</v>
      </c>
      <c r="L67">
        <f t="shared" si="49"/>
        <v>0.84850993377483441</v>
      </c>
      <c r="M67">
        <f t="shared" si="49"/>
        <v>0.78114478114478114</v>
      </c>
      <c r="N67">
        <f t="shared" si="49"/>
        <v>0.48159057437407954</v>
      </c>
      <c r="O67">
        <f t="shared" si="49"/>
        <v>0.7219036697247706</v>
      </c>
      <c r="P67">
        <f t="shared" si="49"/>
        <v>0.31698113207547168</v>
      </c>
      <c r="Q67">
        <f t="shared" si="49"/>
        <v>0.67571533382245053</v>
      </c>
      <c r="S67">
        <f t="shared" ref="S67" si="50">S16/S40</f>
        <v>0</v>
      </c>
      <c r="T67">
        <f t="shared" si="13"/>
        <v>1.8056655166448564E-3</v>
      </c>
      <c r="U67" s="4" t="str">
        <f t="shared" si="7"/>
        <v>**</v>
      </c>
      <c r="V67" s="4" t="b">
        <f t="shared" ref="V67:W67" si="51">AND(T16,T40)</f>
        <v>1</v>
      </c>
      <c r="W67" s="4" t="b">
        <f t="shared" si="51"/>
        <v>0</v>
      </c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</row>
    <row r="68" spans="2:76" ht="27" customHeight="1" x14ac:dyDescent="0.2">
      <c r="B68" s="6" t="s">
        <v>528</v>
      </c>
      <c r="C68">
        <f t="shared" ref="C68:I68" si="52">C17/C41</f>
        <v>0.17523809523809525</v>
      </c>
      <c r="D68">
        <f t="shared" si="52"/>
        <v>0.26471870911469692</v>
      </c>
      <c r="E68">
        <f t="shared" si="52"/>
        <v>7.3956834532374102E-2</v>
      </c>
      <c r="F68">
        <f t="shared" si="52"/>
        <v>2.3636363636363636E-2</v>
      </c>
      <c r="G68">
        <f t="shared" si="52"/>
        <v>0.55324165029469552</v>
      </c>
      <c r="H68">
        <f t="shared" si="52"/>
        <v>0.58736697562650186</v>
      </c>
      <c r="I68">
        <f t="shared" si="52"/>
        <v>0.58840413318025253</v>
      </c>
      <c r="K68">
        <f t="shared" ref="K68:Q68" si="53">K17/K41</f>
        <v>1.0714285714285714</v>
      </c>
      <c r="L68">
        <f t="shared" si="53"/>
        <v>0.26447709593777008</v>
      </c>
      <c r="M68">
        <f t="shared" si="53"/>
        <v>1.5748031496062992E-2</v>
      </c>
      <c r="N68">
        <f t="shared" si="53"/>
        <v>0.21705426356589147</v>
      </c>
      <c r="O68">
        <f t="shared" si="53"/>
        <v>0.43382352941176472</v>
      </c>
      <c r="P68">
        <f t="shared" si="53"/>
        <v>0.33431516936671574</v>
      </c>
      <c r="Q68">
        <f t="shared" si="53"/>
        <v>0.65391304347826085</v>
      </c>
      <c r="S68">
        <f t="shared" ref="S68" si="54">S17/S41</f>
        <v>0</v>
      </c>
      <c r="T68">
        <f t="shared" si="13"/>
        <v>0.53313869466697539</v>
      </c>
      <c r="U68" s="4" t="str">
        <f t="shared" si="7"/>
        <v>-</v>
      </c>
      <c r="V68" s="4" t="b">
        <f t="shared" ref="V68:W68" si="55">AND(T17,T41)</f>
        <v>1</v>
      </c>
      <c r="W68" s="4" t="b">
        <f t="shared" si="55"/>
        <v>0</v>
      </c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</row>
    <row r="69" spans="2:76" ht="27" customHeight="1" x14ac:dyDescent="0.2">
      <c r="B69" s="6" t="s">
        <v>669</v>
      </c>
      <c r="C69">
        <f t="shared" ref="C69:I69" si="56">C18/C42</f>
        <v>9.3928571428571431E-2</v>
      </c>
      <c r="D69">
        <f t="shared" si="56"/>
        <v>0.15315638450502153</v>
      </c>
      <c r="E69">
        <f t="shared" si="56"/>
        <v>4.0400250156347718E-2</v>
      </c>
      <c r="F69">
        <f t="shared" si="56"/>
        <v>6.0645582001956307E-2</v>
      </c>
      <c r="G69">
        <f t="shared" si="56"/>
        <v>0.30444005559212933</v>
      </c>
      <c r="H69">
        <f t="shared" si="56"/>
        <v>0.16789430070895867</v>
      </c>
      <c r="I69">
        <f t="shared" si="56"/>
        <v>0.32936458202782304</v>
      </c>
      <c r="K69">
        <f t="shared" ref="K69:Q69" si="57">K18/K42</f>
        <v>0.70676691729323304</v>
      </c>
      <c r="L69">
        <f t="shared" si="57"/>
        <v>0.51202482544608219</v>
      </c>
      <c r="M69">
        <f t="shared" si="57"/>
        <v>0.20267260579064589</v>
      </c>
      <c r="N69">
        <f t="shared" si="57"/>
        <v>0.46517571884984027</v>
      </c>
      <c r="O69">
        <f t="shared" si="57"/>
        <v>0.52401611403780601</v>
      </c>
      <c r="P69">
        <f t="shared" si="57"/>
        <v>0.21420228918476991</v>
      </c>
      <c r="Q69">
        <f t="shared" si="57"/>
        <v>0.71014492753623193</v>
      </c>
      <c r="S69">
        <f t="shared" ref="S69" si="58">S18/S42</f>
        <v>0</v>
      </c>
      <c r="T69">
        <f t="shared" si="13"/>
        <v>6.2790705318842722E-3</v>
      </c>
      <c r="U69" s="4" t="str">
        <f t="shared" si="7"/>
        <v>**</v>
      </c>
      <c r="V69" s="4" t="b">
        <f t="shared" ref="V69:W69" si="59">AND(T18,T42)</f>
        <v>1</v>
      </c>
      <c r="W69" s="4" t="b">
        <f t="shared" si="59"/>
        <v>1</v>
      </c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</row>
    <row r="70" spans="2:76" ht="27" customHeight="1" x14ac:dyDescent="0.2">
      <c r="B70" s="6" t="s">
        <v>529</v>
      </c>
      <c r="C70">
        <f t="shared" ref="C70:I70" si="60">C19/C43</f>
        <v>9.9084488621501432E-2</v>
      </c>
      <c r="D70">
        <f t="shared" si="60"/>
        <v>0.15430725216838473</v>
      </c>
      <c r="E70">
        <f t="shared" si="60"/>
        <v>3.9211569862374618E-2</v>
      </c>
      <c r="F70">
        <f t="shared" si="60"/>
        <v>4.172242401070541E-2</v>
      </c>
      <c r="G70">
        <f t="shared" si="60"/>
        <v>0.17055240495694182</v>
      </c>
      <c r="H70">
        <f t="shared" si="60"/>
        <v>0.13562962045182339</v>
      </c>
      <c r="I70">
        <f t="shared" si="60"/>
        <v>0.22011670229360447</v>
      </c>
      <c r="K70">
        <f t="shared" ref="K70:Q70" si="61">K19/K43</f>
        <v>0.24164677804295942</v>
      </c>
      <c r="L70">
        <f t="shared" si="61"/>
        <v>0.39089014587674903</v>
      </c>
      <c r="M70">
        <f t="shared" si="61"/>
        <v>7.589055240061951E-2</v>
      </c>
      <c r="N70">
        <f t="shared" si="61"/>
        <v>0.20462682456623521</v>
      </c>
      <c r="O70">
        <f t="shared" si="61"/>
        <v>0.31487667009249742</v>
      </c>
      <c r="P70">
        <f t="shared" si="61"/>
        <v>0.16436583261432269</v>
      </c>
      <c r="Q70">
        <f t="shared" si="61"/>
        <v>0.59278768233387358</v>
      </c>
      <c r="S70">
        <f t="shared" ref="S70" si="62">S19/S43</f>
        <v>0</v>
      </c>
      <c r="T70">
        <f>TTEST(C70:I70,K70:Q70,2,3)</f>
        <v>4.9222653169473149E-2</v>
      </c>
      <c r="U70" s="4" t="str">
        <f t="shared" si="7"/>
        <v>*</v>
      </c>
      <c r="V70" s="4" t="b">
        <f t="shared" ref="V70:W70" si="63">AND(T19,T43)</f>
        <v>1</v>
      </c>
      <c r="W70" s="4" t="b">
        <f t="shared" si="63"/>
        <v>1</v>
      </c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</row>
    <row r="71" spans="2:76" ht="27" customHeight="1" x14ac:dyDescent="0.2">
      <c r="B71" s="6" t="s">
        <v>670</v>
      </c>
      <c r="C71">
        <f t="shared" ref="C71:I71" si="64">C20/C44</f>
        <v>0.15499351491569391</v>
      </c>
      <c r="D71">
        <f t="shared" si="64"/>
        <v>0.46034214618973562</v>
      </c>
      <c r="E71">
        <f t="shared" si="64"/>
        <v>0.25785207700101315</v>
      </c>
      <c r="F71">
        <f t="shared" si="64"/>
        <v>0.22229381443298968</v>
      </c>
      <c r="G71">
        <f t="shared" si="64"/>
        <v>0.43493520518358531</v>
      </c>
      <c r="H71">
        <f t="shared" si="64"/>
        <v>0.57863729508196726</v>
      </c>
      <c r="I71">
        <f t="shared" si="64"/>
        <v>0.43641618497109824</v>
      </c>
      <c r="K71">
        <f t="shared" ref="K71:Q71" si="65">K20/K44</f>
        <v>1.7756232686980609</v>
      </c>
      <c r="L71">
        <f t="shared" si="65"/>
        <v>1.0661000944287062</v>
      </c>
      <c r="M71">
        <f t="shared" si="65"/>
        <v>1.5015290519877675</v>
      </c>
      <c r="N71">
        <f t="shared" si="65"/>
        <v>1.0949868073878628</v>
      </c>
      <c r="O71">
        <f t="shared" si="65"/>
        <v>1.2258064516129032</v>
      </c>
      <c r="P71">
        <f t="shared" si="65"/>
        <v>1.0933734939759037</v>
      </c>
      <c r="Q71">
        <f t="shared" si="65"/>
        <v>2.0813559322033899</v>
      </c>
      <c r="S71">
        <f t="shared" ref="S71" si="66">S20/S44</f>
        <v>0</v>
      </c>
      <c r="T71">
        <f>TTEST(C71:I71,K71:Q71,2,3)</f>
        <v>2.2013575602056521E-4</v>
      </c>
      <c r="U71" s="4" t="str">
        <f t="shared" si="7"/>
        <v>***</v>
      </c>
      <c r="V71" s="4" t="b">
        <f t="shared" ref="V71:W71" si="67">AND(T20,T44)</f>
        <v>1</v>
      </c>
      <c r="W71" s="4" t="b">
        <f t="shared" si="67"/>
        <v>1</v>
      </c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</row>
    <row r="72" spans="2:76" ht="27" customHeight="1" x14ac:dyDescent="0.2">
      <c r="B72" s="6" t="s">
        <v>671</v>
      </c>
      <c r="C72">
        <f t="shared" ref="C72:I72" si="68">C21/C45</f>
        <v>6.9614035087719295E-2</v>
      </c>
      <c r="D72">
        <f t="shared" si="68"/>
        <v>7.9667794524761609E-2</v>
      </c>
      <c r="E72">
        <f t="shared" si="68"/>
        <v>1.0125889436234263E-2</v>
      </c>
      <c r="F72">
        <f t="shared" si="68"/>
        <v>4.4009779951100243E-3</v>
      </c>
      <c r="G72">
        <f t="shared" si="68"/>
        <v>0.116551357104843</v>
      </c>
      <c r="H72">
        <f t="shared" si="68"/>
        <v>0.14585789304468974</v>
      </c>
      <c r="I72">
        <f t="shared" si="68"/>
        <v>0.20533260032985157</v>
      </c>
      <c r="K72">
        <f t="shared" ref="K72:Q72" si="69">K21/K45</f>
        <v>0.35543766578249336</v>
      </c>
      <c r="L72">
        <f t="shared" si="69"/>
        <v>0.35656565656565659</v>
      </c>
      <c r="M72">
        <f t="shared" si="69"/>
        <v>1.4613778705636743E-2</v>
      </c>
      <c r="N72">
        <f t="shared" si="69"/>
        <v>0.23759541984732824</v>
      </c>
      <c r="O72">
        <f t="shared" si="69"/>
        <v>0.28844839371155162</v>
      </c>
      <c r="P72">
        <f t="shared" si="69"/>
        <v>0.19316239316239317</v>
      </c>
      <c r="Q72">
        <f t="shared" si="69"/>
        <v>0.27924944812362029</v>
      </c>
      <c r="S72">
        <f t="shared" ref="S72" si="70">S21/S45</f>
        <v>0</v>
      </c>
      <c r="T72">
        <f>TTEST(C72:I72,K72:Q72,2,3)</f>
        <v>1.3713161991139079E-2</v>
      </c>
      <c r="U72" s="4" t="str">
        <f t="shared" si="7"/>
        <v>*</v>
      </c>
      <c r="V72" s="4" t="b">
        <f t="shared" ref="V72:W72" si="71">AND(T21,T45)</f>
        <v>0</v>
      </c>
      <c r="W72" s="4" t="b">
        <f t="shared" si="71"/>
        <v>1</v>
      </c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</row>
    <row r="73" spans="2:76" ht="27" customHeight="1" x14ac:dyDescent="0.2">
      <c r="B73" s="6" t="s">
        <v>672</v>
      </c>
      <c r="C73">
        <f t="shared" ref="C73:I73" si="72">C22/C46</f>
        <v>0.10533624280896647</v>
      </c>
      <c r="D73">
        <f t="shared" si="72"/>
        <v>0.20300751879699247</v>
      </c>
      <c r="E73">
        <f t="shared" si="72"/>
        <v>0.10645488340655627</v>
      </c>
      <c r="F73">
        <f t="shared" si="72"/>
        <v>5.8125000000000003E-2</v>
      </c>
      <c r="G73">
        <f t="shared" si="72"/>
        <v>0.17102994199717825</v>
      </c>
      <c r="H73">
        <f t="shared" si="72"/>
        <v>0.25076527488673933</v>
      </c>
      <c r="I73">
        <f t="shared" si="72"/>
        <v>0.26090848064443944</v>
      </c>
      <c r="K73">
        <f t="shared" ref="K73:Q73" si="73">K22/K46</f>
        <v>1.5121951219512195</v>
      </c>
      <c r="L73">
        <f t="shared" si="73"/>
        <v>0.54122137404580151</v>
      </c>
      <c r="M73">
        <f t="shared" si="73"/>
        <v>0.24250681198910082</v>
      </c>
      <c r="N73">
        <f t="shared" si="73"/>
        <v>0.79586563307493541</v>
      </c>
      <c r="O73">
        <f t="shared" si="73"/>
        <v>0.18719211822660098</v>
      </c>
      <c r="P73">
        <f t="shared" si="73"/>
        <v>0.64214992927864212</v>
      </c>
      <c r="Q73">
        <f t="shared" si="73"/>
        <v>0.62601626016260159</v>
      </c>
      <c r="S73">
        <f t="shared" ref="S73" si="74">S22/S46</f>
        <v>0</v>
      </c>
      <c r="T73">
        <f>TTEST(C73:I73,K73:Q73,2,3)</f>
        <v>2.642551144378924E-2</v>
      </c>
      <c r="U73" s="4" t="str">
        <f t="shared" si="7"/>
        <v>*</v>
      </c>
      <c r="V73" s="4" t="b">
        <f t="shared" ref="V73:W73" si="75">AND(T22,T46)</f>
        <v>1</v>
      </c>
      <c r="W73" s="4" t="b">
        <f t="shared" si="75"/>
        <v>1</v>
      </c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</row>
    <row r="74" spans="2:76" ht="27" customHeight="1" x14ac:dyDescent="0.2">
      <c r="B74" s="6" t="s">
        <v>673</v>
      </c>
      <c r="C74">
        <f t="shared" ref="C74:I74" si="76">C23/C47</f>
        <v>0.39334341906202724</v>
      </c>
      <c r="D74">
        <f t="shared" si="76"/>
        <v>0.40106951871657753</v>
      </c>
      <c r="E74">
        <f t="shared" si="76"/>
        <v>0.20547031354236159</v>
      </c>
      <c r="F74">
        <f t="shared" si="76"/>
        <v>0.10252100840336134</v>
      </c>
      <c r="G74">
        <f t="shared" si="76"/>
        <v>0.46839080459770116</v>
      </c>
      <c r="H74">
        <f t="shared" si="76"/>
        <v>0.41124908692476259</v>
      </c>
      <c r="I74">
        <f t="shared" si="76"/>
        <v>1.0165631469979297</v>
      </c>
      <c r="K74">
        <f t="shared" ref="K74:Q74" si="77">K23/K47</f>
        <v>3.1762295081967213</v>
      </c>
      <c r="L74">
        <f t="shared" si="77"/>
        <v>0.74406332453825863</v>
      </c>
      <c r="M74">
        <f t="shared" si="77"/>
        <v>0.29259024699176694</v>
      </c>
      <c r="N74">
        <f t="shared" si="77"/>
        <v>2.263157894736842</v>
      </c>
      <c r="O74">
        <f t="shared" si="77"/>
        <v>1.4758364312267658</v>
      </c>
      <c r="P74">
        <f t="shared" si="77"/>
        <v>2.8036809815950918</v>
      </c>
      <c r="Q74">
        <f t="shared" si="77"/>
        <v>0.93862660944206011</v>
      </c>
      <c r="S74">
        <f>S23/S47</f>
        <v>0</v>
      </c>
      <c r="T74">
        <f>TTEST(C74:I74,K74:Q74,2,3)</f>
        <v>2.3802977668841586E-2</v>
      </c>
      <c r="U74" s="4" t="str">
        <f t="shared" si="7"/>
        <v>*</v>
      </c>
      <c r="V74" s="4" t="b">
        <f t="shared" ref="V74:W74" si="78">AND(T23,T47)</f>
        <v>1</v>
      </c>
      <c r="W74" s="4" t="b">
        <f t="shared" si="78"/>
        <v>0</v>
      </c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</row>
    <row r="75" spans="2:76" ht="27" customHeight="1" x14ac:dyDescent="0.2">
      <c r="B75" t="s">
        <v>531</v>
      </c>
      <c r="C75">
        <f t="shared" ref="C75:I75" si="79">C24/C48</f>
        <v>7.4249807489410416E-2</v>
      </c>
      <c r="D75">
        <f t="shared" si="79"/>
        <v>0.10712883449575841</v>
      </c>
      <c r="E75">
        <f t="shared" si="79"/>
        <v>3.5838789334179111E-2</v>
      </c>
      <c r="F75">
        <f t="shared" si="79"/>
        <v>3.3503199173173542E-2</v>
      </c>
      <c r="G75">
        <f t="shared" si="79"/>
        <v>0.14940762078955558</v>
      </c>
      <c r="H75">
        <f t="shared" si="79"/>
        <v>0.13254985079498813</v>
      </c>
      <c r="I75">
        <f t="shared" si="79"/>
        <v>0.20369806134227084</v>
      </c>
      <c r="K75">
        <f t="shared" ref="K75:Q75" si="80">K24/K48</f>
        <v>0.57523098880737156</v>
      </c>
      <c r="L75">
        <f t="shared" si="80"/>
        <v>0.26839564451606923</v>
      </c>
      <c r="M75">
        <f t="shared" si="80"/>
        <v>0.16630196936542668</v>
      </c>
      <c r="N75">
        <f t="shared" si="80"/>
        <v>0.32319537198519716</v>
      </c>
      <c r="O75">
        <f t="shared" si="80"/>
        <v>0.31123002601263472</v>
      </c>
      <c r="P75">
        <f t="shared" si="80"/>
        <v>0.19744937694704051</v>
      </c>
      <c r="Q75">
        <f t="shared" si="80"/>
        <v>0.34608372228704787</v>
      </c>
      <c r="S75">
        <f>S24/S48</f>
        <v>3.3371691599539698E-2</v>
      </c>
      <c r="T75">
        <f t="shared" ref="T75" si="81">TTEST(C75:I75,K75:Q75,2,3)</f>
        <v>5.2341533333457426E-3</v>
      </c>
      <c r="U75" s="4" t="str">
        <f t="shared" si="7"/>
        <v>**</v>
      </c>
      <c r="V75" s="4" t="s">
        <v>686</v>
      </c>
      <c r="W75" s="4" t="s">
        <v>686</v>
      </c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</row>
    <row r="77" spans="2:76" x14ac:dyDescent="0.2">
      <c r="C77" t="s">
        <v>532</v>
      </c>
    </row>
    <row r="78" spans="2:76" x14ac:dyDescent="0.2">
      <c r="C78" t="s">
        <v>533</v>
      </c>
    </row>
  </sheetData>
  <sortState xmlns:xlrd2="http://schemas.microsoft.com/office/spreadsheetml/2017/richdata2" ref="CB4:CC42">
    <sortCondition ref="CC4:CC42"/>
  </sortState>
  <mergeCells count="76">
    <mergeCell ref="AP74:BF74"/>
    <mergeCell ref="AP75:BF75"/>
    <mergeCell ref="BH75:BX75"/>
    <mergeCell ref="BH64:BX64"/>
    <mergeCell ref="BH65:BX65"/>
    <mergeCell ref="BH66:BX66"/>
    <mergeCell ref="BH67:BX67"/>
    <mergeCell ref="BH68:BX68"/>
    <mergeCell ref="BH69:BX69"/>
    <mergeCell ref="BH70:BX70"/>
    <mergeCell ref="BH71:BX71"/>
    <mergeCell ref="BH72:BX72"/>
    <mergeCell ref="BH73:BX73"/>
    <mergeCell ref="BH74:BX74"/>
    <mergeCell ref="AP72:BF72"/>
    <mergeCell ref="AP73:BF73"/>
    <mergeCell ref="AP62:BF62"/>
    <mergeCell ref="AP63:BF63"/>
    <mergeCell ref="BH62:BX62"/>
    <mergeCell ref="BH63:BX63"/>
    <mergeCell ref="AP71:BF71"/>
    <mergeCell ref="AP70:BF70"/>
    <mergeCell ref="AP64:BF64"/>
    <mergeCell ref="AP65:BF65"/>
    <mergeCell ref="AP66:BF66"/>
    <mergeCell ref="AP67:BF67"/>
    <mergeCell ref="AP68:BF68"/>
    <mergeCell ref="AP69:BF69"/>
    <mergeCell ref="X75:AN75"/>
    <mergeCell ref="AP52:AV52"/>
    <mergeCell ref="AX52:BD52"/>
    <mergeCell ref="BH52:BN52"/>
    <mergeCell ref="BP52:BV52"/>
    <mergeCell ref="X71:AN71"/>
    <mergeCell ref="X72:AN72"/>
    <mergeCell ref="X73:AN73"/>
    <mergeCell ref="X74:AN74"/>
    <mergeCell ref="X62:AN62"/>
    <mergeCell ref="X57:AN57"/>
    <mergeCell ref="AP57:BF57"/>
    <mergeCell ref="BH57:BX57"/>
    <mergeCell ref="X58:AN58"/>
    <mergeCell ref="AP58:BF58"/>
    <mergeCell ref="BH58:BX58"/>
    <mergeCell ref="X51:AN51"/>
    <mergeCell ref="AP51:BF51"/>
    <mergeCell ref="BH51:BX51"/>
    <mergeCell ref="X69:AN69"/>
    <mergeCell ref="X70:AN70"/>
    <mergeCell ref="X63:AN63"/>
    <mergeCell ref="X64:AN64"/>
    <mergeCell ref="X65:AN65"/>
    <mergeCell ref="X66:AN66"/>
    <mergeCell ref="X67:AN67"/>
    <mergeCell ref="X68:AN68"/>
    <mergeCell ref="X52:AD52"/>
    <mergeCell ref="AF52:AL52"/>
    <mergeCell ref="X54:AN54"/>
    <mergeCell ref="X55:AN55"/>
    <mergeCell ref="X56:AN56"/>
    <mergeCell ref="V52:W52"/>
    <mergeCell ref="X61:AN61"/>
    <mergeCell ref="AP61:BF61"/>
    <mergeCell ref="BH61:BX61"/>
    <mergeCell ref="X59:AN59"/>
    <mergeCell ref="AP59:BF59"/>
    <mergeCell ref="BH59:BX59"/>
    <mergeCell ref="X60:AN60"/>
    <mergeCell ref="AP60:BF60"/>
    <mergeCell ref="BH60:BX60"/>
    <mergeCell ref="BH54:BX54"/>
    <mergeCell ref="BH55:BX55"/>
    <mergeCell ref="BH56:BX56"/>
    <mergeCell ref="AP54:BF54"/>
    <mergeCell ref="AP55:BF55"/>
    <mergeCell ref="AP56:BF56"/>
  </mergeCells>
  <phoneticPr fontId="2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158964B6-5E2B-43E0-8429-E60F54DA9ABF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'CoA-Car比'!C27:S27</xm:f>
              <xm:sqref>BH54</xm:sqref>
            </x14:sparkline>
            <x14:sparkline>
              <xm:f>'CoA-Car比'!C28:S28</xm:f>
              <xm:sqref>BH55</xm:sqref>
            </x14:sparkline>
            <x14:sparkline>
              <xm:f>'CoA-Car比'!C29:S29</xm:f>
              <xm:sqref>BH56</xm:sqref>
            </x14:sparkline>
            <x14:sparkline>
              <xm:f>'CoA-Car比'!C30:S30</xm:f>
              <xm:sqref>BH57</xm:sqref>
            </x14:sparkline>
            <x14:sparkline>
              <xm:f>'CoA-Car比'!C31:S31</xm:f>
              <xm:sqref>BH58</xm:sqref>
            </x14:sparkline>
            <x14:sparkline>
              <xm:f>'CoA-Car比'!C32:S32</xm:f>
              <xm:sqref>BH59</xm:sqref>
            </x14:sparkline>
            <x14:sparkline>
              <xm:f>'CoA-Car比'!C33:S33</xm:f>
              <xm:sqref>BH60</xm:sqref>
            </x14:sparkline>
            <x14:sparkline>
              <xm:f>'CoA-Car比'!C34:S34</xm:f>
              <xm:sqref>BH61</xm:sqref>
            </x14:sparkline>
            <x14:sparkline>
              <xm:f>'CoA-Car比'!C35:S35</xm:f>
              <xm:sqref>BH62</xm:sqref>
            </x14:sparkline>
            <x14:sparkline>
              <xm:f>'CoA-Car比'!C36:S36</xm:f>
              <xm:sqref>BH63</xm:sqref>
            </x14:sparkline>
            <x14:sparkline>
              <xm:f>'CoA-Car比'!C37:S37</xm:f>
              <xm:sqref>BH64</xm:sqref>
            </x14:sparkline>
            <x14:sparkline>
              <xm:f>'CoA-Car比'!C38:S38</xm:f>
              <xm:sqref>BH65</xm:sqref>
            </x14:sparkline>
            <x14:sparkline>
              <xm:f>'CoA-Car比'!C39:S39</xm:f>
              <xm:sqref>BH66</xm:sqref>
            </x14:sparkline>
            <x14:sparkline>
              <xm:f>'CoA-Car比'!C40:S40</xm:f>
              <xm:sqref>BH67</xm:sqref>
            </x14:sparkline>
            <x14:sparkline>
              <xm:f>'CoA-Car比'!C41:S41</xm:f>
              <xm:sqref>BH68</xm:sqref>
            </x14:sparkline>
            <x14:sparkline>
              <xm:f>'CoA-Car比'!C42:S42</xm:f>
              <xm:sqref>BH69</xm:sqref>
            </x14:sparkline>
            <x14:sparkline>
              <xm:f>'CoA-Car比'!C43:S43</xm:f>
              <xm:sqref>BH70</xm:sqref>
            </x14:sparkline>
            <x14:sparkline>
              <xm:f>'CoA-Car比'!C44:S44</xm:f>
              <xm:sqref>BH71</xm:sqref>
            </x14:sparkline>
            <x14:sparkline>
              <xm:f>'CoA-Car比'!C45:S45</xm:f>
              <xm:sqref>BH72</xm:sqref>
            </x14:sparkline>
            <x14:sparkline>
              <xm:f>'CoA-Car比'!C46:S46</xm:f>
              <xm:sqref>BH73</xm:sqref>
            </x14:sparkline>
            <x14:sparkline>
              <xm:f>'CoA-Car比'!C47:S47</xm:f>
              <xm:sqref>BH74</xm:sqref>
            </x14:sparkline>
            <x14:sparkline>
              <xm:f>'CoA-Car比'!C48:S48</xm:f>
              <xm:sqref>BH75</xm:sqref>
            </x14:sparkline>
          </x14:sparklines>
        </x14:sparklineGroup>
        <x14:sparklineGroup manualMin="0" type="column" displayEmptyCellsAs="gap" minAxisType="custom" xr2:uid="{89EA822D-C011-4398-A82B-14367895528C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'CoA-Car比'!C3:S3</xm:f>
              <xm:sqref>AP54</xm:sqref>
            </x14:sparkline>
            <x14:sparkline>
              <xm:f>'CoA-Car比'!C4:S4</xm:f>
              <xm:sqref>AP55</xm:sqref>
            </x14:sparkline>
            <x14:sparkline>
              <xm:f>'CoA-Car比'!C5:S5</xm:f>
              <xm:sqref>AP56</xm:sqref>
            </x14:sparkline>
            <x14:sparkline>
              <xm:f>'CoA-Car比'!C6:S6</xm:f>
              <xm:sqref>AP57</xm:sqref>
            </x14:sparkline>
            <x14:sparkline>
              <xm:f>'CoA-Car比'!C7:S7</xm:f>
              <xm:sqref>AP58</xm:sqref>
            </x14:sparkline>
            <x14:sparkline>
              <xm:f>'CoA-Car比'!C8:S8</xm:f>
              <xm:sqref>AP59</xm:sqref>
            </x14:sparkline>
            <x14:sparkline>
              <xm:f>'CoA-Car比'!C9:S9</xm:f>
              <xm:sqref>AP60</xm:sqref>
            </x14:sparkline>
            <x14:sparkline>
              <xm:f>'CoA-Car比'!C10:S10</xm:f>
              <xm:sqref>AP61</xm:sqref>
            </x14:sparkline>
            <x14:sparkline>
              <xm:f>'CoA-Car比'!C11:S11</xm:f>
              <xm:sqref>AP62</xm:sqref>
            </x14:sparkline>
            <x14:sparkline>
              <xm:f>'CoA-Car比'!C12:S12</xm:f>
              <xm:sqref>AP63</xm:sqref>
            </x14:sparkline>
            <x14:sparkline>
              <xm:f>'CoA-Car比'!C13:S13</xm:f>
              <xm:sqref>AP64</xm:sqref>
            </x14:sparkline>
            <x14:sparkline>
              <xm:f>'CoA-Car比'!C14:S14</xm:f>
              <xm:sqref>AP65</xm:sqref>
            </x14:sparkline>
            <x14:sparkline>
              <xm:f>'CoA-Car比'!C15:S15</xm:f>
              <xm:sqref>AP66</xm:sqref>
            </x14:sparkline>
            <x14:sparkline>
              <xm:f>'CoA-Car比'!C16:S16</xm:f>
              <xm:sqref>AP67</xm:sqref>
            </x14:sparkline>
            <x14:sparkline>
              <xm:f>'CoA-Car比'!C17:S17</xm:f>
              <xm:sqref>AP68</xm:sqref>
            </x14:sparkline>
            <x14:sparkline>
              <xm:f>'CoA-Car比'!C18:S18</xm:f>
              <xm:sqref>AP69</xm:sqref>
            </x14:sparkline>
            <x14:sparkline>
              <xm:f>'CoA-Car比'!C19:S19</xm:f>
              <xm:sqref>AP70</xm:sqref>
            </x14:sparkline>
            <x14:sparkline>
              <xm:f>'CoA-Car比'!C20:S20</xm:f>
              <xm:sqref>AP71</xm:sqref>
            </x14:sparkline>
            <x14:sparkline>
              <xm:f>'CoA-Car比'!C21:S21</xm:f>
              <xm:sqref>AP72</xm:sqref>
            </x14:sparkline>
            <x14:sparkline>
              <xm:f>'CoA-Car比'!C22:S22</xm:f>
              <xm:sqref>AP73</xm:sqref>
            </x14:sparkline>
            <x14:sparkline>
              <xm:f>'CoA-Car比'!C23:S23</xm:f>
              <xm:sqref>AP74</xm:sqref>
            </x14:sparkline>
            <x14:sparkline>
              <xm:f>'CoA-Car比'!C24:S24</xm:f>
              <xm:sqref>AP75</xm:sqref>
            </x14:sparkline>
          </x14:sparklines>
        </x14:sparklineGroup>
        <x14:sparklineGroup manualMin="0" type="column" displayEmptyCellsAs="gap" minAxisType="custom" xr2:uid="{FAB619C4-D963-4A2F-803A-4DC847540F0F}">
          <x14:colorSeries rgb="FF7030A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'CoA-Car比'!C54:S54</xm:f>
              <xm:sqref>X54</xm:sqref>
            </x14:sparkline>
            <x14:sparkline>
              <xm:f>'CoA-Car比'!C55:S55</xm:f>
              <xm:sqref>X55</xm:sqref>
            </x14:sparkline>
            <x14:sparkline>
              <xm:f>'CoA-Car比'!C56:S56</xm:f>
              <xm:sqref>X56</xm:sqref>
            </x14:sparkline>
            <x14:sparkline>
              <xm:f>'CoA-Car比'!C57:S57</xm:f>
              <xm:sqref>X57</xm:sqref>
            </x14:sparkline>
            <x14:sparkline>
              <xm:f>'CoA-Car比'!C58:S58</xm:f>
              <xm:sqref>X58</xm:sqref>
            </x14:sparkline>
            <x14:sparkline>
              <xm:f>'CoA-Car比'!C59:S59</xm:f>
              <xm:sqref>X59</xm:sqref>
            </x14:sparkline>
            <x14:sparkline>
              <xm:f>'CoA-Car比'!C60:S60</xm:f>
              <xm:sqref>X60</xm:sqref>
            </x14:sparkline>
            <x14:sparkline>
              <xm:f>'CoA-Car比'!C61:S61</xm:f>
              <xm:sqref>X61</xm:sqref>
            </x14:sparkline>
            <x14:sparkline>
              <xm:f>'CoA-Car比'!C62:S62</xm:f>
              <xm:sqref>X62</xm:sqref>
            </x14:sparkline>
            <x14:sparkline>
              <xm:f>'CoA-Car比'!C63:S63</xm:f>
              <xm:sqref>X63</xm:sqref>
            </x14:sparkline>
            <x14:sparkline>
              <xm:f>'CoA-Car比'!C64:S64</xm:f>
              <xm:sqref>X64</xm:sqref>
            </x14:sparkline>
            <x14:sparkline>
              <xm:f>'CoA-Car比'!C65:S65</xm:f>
              <xm:sqref>X65</xm:sqref>
            </x14:sparkline>
            <x14:sparkline>
              <xm:f>'CoA-Car比'!C66:S66</xm:f>
              <xm:sqref>X66</xm:sqref>
            </x14:sparkline>
            <x14:sparkline>
              <xm:f>'CoA-Car比'!C67:S67</xm:f>
              <xm:sqref>X67</xm:sqref>
            </x14:sparkline>
            <x14:sparkline>
              <xm:f>'CoA-Car比'!C68:S68</xm:f>
              <xm:sqref>X68</xm:sqref>
            </x14:sparkline>
            <x14:sparkline>
              <xm:f>'CoA-Car比'!C69:S69</xm:f>
              <xm:sqref>X69</xm:sqref>
            </x14:sparkline>
            <x14:sparkline>
              <xm:f>'CoA-Car比'!C70:S70</xm:f>
              <xm:sqref>X70</xm:sqref>
            </x14:sparkline>
            <x14:sparkline>
              <xm:f>'CoA-Car比'!C71:S71</xm:f>
              <xm:sqref>X71</xm:sqref>
            </x14:sparkline>
            <x14:sparkline>
              <xm:f>'CoA-Car比'!C72:S72</xm:f>
              <xm:sqref>X72</xm:sqref>
            </x14:sparkline>
            <x14:sparkline>
              <xm:f>'CoA-Car比'!C73:S73</xm:f>
              <xm:sqref>X73</xm:sqref>
            </x14:sparkline>
            <x14:sparkline>
              <xm:f>'CoA-Car比'!C74:S74</xm:f>
              <xm:sqref>X74</xm:sqref>
            </x14:sparkline>
            <x14:sparkline>
              <xm:f>'CoA-Car比'!C75:S75</xm:f>
              <xm:sqref>X75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Molecules_Negative-ion mode</vt:lpstr>
      <vt:lpstr>Molecules_Positive ion mode</vt:lpstr>
      <vt:lpstr>Lipid class level</vt:lpstr>
      <vt:lpstr>CoA-Car比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 かずさ</dc:creator>
  <cp:lastModifiedBy>Kazutaka Ikeda</cp:lastModifiedBy>
  <dcterms:created xsi:type="dcterms:W3CDTF">2025-09-09T04:25:11Z</dcterms:created>
  <dcterms:modified xsi:type="dcterms:W3CDTF">2026-05-27T01:26:41Z</dcterms:modified>
</cp:coreProperties>
</file>