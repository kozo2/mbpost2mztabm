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b\OneDrive\デスクトップ\"/>
    </mc:Choice>
  </mc:AlternateContent>
  <bookViews>
    <workbookView xWindow="0" yWindow="0" windowWidth="28800" windowHeight="11925"/>
  </bookViews>
  <sheets>
    <sheet name="Relative peak area" sheetId="1" r:id="rId1"/>
  </sheets>
  <definedNames>
    <definedName name="ｇｇｇｇ">452250672</definedName>
    <definedName name="MethodPointer1">452250672</definedName>
    <definedName name="MethodPointer2">0</definedName>
    <definedName name="タンパク定量">452250672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1" i="1" l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</calcChain>
</file>

<file path=xl/sharedStrings.xml><?xml version="1.0" encoding="utf-8"?>
<sst xmlns="http://schemas.openxmlformats.org/spreadsheetml/2006/main" count="164" uniqueCount="108">
  <si>
    <t>ID</t>
    <phoneticPr fontId="8"/>
  </si>
  <si>
    <t>Compound name (main)</t>
    <phoneticPr fontId="8"/>
  </si>
  <si>
    <t>Abbreviation</t>
    <phoneticPr fontId="5"/>
  </si>
  <si>
    <t>Precursor ion</t>
    <phoneticPr fontId="8"/>
  </si>
  <si>
    <t>RT (min)</t>
    <phoneticPr fontId="11"/>
  </si>
  <si>
    <t>STD peak area
(10 μM 10 μL injection)</t>
    <phoneticPr fontId="5"/>
  </si>
  <si>
    <t>Molecular formula</t>
  </si>
  <si>
    <t>Exact mass</t>
    <phoneticPr fontId="2"/>
  </si>
  <si>
    <t>KEGG ID</t>
  </si>
  <si>
    <t>HMDB ID</t>
    <phoneticPr fontId="2"/>
  </si>
  <si>
    <t>KEGG Pathway</t>
    <phoneticPr fontId="2"/>
  </si>
  <si>
    <t>Chemical category</t>
    <phoneticPr fontId="2"/>
  </si>
  <si>
    <t>HMDB chemical information</t>
    <phoneticPr fontId="8"/>
  </si>
  <si>
    <t>logP (Experimental)</t>
    <phoneticPr fontId="2"/>
  </si>
  <si>
    <t>logP (Predicted by ChemAxon)</t>
    <phoneticPr fontId="2"/>
  </si>
  <si>
    <t>pKa (Strongest Acidic by ChemAxon)</t>
    <phoneticPr fontId="2"/>
  </si>
  <si>
    <t>pKa (Strongest Basic by ChemAxon)</t>
    <phoneticPr fontId="2"/>
  </si>
  <si>
    <t>ESI (Positive)</t>
    <phoneticPr fontId="8"/>
  </si>
  <si>
    <t>ESI (Negative)</t>
    <phoneticPr fontId="8"/>
  </si>
  <si>
    <t>Category 1</t>
    <phoneticPr fontId="2"/>
  </si>
  <si>
    <t>Category 2</t>
    <phoneticPr fontId="2"/>
  </si>
  <si>
    <t>HMDB Sub Class</t>
    <phoneticPr fontId="2"/>
  </si>
  <si>
    <t>N/A</t>
    <phoneticPr fontId="5"/>
  </si>
  <si>
    <r>
      <t>(M+H)</t>
    </r>
    <r>
      <rPr>
        <vertAlign val="superscript"/>
        <sz val="11"/>
        <color indexed="8"/>
        <rFont val="Times New Roman"/>
        <family val="1"/>
      </rPr>
      <t>+</t>
    </r>
  </si>
  <si>
    <r>
      <t>(M+NH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>)</t>
    </r>
    <r>
      <rPr>
        <vertAlign val="superscript"/>
        <sz val="11"/>
        <color indexed="8"/>
        <rFont val="Times New Roman"/>
        <family val="1"/>
      </rPr>
      <t>+</t>
    </r>
  </si>
  <si>
    <r>
      <t>(M+2H)</t>
    </r>
    <r>
      <rPr>
        <vertAlign val="superscript"/>
        <sz val="11"/>
        <color indexed="8"/>
        <rFont val="Times New Roman"/>
        <family val="1"/>
      </rPr>
      <t>2+</t>
    </r>
  </si>
  <si>
    <r>
      <t>(M+Na)</t>
    </r>
    <r>
      <rPr>
        <vertAlign val="superscript"/>
        <sz val="11"/>
        <color indexed="8"/>
        <rFont val="Times New Roman"/>
        <family val="1"/>
      </rPr>
      <t>+</t>
    </r>
  </si>
  <si>
    <r>
      <t>(M+H+CH</t>
    </r>
    <r>
      <rPr>
        <vertAlign val="subscript"/>
        <sz val="11"/>
        <color indexed="8"/>
        <rFont val="Times New Roman"/>
        <family val="1"/>
      </rPr>
      <t>3</t>
    </r>
    <r>
      <rPr>
        <sz val="11"/>
        <color indexed="8"/>
        <rFont val="Times New Roman"/>
        <family val="1"/>
      </rPr>
      <t>OH)</t>
    </r>
    <r>
      <rPr>
        <vertAlign val="superscript"/>
        <sz val="11"/>
        <color indexed="8"/>
        <rFont val="Times New Roman"/>
        <family val="1"/>
      </rPr>
      <t>+</t>
    </r>
  </si>
  <si>
    <r>
      <t>(M-H)</t>
    </r>
    <r>
      <rPr>
        <vertAlign val="superscript"/>
        <sz val="11"/>
        <rFont val="Times New Roman"/>
        <family val="1"/>
      </rPr>
      <t>-</t>
    </r>
  </si>
  <si>
    <r>
      <t>(M+CH</t>
    </r>
    <r>
      <rPr>
        <vertAlign val="subscript"/>
        <sz val="11"/>
        <color indexed="8"/>
        <rFont val="Times New Roman"/>
        <family val="1"/>
      </rPr>
      <t>3</t>
    </r>
    <r>
      <rPr>
        <sz val="11"/>
        <color indexed="8"/>
        <rFont val="Times New Roman"/>
        <family val="1"/>
      </rPr>
      <t>COO)</t>
    </r>
    <r>
      <rPr>
        <vertAlign val="superscript"/>
        <sz val="11"/>
        <color indexed="8"/>
        <rFont val="Times New Roman"/>
        <family val="1"/>
      </rPr>
      <t>-</t>
    </r>
  </si>
  <si>
    <r>
      <t>(M-2H)</t>
    </r>
    <r>
      <rPr>
        <vertAlign val="superscript"/>
        <sz val="11"/>
        <color indexed="8"/>
        <rFont val="Times New Roman"/>
        <family val="1"/>
      </rPr>
      <t>2-</t>
    </r>
  </si>
  <si>
    <r>
      <t>(M+HCOO)</t>
    </r>
    <r>
      <rPr>
        <vertAlign val="superscript"/>
        <sz val="11"/>
        <color indexed="8"/>
        <rFont val="Times New Roman"/>
        <family val="1"/>
      </rPr>
      <t>-</t>
    </r>
  </si>
  <si>
    <r>
      <t>(M+Cl)</t>
    </r>
    <r>
      <rPr>
        <vertAlign val="superscript"/>
        <sz val="11"/>
        <color indexed="8"/>
        <rFont val="Times New Roman"/>
        <family val="1"/>
      </rPr>
      <t>-</t>
    </r>
  </si>
  <si>
    <t>5,10-Methenyltetrahydrofolic acid</t>
    <phoneticPr fontId="8"/>
  </si>
  <si>
    <t>5,10-Methenyl-THF</t>
    <phoneticPr fontId="16"/>
  </si>
  <si>
    <r>
      <t>[M + H]</t>
    </r>
    <r>
      <rPr>
        <vertAlign val="superscript"/>
        <sz val="11"/>
        <color theme="1"/>
        <rFont val="Times New Roman"/>
        <family val="1"/>
      </rPr>
      <t>+</t>
    </r>
    <phoneticPr fontId="8"/>
  </si>
  <si>
    <t>3.46±0.03</t>
  </si>
  <si>
    <t>C20H22N7O6</t>
    <phoneticPr fontId="8"/>
  </si>
  <si>
    <t>C00445</t>
    <phoneticPr fontId="5"/>
  </si>
  <si>
    <t>HMDB01354</t>
    <phoneticPr fontId="5"/>
  </si>
  <si>
    <t>One carbon pool by folate</t>
  </si>
  <si>
    <t>Hydrophilic</t>
    <phoneticPr fontId="2"/>
  </si>
  <si>
    <t>Cation and Anion</t>
    <phoneticPr fontId="2"/>
  </si>
  <si>
    <t>Pterins and derivatives </t>
  </si>
  <si>
    <r>
      <t xml:space="preserve"> </t>
    </r>
    <r>
      <rPr>
        <sz val="11"/>
        <rFont val="ＭＳ Ｐ明朝"/>
        <family val="1"/>
        <charset val="128"/>
      </rPr>
      <t>－</t>
    </r>
  </si>
  <si>
    <t>5,10-Methylenetetrahydrofolic acid</t>
    <phoneticPr fontId="5"/>
  </si>
  <si>
    <t>5,10-Methylene-THF</t>
    <phoneticPr fontId="16"/>
  </si>
  <si>
    <t>N/A</t>
  </si>
  <si>
    <t>C20H23N7O6</t>
  </si>
  <si>
    <t>C00143</t>
    <phoneticPr fontId="5"/>
  </si>
  <si>
    <t>HMDB01533</t>
    <phoneticPr fontId="5"/>
  </si>
  <si>
    <t>Folinic acid</t>
    <phoneticPr fontId="8"/>
  </si>
  <si>
    <t>5-Formyl-THF</t>
    <phoneticPr fontId="16"/>
  </si>
  <si>
    <t>4.04±0.01</t>
  </si>
  <si>
    <t>C20H23N7O7</t>
    <phoneticPr fontId="8"/>
  </si>
  <si>
    <t>C03479</t>
    <phoneticPr fontId="5"/>
  </si>
  <si>
    <t>HMDB01562</t>
    <phoneticPr fontId="5"/>
  </si>
  <si>
    <t>5-Methyltetrahydrofolic acid</t>
    <phoneticPr fontId="5"/>
  </si>
  <si>
    <t>5-Methyl-THF</t>
    <phoneticPr fontId="16"/>
  </si>
  <si>
    <t>3.33±0.03</t>
  </si>
  <si>
    <t>C20H25N7O6</t>
  </si>
  <si>
    <t>C00440</t>
    <phoneticPr fontId="5"/>
  </si>
  <si>
    <t>HMDB01396</t>
    <phoneticPr fontId="5"/>
  </si>
  <si>
    <t>7,8-Dihydrofolic acid</t>
    <phoneticPr fontId="8"/>
  </si>
  <si>
    <t>7,8-Dihydrofolate</t>
    <phoneticPr fontId="16"/>
  </si>
  <si>
    <t>C19H21N7O6</t>
    <phoneticPr fontId="8"/>
  </si>
  <si>
    <t xml:space="preserve">C00415 </t>
    <phoneticPr fontId="5"/>
  </si>
  <si>
    <t>HMDB01056</t>
    <phoneticPr fontId="5"/>
  </si>
  <si>
    <t>Amino acids, peptides, and analogues</t>
    <phoneticPr fontId="5"/>
  </si>
  <si>
    <t>Folic acid</t>
    <phoneticPr fontId="8"/>
  </si>
  <si>
    <t>Folate</t>
    <phoneticPr fontId="16"/>
  </si>
  <si>
    <t>4.13±0.03</t>
  </si>
  <si>
    <t>C19H19N7O6</t>
    <phoneticPr fontId="8"/>
  </si>
  <si>
    <t>C00504</t>
    <phoneticPr fontId="5"/>
  </si>
  <si>
    <t>HMDB00121</t>
    <phoneticPr fontId="5"/>
  </si>
  <si>
    <t>Methoxyphenols</t>
  </si>
  <si>
    <t>5,6,7,8-Tetrahydrofolic acid</t>
    <phoneticPr fontId="8"/>
  </si>
  <si>
    <t>THF</t>
    <phoneticPr fontId="16"/>
  </si>
  <si>
    <t>C19H23N7O6</t>
    <phoneticPr fontId="8"/>
  </si>
  <si>
    <t>C00101</t>
    <phoneticPr fontId="5"/>
  </si>
  <si>
    <t>HMDB01846</t>
    <phoneticPr fontId="5"/>
  </si>
  <si>
    <t>Purines and purine derivatives</t>
    <phoneticPr fontId="5"/>
  </si>
  <si>
    <t>Lidocaine (IS)</t>
    <phoneticPr fontId="2"/>
  </si>
  <si>
    <t>5.09±0.04</t>
    <phoneticPr fontId="5"/>
  </si>
  <si>
    <t>C14H22N2O</t>
  </si>
  <si>
    <t>C07073</t>
    <phoneticPr fontId="2"/>
  </si>
  <si>
    <t>HMDB14426</t>
    <phoneticPr fontId="2"/>
  </si>
  <si>
    <t>Cation</t>
    <phoneticPr fontId="2"/>
  </si>
  <si>
    <t>Amino acids, peptides, and analogues</t>
    <phoneticPr fontId="2"/>
  </si>
  <si>
    <t>Sample (peak area, cell number)</t>
    <phoneticPr fontId="5"/>
  </si>
  <si>
    <t>Relative peak area (analyte/IS/sample amount)</t>
    <phoneticPr fontId="5"/>
  </si>
  <si>
    <t>Spleen_1</t>
    <phoneticPr fontId="5"/>
  </si>
  <si>
    <t>Spleen_2</t>
  </si>
  <si>
    <t>Spleen_3</t>
  </si>
  <si>
    <t>Thymus_1</t>
    <phoneticPr fontId="5"/>
  </si>
  <si>
    <t>Thymus_2</t>
  </si>
  <si>
    <t>Thymus_3</t>
  </si>
  <si>
    <t>Intestine_1</t>
    <phoneticPr fontId="5"/>
  </si>
  <si>
    <t>Intestine_2</t>
  </si>
  <si>
    <t>Intestine_3</t>
  </si>
  <si>
    <t>Tumor (a8-1)</t>
    <phoneticPr fontId="5"/>
  </si>
  <si>
    <t>Tumor (a8-2)</t>
  </si>
  <si>
    <t>Tumor (a8-3)</t>
  </si>
  <si>
    <t>Tumor (cl.9-1)</t>
    <phoneticPr fontId="5"/>
  </si>
  <si>
    <t>Tumor (cl.9-2)</t>
  </si>
  <si>
    <t>Tumor (cl.9-3)</t>
  </si>
  <si>
    <t>ProcedureBLK_01</t>
    <phoneticPr fontId="8"/>
  </si>
  <si>
    <t>ProcedureBLK_02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</si>
</sst>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7" formatCode="0.00_);[Red]\(0.00\)"/>
    <numFmt numFmtId="178" formatCode="0.0000_ "/>
    <numFmt numFmtId="179" formatCode="0_ "/>
    <numFmt numFmtId="180" formatCode="0.0E+00"/>
    <numFmt numFmtId="181" formatCode="0.0.E+00"/>
    <numFmt numFmtId="182" formatCode="0.00000_);[Red]\(0.00000\)"/>
    <numFmt numFmtId="183" formatCode="0.0000_);[Red]\(0.0000\)"/>
    <numFmt numFmtId="184" formatCode="0.0000"/>
    <numFmt numFmtId="185" formatCode="0.000"/>
  </numFmts>
  <fonts count="20">
    <font>
      <sz val="11"/>
      <color theme="1"/>
      <name val="游ゴシック"/>
      <family val="2"/>
      <charset val="23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明朝"/>
      <family val="2"/>
      <charset val="128"/>
    </font>
    <font>
      <sz val="10"/>
      <color indexed="0"/>
      <name val="Arial"/>
      <family val="2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indexed="8"/>
      <name val="Times New Roman"/>
      <family val="1"/>
    </font>
    <font>
      <sz val="6"/>
      <name val="游ゴシック"/>
      <family val="2"/>
      <charset val="128"/>
      <scheme val="minor"/>
    </font>
    <font>
      <sz val="8"/>
      <name val="Times New Roman"/>
      <family val="1"/>
    </font>
    <font>
      <sz val="11"/>
      <name val="Times New Roman"/>
      <family val="1"/>
    </font>
    <font>
      <sz val="6"/>
      <name val="ＭＳ Ｐ明朝"/>
      <family val="1"/>
      <charset val="128"/>
    </font>
    <font>
      <vertAlign val="superscript"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vertAlign val="subscript"/>
      <sz val="11"/>
      <color indexed="8"/>
      <name val="Times New Roman"/>
      <family val="1"/>
    </font>
    <font>
      <vertAlign val="superscript"/>
      <sz val="11"/>
      <name val="Times New Roman"/>
      <family val="1"/>
    </font>
    <font>
      <sz val="6"/>
      <name val="ＭＳ Ｐゴシック"/>
      <family val="3"/>
      <charset val="128"/>
    </font>
    <font>
      <sz val="11"/>
      <color rgb="FF000000"/>
      <name val="Times New Roman"/>
      <family val="1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4" fillId="0" borderId="0"/>
    <xf numFmtId="0" fontId="6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</cellStyleXfs>
  <cellXfs count="74">
    <xf numFmtId="0" fontId="0" fillId="0" borderId="0" xfId="0"/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2" borderId="0" xfId="1" applyFont="1" applyFill="1">
      <alignment vertical="center"/>
    </xf>
    <xf numFmtId="0" fontId="7" fillId="3" borderId="1" xfId="3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left" vertical="center"/>
    </xf>
    <xf numFmtId="177" fontId="7" fillId="3" borderId="1" xfId="3" applyNumberFormat="1" applyFont="1" applyFill="1" applyBorder="1" applyAlignment="1">
      <alignment horizontal="left" vertical="center"/>
    </xf>
    <xf numFmtId="0" fontId="2" fillId="3" borderId="1" xfId="2" applyFont="1" applyFill="1" applyBorder="1" applyAlignment="1">
      <alignment horizontal="left" vertical="center"/>
    </xf>
    <xf numFmtId="178" fontId="7" fillId="3" borderId="1" xfId="3" applyNumberFormat="1" applyFont="1" applyFill="1" applyBorder="1" applyAlignment="1">
      <alignment horizontal="center" vertical="center"/>
    </xf>
    <xf numFmtId="0" fontId="7" fillId="3" borderId="0" xfId="3" applyFont="1" applyFill="1" applyAlignment="1">
      <alignment horizontal="center" vertical="center"/>
    </xf>
    <xf numFmtId="0" fontId="10" fillId="3" borderId="0" xfId="4" applyFont="1" applyFill="1" applyAlignment="1">
      <alignment horizontal="center" vertical="center"/>
    </xf>
    <xf numFmtId="0" fontId="10" fillId="3" borderId="0" xfId="4" applyFont="1" applyFill="1" applyAlignment="1">
      <alignment horizontal="center" vertical="center" wrapText="1"/>
    </xf>
    <xf numFmtId="0" fontId="2" fillId="3" borderId="0" xfId="5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0" xfId="3" applyFont="1" applyFill="1" applyAlignment="1">
      <alignment horizontal="left" vertical="center"/>
    </xf>
    <xf numFmtId="177" fontId="7" fillId="3" borderId="0" xfId="3" applyNumberFormat="1" applyFont="1" applyFill="1" applyAlignment="1">
      <alignment horizontal="left" vertical="center"/>
    </xf>
    <xf numFmtId="178" fontId="7" fillId="3" borderId="0" xfId="3" applyNumberFormat="1" applyFont="1" applyFill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0" fontId="10" fillId="3" borderId="2" xfId="4" applyFont="1" applyFill="1" applyBorder="1" applyAlignment="1">
      <alignment horizontal="center" vertical="center"/>
    </xf>
    <xf numFmtId="0" fontId="10" fillId="3" borderId="2" xfId="4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/>
    </xf>
    <xf numFmtId="179" fontId="10" fillId="3" borderId="2" xfId="1" applyNumberFormat="1" applyFont="1" applyFill="1" applyBorder="1" applyAlignment="1">
      <alignment horizontal="center" vertical="center"/>
    </xf>
    <xf numFmtId="180" fontId="2" fillId="3" borderId="2" xfId="6" applyNumberFormat="1" applyFont="1" applyFill="1" applyBorder="1" applyAlignment="1">
      <alignment horizontal="center" vertical="center"/>
    </xf>
    <xf numFmtId="180" fontId="2" fillId="0" borderId="0" xfId="6" applyNumberFormat="1" applyFont="1" applyAlignment="1">
      <alignment horizontal="center" vertical="center"/>
    </xf>
    <xf numFmtId="179" fontId="10" fillId="0" borderId="0" xfId="1" applyNumberFormat="1" applyFont="1" applyAlignment="1">
      <alignment horizontal="center" vertical="center"/>
    </xf>
    <xf numFmtId="0" fontId="7" fillId="3" borderId="2" xfId="3" applyFont="1" applyFill="1" applyBorder="1" applyAlignment="1">
      <alignment horizontal="left" vertical="center"/>
    </xf>
    <xf numFmtId="177" fontId="7" fillId="3" borderId="2" xfId="3" applyNumberFormat="1" applyFont="1" applyFill="1" applyBorder="1" applyAlignment="1">
      <alignment horizontal="left" vertical="center"/>
    </xf>
    <xf numFmtId="178" fontId="7" fillId="3" borderId="2" xfId="3" applyNumberFormat="1" applyFont="1" applyFill="1" applyBorder="1" applyAlignment="1">
      <alignment horizontal="center" vertical="center"/>
    </xf>
    <xf numFmtId="178" fontId="10" fillId="3" borderId="2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7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1" fontId="2" fillId="0" borderId="0" xfId="1" applyNumberFormat="1" applyFont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1" fontId="2" fillId="0" borderId="0" xfId="1" applyNumberFormat="1" applyFont="1" applyAlignment="1">
      <alignment horizontal="right" vertical="center"/>
    </xf>
    <xf numFmtId="183" fontId="2" fillId="0" borderId="0" xfId="0" applyNumberFormat="1" applyFont="1" applyAlignment="1">
      <alignment horizontal="right" vertical="center"/>
    </xf>
    <xf numFmtId="184" fontId="2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2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178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181" fontId="2" fillId="0" borderId="0" xfId="8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81" fontId="2" fillId="0" borderId="0" xfId="8" applyNumberFormat="1" applyFont="1" applyAlignment="1">
      <alignment horizontal="right" vertical="center"/>
    </xf>
    <xf numFmtId="0" fontId="2" fillId="0" borderId="2" xfId="1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0" borderId="2" xfId="8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1" fontId="2" fillId="0" borderId="2" xfId="8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83" fontId="2" fillId="0" borderId="2" xfId="0" applyNumberFormat="1" applyFont="1" applyBorder="1" applyAlignment="1">
      <alignment horizontal="right" vertical="center"/>
    </xf>
    <xf numFmtId="184" fontId="2" fillId="0" borderId="2" xfId="0" applyNumberFormat="1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0" fillId="0" borderId="2" xfId="2" applyFont="1" applyBorder="1" applyAlignment="1">
      <alignment horizontal="left" vertical="center"/>
    </xf>
    <xf numFmtId="0" fontId="10" fillId="0" borderId="2" xfId="3" applyFont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  <xf numFmtId="178" fontId="2" fillId="0" borderId="2" xfId="0" applyNumberFormat="1" applyFont="1" applyBorder="1" applyAlignment="1">
      <alignment vertical="center"/>
    </xf>
    <xf numFmtId="0" fontId="2" fillId="0" borderId="1" xfId="7" applyFont="1" applyBorder="1" applyAlignment="1">
      <alignment horizontal="center" vertical="center"/>
    </xf>
    <xf numFmtId="185" fontId="2" fillId="0" borderId="0" xfId="1" applyNumberFormat="1" applyFont="1" applyAlignment="1">
      <alignment horizontal="center" vertical="center"/>
    </xf>
    <xf numFmtId="0" fontId="10" fillId="0" borderId="0" xfId="2" applyFont="1" applyAlignment="1">
      <alignment vertical="center"/>
    </xf>
    <xf numFmtId="183" fontId="10" fillId="0" borderId="0" xfId="2" applyNumberFormat="1" applyFont="1" applyAlignment="1">
      <alignment horizontal="right" vertical="center"/>
    </xf>
    <xf numFmtId="0" fontId="10" fillId="0" borderId="0" xfId="3" applyFont="1">
      <alignment vertical="center"/>
    </xf>
    <xf numFmtId="0" fontId="10" fillId="0" borderId="0" xfId="2" applyFont="1" applyAlignment="1">
      <alignment horizontal="right" vertical="center"/>
    </xf>
    <xf numFmtId="178" fontId="10" fillId="0" borderId="0" xfId="2" applyNumberFormat="1" applyFont="1" applyAlignment="1">
      <alignment vertical="center"/>
    </xf>
    <xf numFmtId="0" fontId="2" fillId="0" borderId="0" xfId="1" applyFont="1" applyFill="1" applyAlignment="1">
      <alignment horizontal="left" vertical="center"/>
    </xf>
    <xf numFmtId="0" fontId="10" fillId="0" borderId="0" xfId="2" applyFont="1" applyFill="1" applyAlignment="1">
      <alignment horizontal="left" vertical="center"/>
    </xf>
  </cellXfs>
  <cellStyles count="9">
    <cellStyle name="標準" xfId="0" builtinId="0"/>
    <cellStyle name="標準 10 2" xfId="7"/>
    <cellStyle name="標準 15 2 2 3" xfId="5"/>
    <cellStyle name="標準 2 2 2 2 2" xfId="3"/>
    <cellStyle name="標準 2 6 2" xfId="4"/>
    <cellStyle name="標準 3 2 11" xfId="2"/>
    <cellStyle name="標準 4 2" xfId="8"/>
    <cellStyle name="標準 4 8" xfId="1"/>
    <cellStyle name="標準 452 2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BK12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7" sqref="A7"/>
      <selection pane="bottomRight" activeCell="B2" sqref="B2:B4"/>
    </sheetView>
  </sheetViews>
  <sheetFormatPr defaultColWidth="8.875" defaultRowHeight="15"/>
  <cols>
    <col min="1" max="1" width="8.875" style="1"/>
    <col min="2" max="2" width="4.75" style="1" bestFit="1" customWidth="1"/>
    <col min="3" max="3" width="28.875" style="1" bestFit="1" customWidth="1"/>
    <col min="4" max="4" width="17.75" style="1" bestFit="1" customWidth="1"/>
    <col min="5" max="5" width="11.5" style="1" bestFit="1" customWidth="1"/>
    <col min="6" max="6" width="8.75" style="1" bestFit="1" customWidth="1"/>
    <col min="7" max="7" width="13" style="1" bestFit="1" customWidth="1"/>
    <col min="8" max="9" width="16.25" style="1" bestFit="1" customWidth="1"/>
    <col min="10" max="12" width="8.25" style="1" bestFit="1" customWidth="1"/>
    <col min="13" max="15" width="9.25" style="1" bestFit="1" customWidth="1"/>
    <col min="16" max="18" width="9.625" style="1" bestFit="1" customWidth="1"/>
    <col min="19" max="21" width="11.5" style="1" bestFit="1" customWidth="1"/>
    <col min="22" max="24" width="12.5" style="1" bestFit="1" customWidth="1"/>
    <col min="25" max="25" width="6.625" style="1" customWidth="1"/>
    <col min="26" max="28" width="8.25" style="1" customWidth="1"/>
    <col min="29" max="31" width="9.25" style="1" bestFit="1" customWidth="1"/>
    <col min="32" max="34" width="9.625" style="1" bestFit="1" customWidth="1"/>
    <col min="35" max="37" width="11.5" style="1" bestFit="1" customWidth="1"/>
    <col min="38" max="40" width="12.5" style="1" bestFit="1" customWidth="1"/>
    <col min="41" max="41" width="6.625" style="1" customWidth="1"/>
    <col min="42" max="42" width="15.5" style="2" bestFit="1" customWidth="1"/>
    <col min="43" max="43" width="10" style="2" bestFit="1" customWidth="1"/>
    <col min="44" max="44" width="9" style="2" bestFit="1" customWidth="1"/>
    <col min="45" max="45" width="11.625" style="2" bestFit="1" customWidth="1"/>
    <col min="46" max="46" width="21.625" style="2" bestFit="1" customWidth="1"/>
    <col min="47" max="47" width="9.875" style="2" bestFit="1" customWidth="1"/>
    <col min="48" max="48" width="14.75" style="2" customWidth="1"/>
    <col min="49" max="49" width="30.75" style="2" bestFit="1" customWidth="1"/>
    <col min="50" max="50" width="16.75" style="2" bestFit="1" customWidth="1"/>
    <col min="51" max="51" width="26.25" style="2" bestFit="1" customWidth="1"/>
    <col min="52" max="52" width="31.75" style="2" bestFit="1" customWidth="1"/>
    <col min="53" max="53" width="31.125" style="2" bestFit="1" customWidth="1"/>
    <col min="54" max="54" width="8.625" style="3" bestFit="1" customWidth="1"/>
    <col min="55" max="55" width="9.5" style="3" bestFit="1" customWidth="1"/>
    <col min="56" max="56" width="9" style="3" bestFit="1" customWidth="1"/>
    <col min="57" max="57" width="8.625" style="3" bestFit="1" customWidth="1"/>
    <col min="58" max="58" width="15" style="3" bestFit="1" customWidth="1"/>
    <col min="59" max="59" width="8.625" style="3" bestFit="1" customWidth="1"/>
    <col min="60" max="60" width="13.375" style="3" bestFit="1" customWidth="1"/>
    <col min="61" max="61" width="8.625" style="3" bestFit="1" customWidth="1"/>
    <col min="62" max="62" width="11.25" style="3" bestFit="1" customWidth="1"/>
    <col min="63" max="63" width="8.625" style="3" bestFit="1" customWidth="1"/>
    <col min="64" max="16384" width="8.875" style="1"/>
  </cols>
  <sheetData>
    <row r="2" spans="1:63" ht="18">
      <c r="B2" s="5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7" t="s">
        <v>5</v>
      </c>
      <c r="H2" s="8" t="s">
        <v>89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3"/>
      <c r="Z2" s="8" t="s">
        <v>90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3"/>
      <c r="AP2" s="9" t="s">
        <v>6</v>
      </c>
      <c r="AQ2" s="10" t="s">
        <v>7</v>
      </c>
      <c r="AR2" s="9" t="s">
        <v>8</v>
      </c>
      <c r="AS2" s="9" t="s">
        <v>9</v>
      </c>
      <c r="AT2" s="9" t="s">
        <v>10</v>
      </c>
      <c r="AU2" s="9" t="s">
        <v>11</v>
      </c>
      <c r="AV2" s="9"/>
      <c r="AW2" s="11" t="s">
        <v>12</v>
      </c>
      <c r="AX2" s="9" t="s">
        <v>13</v>
      </c>
      <c r="AY2" s="9" t="s">
        <v>14</v>
      </c>
      <c r="AZ2" s="9" t="s">
        <v>15</v>
      </c>
      <c r="BA2" s="9" t="s">
        <v>16</v>
      </c>
      <c r="BB2" s="12" t="s">
        <v>17</v>
      </c>
      <c r="BC2" s="12"/>
      <c r="BD2" s="12"/>
      <c r="BE2" s="12"/>
      <c r="BF2" s="12"/>
      <c r="BG2" s="12" t="s">
        <v>18</v>
      </c>
      <c r="BH2" s="12"/>
      <c r="BI2" s="12"/>
      <c r="BJ2" s="12"/>
      <c r="BK2" s="12"/>
    </row>
    <row r="3" spans="1:63">
      <c r="B3" s="13"/>
      <c r="C3" s="13"/>
      <c r="D3" s="13"/>
      <c r="E3" s="13"/>
      <c r="F3" s="14"/>
      <c r="G3" s="15"/>
      <c r="H3" s="16" t="s">
        <v>106</v>
      </c>
      <c r="I3" s="16" t="s">
        <v>107</v>
      </c>
      <c r="J3" s="17" t="s">
        <v>91</v>
      </c>
      <c r="K3" s="17" t="s">
        <v>92</v>
      </c>
      <c r="L3" s="17" t="s">
        <v>93</v>
      </c>
      <c r="M3" s="17" t="s">
        <v>94</v>
      </c>
      <c r="N3" s="17" t="s">
        <v>95</v>
      </c>
      <c r="O3" s="17" t="s">
        <v>96</v>
      </c>
      <c r="P3" s="17" t="s">
        <v>97</v>
      </c>
      <c r="Q3" s="17" t="s">
        <v>98</v>
      </c>
      <c r="R3" s="17" t="s">
        <v>99</v>
      </c>
      <c r="S3" s="17" t="s">
        <v>100</v>
      </c>
      <c r="T3" s="17" t="s">
        <v>101</v>
      </c>
      <c r="U3" s="17" t="s">
        <v>102</v>
      </c>
      <c r="V3" s="17" t="s">
        <v>103</v>
      </c>
      <c r="W3" s="17" t="s">
        <v>104</v>
      </c>
      <c r="X3" s="17" t="s">
        <v>105</v>
      </c>
      <c r="Y3" s="18"/>
      <c r="Z3" s="17" t="s">
        <v>91</v>
      </c>
      <c r="AA3" s="17" t="s">
        <v>92</v>
      </c>
      <c r="AB3" s="17" t="s">
        <v>93</v>
      </c>
      <c r="AC3" s="17" t="s">
        <v>94</v>
      </c>
      <c r="AD3" s="17" t="s">
        <v>95</v>
      </c>
      <c r="AE3" s="17" t="s">
        <v>96</v>
      </c>
      <c r="AF3" s="17" t="s">
        <v>97</v>
      </c>
      <c r="AG3" s="17" t="s">
        <v>98</v>
      </c>
      <c r="AH3" s="17" t="s">
        <v>99</v>
      </c>
      <c r="AI3" s="17" t="s">
        <v>100</v>
      </c>
      <c r="AJ3" s="17" t="s">
        <v>101</v>
      </c>
      <c r="AK3" s="17" t="s">
        <v>102</v>
      </c>
      <c r="AL3" s="17" t="s">
        <v>103</v>
      </c>
      <c r="AM3" s="17" t="s">
        <v>104</v>
      </c>
      <c r="AN3" s="17" t="s">
        <v>105</v>
      </c>
      <c r="AO3" s="18"/>
      <c r="AP3" s="19"/>
      <c r="AQ3" s="20"/>
      <c r="AR3" s="19"/>
      <c r="AS3" s="19"/>
      <c r="AT3" s="19"/>
      <c r="AU3" s="19" t="s">
        <v>19</v>
      </c>
      <c r="AV3" s="19" t="s">
        <v>20</v>
      </c>
      <c r="AW3" s="19" t="s">
        <v>21</v>
      </c>
      <c r="AX3" s="19"/>
      <c r="AY3" s="19"/>
      <c r="AZ3" s="19"/>
      <c r="BA3" s="19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spans="1:63" ht="18">
      <c r="B4" s="22"/>
      <c r="C4" s="22"/>
      <c r="D4" s="22"/>
      <c r="E4" s="22"/>
      <c r="F4" s="23"/>
      <c r="G4" s="24"/>
      <c r="H4" s="25" t="s">
        <v>22</v>
      </c>
      <c r="I4" s="26" t="s">
        <v>22</v>
      </c>
      <c r="J4" s="27">
        <v>31000000</v>
      </c>
      <c r="K4" s="27">
        <v>140000000</v>
      </c>
      <c r="L4" s="27">
        <v>99000000</v>
      </c>
      <c r="M4" s="27">
        <v>36000000</v>
      </c>
      <c r="N4" s="27">
        <v>12000000</v>
      </c>
      <c r="O4" s="27">
        <v>37000000</v>
      </c>
      <c r="P4" s="27">
        <v>1000000</v>
      </c>
      <c r="Q4" s="27">
        <v>1000000</v>
      </c>
      <c r="R4" s="27">
        <v>1000000</v>
      </c>
      <c r="S4" s="27">
        <v>16000000</v>
      </c>
      <c r="T4" s="27">
        <v>16000000</v>
      </c>
      <c r="U4" s="27">
        <v>16000000</v>
      </c>
      <c r="V4" s="27">
        <v>12000000</v>
      </c>
      <c r="W4" s="27">
        <v>12000000</v>
      </c>
      <c r="X4" s="27">
        <v>12000000</v>
      </c>
      <c r="Y4" s="28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9"/>
      <c r="AP4" s="30"/>
      <c r="AQ4" s="31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2" t="s">
        <v>23</v>
      </c>
      <c r="BC4" s="32" t="s">
        <v>24</v>
      </c>
      <c r="BD4" s="32" t="s">
        <v>25</v>
      </c>
      <c r="BE4" s="32" t="s">
        <v>26</v>
      </c>
      <c r="BF4" s="32" t="s">
        <v>27</v>
      </c>
      <c r="BG4" s="33" t="s">
        <v>28</v>
      </c>
      <c r="BH4" s="32" t="s">
        <v>29</v>
      </c>
      <c r="BI4" s="32" t="s">
        <v>30</v>
      </c>
      <c r="BJ4" s="32" t="s">
        <v>31</v>
      </c>
      <c r="BK4" s="32" t="s">
        <v>32</v>
      </c>
    </row>
    <row r="5" spans="1:63" ht="18">
      <c r="B5" s="2">
        <v>1</v>
      </c>
      <c r="C5" s="34" t="s">
        <v>33</v>
      </c>
      <c r="D5" s="34" t="s">
        <v>34</v>
      </c>
      <c r="E5" s="35" t="s">
        <v>35</v>
      </c>
      <c r="F5" s="18" t="s">
        <v>36</v>
      </c>
      <c r="G5" s="36">
        <v>562499200</v>
      </c>
      <c r="H5" s="37">
        <v>0</v>
      </c>
      <c r="I5" s="37">
        <v>0</v>
      </c>
      <c r="J5" s="37">
        <v>50213.2</v>
      </c>
      <c r="K5" s="37">
        <v>484195.7</v>
      </c>
      <c r="L5" s="37">
        <v>248844.4</v>
      </c>
      <c r="M5" s="37">
        <v>142671.29999999999</v>
      </c>
      <c r="N5" s="37">
        <v>35081.410000000003</v>
      </c>
      <c r="O5" s="37">
        <v>84445.04</v>
      </c>
      <c r="P5" s="37">
        <v>0</v>
      </c>
      <c r="Q5" s="37">
        <v>0</v>
      </c>
      <c r="R5" s="37">
        <v>0</v>
      </c>
      <c r="S5" s="37">
        <v>1045363</v>
      </c>
      <c r="T5" s="37">
        <v>738234.7</v>
      </c>
      <c r="U5" s="37">
        <v>989009.3</v>
      </c>
      <c r="V5" s="37">
        <v>1791691</v>
      </c>
      <c r="W5" s="37">
        <v>1570681</v>
      </c>
      <c r="X5" s="37">
        <v>1893497</v>
      </c>
      <c r="Y5" s="37"/>
      <c r="Z5" s="38">
        <f>J5/$J$12/J$4*10000000</f>
        <v>1.3038132406169402E-5</v>
      </c>
      <c r="AA5" s="38">
        <f t="shared" ref="AA5:AN11" si="0">K5/$J$12/K$4*10000000</f>
        <v>2.7838900223736593E-5</v>
      </c>
      <c r="AB5" s="38">
        <f t="shared" si="0"/>
        <v>2.0232607617230678E-5</v>
      </c>
      <c r="AC5" s="38">
        <f t="shared" si="0"/>
        <v>3.1900192190925571E-5</v>
      </c>
      <c r="AD5" s="38">
        <f t="shared" si="0"/>
        <v>2.3531790654364089E-5</v>
      </c>
      <c r="AE5" s="38">
        <f t="shared" si="0"/>
        <v>1.8370949508857701E-5</v>
      </c>
      <c r="AF5" s="38">
        <f t="shared" si="0"/>
        <v>0</v>
      </c>
      <c r="AG5" s="38">
        <f t="shared" si="0"/>
        <v>0</v>
      </c>
      <c r="AH5" s="38">
        <f t="shared" si="0"/>
        <v>0</v>
      </c>
      <c r="AI5" s="38">
        <f t="shared" si="0"/>
        <v>5.2590381787287065E-4</v>
      </c>
      <c r="AJ5" s="38">
        <f t="shared" si="0"/>
        <v>3.7139294887635521E-4</v>
      </c>
      <c r="AK5" s="38">
        <f t="shared" si="0"/>
        <v>4.9755325832440535E-4</v>
      </c>
      <c r="AL5" s="38">
        <f t="shared" si="0"/>
        <v>1.2018244856551732E-3</v>
      </c>
      <c r="AM5" s="38">
        <f t="shared" si="0"/>
        <v>1.0535761383817593E-3</v>
      </c>
      <c r="AN5" s="38">
        <f t="shared" si="0"/>
        <v>1.2701135732191618E-3</v>
      </c>
      <c r="AO5" s="39"/>
      <c r="AP5" s="34" t="s">
        <v>37</v>
      </c>
      <c r="AQ5" s="40">
        <v>455.15533142442996</v>
      </c>
      <c r="AR5" s="41" t="s">
        <v>38</v>
      </c>
      <c r="AS5" s="41" t="s">
        <v>39</v>
      </c>
      <c r="AT5" s="42" t="s">
        <v>40</v>
      </c>
      <c r="AU5" s="43" t="s">
        <v>41</v>
      </c>
      <c r="AV5" s="43" t="s">
        <v>42</v>
      </c>
      <c r="AW5" s="34" t="s">
        <v>43</v>
      </c>
      <c r="AX5" s="44" t="s">
        <v>44</v>
      </c>
      <c r="AY5" s="45">
        <v>-3.3</v>
      </c>
      <c r="AZ5" s="44">
        <v>2.99</v>
      </c>
      <c r="BA5" s="44">
        <v>2.04</v>
      </c>
      <c r="BB5" s="46">
        <v>456.16260787649998</v>
      </c>
      <c r="BC5" s="46">
        <v>473.18915697750998</v>
      </c>
      <c r="BD5" s="46">
        <v>228.58494216428497</v>
      </c>
      <c r="BE5" s="46">
        <v>478.14455212532994</v>
      </c>
      <c r="BF5" s="46">
        <v>488.18882262433999</v>
      </c>
      <c r="BG5" s="46">
        <v>454.14805497235994</v>
      </c>
      <c r="BH5" s="46">
        <v>514.16918433975991</v>
      </c>
      <c r="BI5" s="46">
        <v>226.57038926014499</v>
      </c>
      <c r="BJ5" s="46">
        <v>500.15353427561996</v>
      </c>
      <c r="BK5" s="46">
        <v>490.12473268442994</v>
      </c>
    </row>
    <row r="6" spans="1:63" s="34" customFormat="1" ht="18">
      <c r="B6" s="2">
        <v>2</v>
      </c>
      <c r="C6" s="4" t="s">
        <v>45</v>
      </c>
      <c r="D6" s="47" t="s">
        <v>46</v>
      </c>
      <c r="E6" s="35" t="s">
        <v>35</v>
      </c>
      <c r="F6" s="18" t="s">
        <v>47</v>
      </c>
      <c r="G6" s="36">
        <v>8534476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48"/>
      <c r="Z6" s="49">
        <f t="shared" ref="Z6:Z11" si="1">J6/$J$12/J$4*10000000</f>
        <v>0</v>
      </c>
      <c r="AA6" s="49">
        <f t="shared" si="0"/>
        <v>0</v>
      </c>
      <c r="AB6" s="49">
        <f t="shared" si="0"/>
        <v>0</v>
      </c>
      <c r="AC6" s="49">
        <f t="shared" si="0"/>
        <v>0</v>
      </c>
      <c r="AD6" s="49">
        <f t="shared" si="0"/>
        <v>0</v>
      </c>
      <c r="AE6" s="49">
        <f t="shared" si="0"/>
        <v>0</v>
      </c>
      <c r="AF6" s="49">
        <f t="shared" si="0"/>
        <v>0</v>
      </c>
      <c r="AG6" s="49">
        <f t="shared" si="0"/>
        <v>0</v>
      </c>
      <c r="AH6" s="49">
        <f t="shared" si="0"/>
        <v>0</v>
      </c>
      <c r="AI6" s="49">
        <f t="shared" si="0"/>
        <v>0</v>
      </c>
      <c r="AJ6" s="49">
        <f t="shared" si="0"/>
        <v>0</v>
      </c>
      <c r="AK6" s="49">
        <f t="shared" si="0"/>
        <v>0</v>
      </c>
      <c r="AL6" s="49">
        <f t="shared" si="0"/>
        <v>0</v>
      </c>
      <c r="AM6" s="49">
        <f t="shared" si="0"/>
        <v>0</v>
      </c>
      <c r="AN6" s="49">
        <f t="shared" si="0"/>
        <v>0</v>
      </c>
      <c r="AO6" s="50"/>
      <c r="AP6" s="42" t="s">
        <v>48</v>
      </c>
      <c r="AQ6" s="40">
        <v>457.17098148856996</v>
      </c>
      <c r="AR6" s="41" t="s">
        <v>49</v>
      </c>
      <c r="AS6" s="41" t="s">
        <v>50</v>
      </c>
      <c r="AT6" s="42" t="s">
        <v>40</v>
      </c>
      <c r="AU6" s="43" t="s">
        <v>41</v>
      </c>
      <c r="AV6" s="43" t="s">
        <v>42</v>
      </c>
      <c r="AW6" s="34" t="s">
        <v>43</v>
      </c>
      <c r="AX6" s="44" t="s">
        <v>44</v>
      </c>
      <c r="AY6" s="45">
        <v>-2.6</v>
      </c>
      <c r="AZ6" s="45">
        <v>3.01</v>
      </c>
      <c r="BA6" s="45">
        <v>5.61</v>
      </c>
      <c r="BB6" s="46">
        <v>458.17825794063998</v>
      </c>
      <c r="BC6" s="46">
        <v>475.20480704164999</v>
      </c>
      <c r="BD6" s="46">
        <v>229.59276719635497</v>
      </c>
      <c r="BE6" s="46">
        <v>480.16020218946994</v>
      </c>
      <c r="BF6" s="46">
        <v>490.20447268848</v>
      </c>
      <c r="BG6" s="46">
        <v>456.16370503649995</v>
      </c>
      <c r="BH6" s="46">
        <v>516.18483440389991</v>
      </c>
      <c r="BI6" s="46">
        <v>227.57821429221499</v>
      </c>
      <c r="BJ6" s="46">
        <v>502.16918433975997</v>
      </c>
      <c r="BK6" s="46">
        <v>492.14038274856995</v>
      </c>
    </row>
    <row r="7" spans="1:63" ht="18">
      <c r="B7" s="2">
        <v>3</v>
      </c>
      <c r="C7" s="34" t="s">
        <v>51</v>
      </c>
      <c r="D7" s="34" t="s">
        <v>52</v>
      </c>
      <c r="E7" s="35" t="s">
        <v>35</v>
      </c>
      <c r="F7" s="18" t="s">
        <v>53</v>
      </c>
      <c r="G7" s="36">
        <v>1929917000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8">
        <v>0</v>
      </c>
      <c r="Q7" s="48">
        <v>0</v>
      </c>
      <c r="R7" s="48">
        <v>0</v>
      </c>
      <c r="S7" s="48">
        <v>0</v>
      </c>
      <c r="T7" s="48">
        <v>0</v>
      </c>
      <c r="U7" s="48">
        <v>0</v>
      </c>
      <c r="V7" s="48">
        <v>15224.03</v>
      </c>
      <c r="W7" s="48">
        <v>27430.28</v>
      </c>
      <c r="X7" s="48">
        <v>11922.86</v>
      </c>
      <c r="Y7" s="48"/>
      <c r="Z7" s="49">
        <f t="shared" si="1"/>
        <v>0</v>
      </c>
      <c r="AA7" s="49">
        <f t="shared" si="0"/>
        <v>0</v>
      </c>
      <c r="AB7" s="49">
        <f t="shared" si="0"/>
        <v>0</v>
      </c>
      <c r="AC7" s="49">
        <f t="shared" si="0"/>
        <v>0</v>
      </c>
      <c r="AD7" s="49">
        <f t="shared" si="0"/>
        <v>0</v>
      </c>
      <c r="AE7" s="49">
        <f t="shared" si="0"/>
        <v>0</v>
      </c>
      <c r="AF7" s="49">
        <f t="shared" si="0"/>
        <v>0</v>
      </c>
      <c r="AG7" s="49">
        <f t="shared" si="0"/>
        <v>0</v>
      </c>
      <c r="AH7" s="49">
        <f t="shared" si="0"/>
        <v>0</v>
      </c>
      <c r="AI7" s="49">
        <f t="shared" si="0"/>
        <v>0</v>
      </c>
      <c r="AJ7" s="49">
        <f t="shared" si="0"/>
        <v>0</v>
      </c>
      <c r="AK7" s="49">
        <f t="shared" si="0"/>
        <v>0</v>
      </c>
      <c r="AL7" s="49">
        <f t="shared" si="0"/>
        <v>1.0211923833043155E-5</v>
      </c>
      <c r="AM7" s="49">
        <f t="shared" si="0"/>
        <v>1.8399591309203083E-5</v>
      </c>
      <c r="AN7" s="49">
        <f t="shared" si="0"/>
        <v>7.9975760814998996E-6</v>
      </c>
      <c r="AO7" s="50"/>
      <c r="AP7" s="34" t="s">
        <v>54</v>
      </c>
      <c r="AQ7" s="40">
        <v>473.16589610812997</v>
      </c>
      <c r="AR7" s="41" t="s">
        <v>55</v>
      </c>
      <c r="AS7" s="41" t="s">
        <v>56</v>
      </c>
      <c r="AT7" s="42" t="s">
        <v>40</v>
      </c>
      <c r="AU7" s="43" t="s">
        <v>41</v>
      </c>
      <c r="AV7" s="43" t="s">
        <v>42</v>
      </c>
      <c r="AW7" s="34" t="s">
        <v>43</v>
      </c>
      <c r="AX7" s="44" t="s">
        <v>44</v>
      </c>
      <c r="AY7" s="45">
        <v>-2.7</v>
      </c>
      <c r="AZ7" s="44">
        <v>3.47</v>
      </c>
      <c r="BA7" s="44">
        <v>2.81</v>
      </c>
      <c r="BB7" s="46">
        <v>474.17317256019999</v>
      </c>
      <c r="BC7" s="46">
        <v>491.19972166120999</v>
      </c>
      <c r="BD7" s="46">
        <v>237.59022450613497</v>
      </c>
      <c r="BE7" s="46">
        <v>496.15511680902995</v>
      </c>
      <c r="BF7" s="46">
        <v>506.19938730803995</v>
      </c>
      <c r="BG7" s="46">
        <v>472.15861965605995</v>
      </c>
      <c r="BH7" s="46">
        <v>532.17974902345998</v>
      </c>
      <c r="BI7" s="46">
        <v>235.575671601995</v>
      </c>
      <c r="BJ7" s="46">
        <v>518.16409895931997</v>
      </c>
      <c r="BK7" s="46">
        <v>508.13529736812995</v>
      </c>
    </row>
    <row r="8" spans="1:63" ht="18">
      <c r="A8" s="34"/>
      <c r="B8" s="2">
        <v>4</v>
      </c>
      <c r="C8" s="1" t="s">
        <v>57</v>
      </c>
      <c r="D8" s="34" t="s">
        <v>58</v>
      </c>
      <c r="E8" s="35" t="s">
        <v>35</v>
      </c>
      <c r="F8" s="18" t="s">
        <v>59</v>
      </c>
      <c r="G8" s="36">
        <v>77483520</v>
      </c>
      <c r="H8" s="37">
        <v>0</v>
      </c>
      <c r="I8" s="37">
        <v>0</v>
      </c>
      <c r="J8" s="37">
        <v>96703.95</v>
      </c>
      <c r="K8" s="37">
        <v>993271.2</v>
      </c>
      <c r="L8" s="37">
        <v>808527.7</v>
      </c>
      <c r="M8" s="37">
        <v>319999.2</v>
      </c>
      <c r="N8" s="37">
        <v>65667.009999999995</v>
      </c>
      <c r="O8" s="37">
        <v>203542.1</v>
      </c>
      <c r="P8" s="37">
        <v>17309.72</v>
      </c>
      <c r="Q8" s="37">
        <v>12900.62</v>
      </c>
      <c r="R8" s="37">
        <v>14365.24</v>
      </c>
      <c r="S8" s="37">
        <v>1535925</v>
      </c>
      <c r="T8" s="37">
        <v>1269188</v>
      </c>
      <c r="U8" s="37">
        <v>1545085</v>
      </c>
      <c r="V8" s="37">
        <v>1390997</v>
      </c>
      <c r="W8" s="37">
        <v>1094294</v>
      </c>
      <c r="X8" s="37">
        <v>1241252</v>
      </c>
      <c r="Y8" s="37"/>
      <c r="Z8" s="49">
        <f t="shared" si="1"/>
        <v>2.5109710281352031E-5</v>
      </c>
      <c r="AA8" s="49">
        <f t="shared" si="0"/>
        <v>5.710826806580709E-5</v>
      </c>
      <c r="AB8" s="49">
        <f t="shared" si="0"/>
        <v>6.5738363819969417E-5</v>
      </c>
      <c r="AC8" s="49">
        <f t="shared" si="0"/>
        <v>7.1549330390502014E-5</v>
      </c>
      <c r="AD8" s="49">
        <f t="shared" si="0"/>
        <v>4.4047896940802345E-5</v>
      </c>
      <c r="AE8" s="49">
        <f t="shared" si="0"/>
        <v>4.4280417677898727E-5</v>
      </c>
      <c r="AF8" s="49">
        <f t="shared" si="0"/>
        <v>1.3933147179397606E-4</v>
      </c>
      <c r="AG8" s="49">
        <f t="shared" si="0"/>
        <v>1.0384121589805053E-4</v>
      </c>
      <c r="AH8" s="49">
        <f t="shared" si="0"/>
        <v>1.1563041065214784E-4</v>
      </c>
      <c r="AI8" s="49">
        <f t="shared" si="0"/>
        <v>7.7269696886764596E-4</v>
      </c>
      <c r="AJ8" s="49">
        <f t="shared" si="0"/>
        <v>6.3850625552887665E-4</v>
      </c>
      <c r="AK8" s="49">
        <f t="shared" si="0"/>
        <v>7.7730520444869804E-4</v>
      </c>
      <c r="AL8" s="49">
        <f t="shared" si="0"/>
        <v>9.3304830691949038E-4</v>
      </c>
      <c r="AM8" s="49">
        <f t="shared" si="0"/>
        <v>7.3402686272663192E-4</v>
      </c>
      <c r="AN8" s="49">
        <f t="shared" si="0"/>
        <v>8.3260285756218836E-4</v>
      </c>
      <c r="AO8" s="39"/>
      <c r="AP8" s="42" t="s">
        <v>60</v>
      </c>
      <c r="AQ8" s="40">
        <v>459.18663155270997</v>
      </c>
      <c r="AR8" s="41" t="s">
        <v>61</v>
      </c>
      <c r="AS8" s="41" t="s">
        <v>62</v>
      </c>
      <c r="AT8" s="42" t="s">
        <v>40</v>
      </c>
      <c r="AU8" s="43" t="s">
        <v>41</v>
      </c>
      <c r="AV8" s="43" t="s">
        <v>42</v>
      </c>
      <c r="AW8" s="34" t="s">
        <v>43</v>
      </c>
      <c r="AX8" s="44" t="s">
        <v>44</v>
      </c>
      <c r="AY8" s="45">
        <v>-2.8</v>
      </c>
      <c r="AZ8" s="44">
        <v>3.22</v>
      </c>
      <c r="BA8" s="44">
        <v>4.6399999999999997</v>
      </c>
      <c r="BB8" s="46">
        <v>460.19390800477998</v>
      </c>
      <c r="BC8" s="46">
        <v>477.22045710578999</v>
      </c>
      <c r="BD8" s="46">
        <v>230.60059222842497</v>
      </c>
      <c r="BE8" s="46">
        <v>482.17585225360995</v>
      </c>
      <c r="BF8" s="46">
        <v>492.22012275262</v>
      </c>
      <c r="BG8" s="46">
        <v>458.17935510063995</v>
      </c>
      <c r="BH8" s="46">
        <v>518.20048446803992</v>
      </c>
      <c r="BI8" s="46">
        <v>228.586039324285</v>
      </c>
      <c r="BJ8" s="46">
        <v>504.18483440389997</v>
      </c>
      <c r="BK8" s="46">
        <v>494.15603281270995</v>
      </c>
    </row>
    <row r="9" spans="1:63" ht="18">
      <c r="A9" s="34"/>
      <c r="B9" s="2">
        <v>5</v>
      </c>
      <c r="C9" s="47" t="s">
        <v>63</v>
      </c>
      <c r="D9" s="47" t="s">
        <v>64</v>
      </c>
      <c r="E9" s="35" t="s">
        <v>35</v>
      </c>
      <c r="F9" s="18" t="s">
        <v>47</v>
      </c>
      <c r="G9" s="36">
        <v>114358.6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8">
        <v>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0</v>
      </c>
      <c r="X9" s="48">
        <v>0</v>
      </c>
      <c r="Y9" s="48"/>
      <c r="Z9" s="49">
        <f t="shared" si="1"/>
        <v>0</v>
      </c>
      <c r="AA9" s="49">
        <f t="shared" si="0"/>
        <v>0</v>
      </c>
      <c r="AB9" s="49">
        <f t="shared" si="0"/>
        <v>0</v>
      </c>
      <c r="AC9" s="49">
        <f t="shared" si="0"/>
        <v>0</v>
      </c>
      <c r="AD9" s="49">
        <f t="shared" si="0"/>
        <v>0</v>
      </c>
      <c r="AE9" s="49">
        <f t="shared" si="0"/>
        <v>0</v>
      </c>
      <c r="AF9" s="49">
        <f t="shared" si="0"/>
        <v>0</v>
      </c>
      <c r="AG9" s="49">
        <f t="shared" si="0"/>
        <v>0</v>
      </c>
      <c r="AH9" s="49">
        <f t="shared" si="0"/>
        <v>0</v>
      </c>
      <c r="AI9" s="49">
        <f t="shared" si="0"/>
        <v>0</v>
      </c>
      <c r="AJ9" s="49">
        <f t="shared" si="0"/>
        <v>0</v>
      </c>
      <c r="AK9" s="49">
        <f t="shared" si="0"/>
        <v>0</v>
      </c>
      <c r="AL9" s="49">
        <f t="shared" si="0"/>
        <v>0</v>
      </c>
      <c r="AM9" s="49">
        <f t="shared" si="0"/>
        <v>0</v>
      </c>
      <c r="AN9" s="49">
        <f t="shared" si="0"/>
        <v>0</v>
      </c>
      <c r="AO9" s="50"/>
      <c r="AP9" s="34" t="s">
        <v>65</v>
      </c>
      <c r="AQ9" s="40">
        <v>443.15533142442996</v>
      </c>
      <c r="AR9" s="41" t="s">
        <v>66</v>
      </c>
      <c r="AS9" s="41" t="s">
        <v>67</v>
      </c>
      <c r="AT9" s="42" t="s">
        <v>40</v>
      </c>
      <c r="AU9" s="43" t="s">
        <v>41</v>
      </c>
      <c r="AV9" s="43" t="s">
        <v>42</v>
      </c>
      <c r="AW9" s="2" t="s">
        <v>68</v>
      </c>
      <c r="AX9" s="44" t="s">
        <v>44</v>
      </c>
      <c r="AY9" s="45">
        <v>-1.8</v>
      </c>
      <c r="AZ9" s="45">
        <v>3.37</v>
      </c>
      <c r="BA9" s="45">
        <v>2.09</v>
      </c>
      <c r="BB9" s="46">
        <v>444.16260787649998</v>
      </c>
      <c r="BC9" s="46">
        <v>461.18915697750998</v>
      </c>
      <c r="BD9" s="46">
        <v>222.58494216428497</v>
      </c>
      <c r="BE9" s="46">
        <v>466.14455212532994</v>
      </c>
      <c r="BF9" s="46">
        <v>476.18882262433999</v>
      </c>
      <c r="BG9" s="46">
        <v>442.14805497235994</v>
      </c>
      <c r="BH9" s="46">
        <v>502.16918433975997</v>
      </c>
      <c r="BI9" s="46">
        <v>220.57038926014499</v>
      </c>
      <c r="BJ9" s="46">
        <v>488.15353427561996</v>
      </c>
      <c r="BK9" s="46">
        <v>478.12473268442994</v>
      </c>
    </row>
    <row r="10" spans="1:63" ht="18">
      <c r="B10" s="2">
        <v>6</v>
      </c>
      <c r="C10" s="34" t="s">
        <v>69</v>
      </c>
      <c r="D10" s="34" t="s">
        <v>70</v>
      </c>
      <c r="E10" s="35" t="s">
        <v>35</v>
      </c>
      <c r="F10" s="18" t="s">
        <v>71</v>
      </c>
      <c r="G10" s="36">
        <v>127066400</v>
      </c>
      <c r="H10" s="37">
        <v>0</v>
      </c>
      <c r="I10" s="37">
        <v>0</v>
      </c>
      <c r="J10" s="37">
        <v>3808831</v>
      </c>
      <c r="K10" s="37">
        <v>6765963</v>
      </c>
      <c r="L10" s="37">
        <v>5238452</v>
      </c>
      <c r="M10" s="37">
        <v>7743990</v>
      </c>
      <c r="N10" s="37">
        <v>3653672</v>
      </c>
      <c r="O10" s="37">
        <v>5084059</v>
      </c>
      <c r="P10" s="37">
        <v>19755210</v>
      </c>
      <c r="Q10" s="37">
        <v>18076520</v>
      </c>
      <c r="R10" s="37">
        <v>23202070</v>
      </c>
      <c r="S10" s="37">
        <v>11934180</v>
      </c>
      <c r="T10" s="37">
        <v>6821650</v>
      </c>
      <c r="U10" s="37">
        <v>12425610</v>
      </c>
      <c r="V10" s="37">
        <v>13782300</v>
      </c>
      <c r="W10" s="37">
        <v>10950900</v>
      </c>
      <c r="X10" s="37">
        <v>13078880</v>
      </c>
      <c r="Y10" s="37"/>
      <c r="Z10" s="49">
        <f t="shared" si="1"/>
        <v>9.8898383076009128E-4</v>
      </c>
      <c r="AA10" s="49">
        <f t="shared" si="0"/>
        <v>3.890099992100167E-4</v>
      </c>
      <c r="AB10" s="49">
        <f t="shared" si="0"/>
        <v>4.2591894307325096E-4</v>
      </c>
      <c r="AC10" s="49">
        <f t="shared" si="0"/>
        <v>1.731495888273295E-3</v>
      </c>
      <c r="AD10" s="49">
        <f t="shared" si="0"/>
        <v>2.4507978619933389E-3</v>
      </c>
      <c r="AE10" s="49">
        <f t="shared" si="0"/>
        <v>1.1060328846910791E-3</v>
      </c>
      <c r="AF10" s="49">
        <f t="shared" si="0"/>
        <v>0.15901600285267894</v>
      </c>
      <c r="AG10" s="49">
        <f t="shared" si="0"/>
        <v>0.14550369021065876</v>
      </c>
      <c r="AH10" s="49">
        <f t="shared" si="0"/>
        <v>0.18676088127172816</v>
      </c>
      <c r="AI10" s="49">
        <f t="shared" si="0"/>
        <v>6.0038769548779276E-3</v>
      </c>
      <c r="AJ10" s="49">
        <f t="shared" si="0"/>
        <v>3.4318526475420191E-3</v>
      </c>
      <c r="AK10" s="49">
        <f t="shared" si="0"/>
        <v>6.251106781471432E-3</v>
      </c>
      <c r="AL10" s="49">
        <f t="shared" si="0"/>
        <v>9.2448450143720606E-3</v>
      </c>
      <c r="AM10" s="49">
        <f t="shared" si="0"/>
        <v>7.3456080093951661E-3</v>
      </c>
      <c r="AN10" s="49">
        <f t="shared" si="0"/>
        <v>8.7730073036844675E-3</v>
      </c>
      <c r="AO10" s="39"/>
      <c r="AP10" s="34" t="s">
        <v>72</v>
      </c>
      <c r="AQ10" s="40">
        <v>441.13968136029001</v>
      </c>
      <c r="AR10" s="41" t="s">
        <v>73</v>
      </c>
      <c r="AS10" s="41" t="s">
        <v>74</v>
      </c>
      <c r="AT10" s="42" t="s">
        <v>40</v>
      </c>
      <c r="AU10" s="43" t="s">
        <v>41</v>
      </c>
      <c r="AV10" s="43" t="s">
        <v>42</v>
      </c>
      <c r="AW10" s="34" t="s">
        <v>75</v>
      </c>
      <c r="AX10" s="44" t="s">
        <v>44</v>
      </c>
      <c r="AY10" s="45">
        <v>-0.68</v>
      </c>
      <c r="AZ10" s="44">
        <v>3.37</v>
      </c>
      <c r="BA10" s="44">
        <v>2.09</v>
      </c>
      <c r="BB10" s="46">
        <v>442.14695781236003</v>
      </c>
      <c r="BC10" s="46">
        <v>459.17350691337003</v>
      </c>
      <c r="BD10" s="46">
        <v>221.57711713221499</v>
      </c>
      <c r="BE10" s="46">
        <v>464.12890206118999</v>
      </c>
      <c r="BF10" s="46">
        <v>474.17317256019999</v>
      </c>
      <c r="BG10" s="46">
        <v>440.13240490822</v>
      </c>
      <c r="BH10" s="46">
        <v>500.15353427562002</v>
      </c>
      <c r="BI10" s="46">
        <v>219.56256422807502</v>
      </c>
      <c r="BJ10" s="46">
        <v>486.13788421148001</v>
      </c>
      <c r="BK10" s="46">
        <v>476.10908262029</v>
      </c>
    </row>
    <row r="11" spans="1:63" ht="18">
      <c r="B11" s="51">
        <v>7</v>
      </c>
      <c r="C11" s="52" t="s">
        <v>76</v>
      </c>
      <c r="D11" s="52" t="s">
        <v>77</v>
      </c>
      <c r="E11" s="35" t="s">
        <v>35</v>
      </c>
      <c r="F11" s="53" t="s">
        <v>22</v>
      </c>
      <c r="G11" s="54">
        <v>54553.33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5">
        <v>0</v>
      </c>
      <c r="N11" s="55">
        <v>0</v>
      </c>
      <c r="O11" s="55">
        <v>0</v>
      </c>
      <c r="P11" s="55">
        <v>0</v>
      </c>
      <c r="Q11" s="55">
        <v>0</v>
      </c>
      <c r="R11" s="55">
        <v>0</v>
      </c>
      <c r="S11" s="55">
        <v>0</v>
      </c>
      <c r="T11" s="55">
        <v>0</v>
      </c>
      <c r="U11" s="55">
        <v>0</v>
      </c>
      <c r="V11" s="55">
        <v>0</v>
      </c>
      <c r="W11" s="55">
        <v>0</v>
      </c>
      <c r="X11" s="55">
        <v>0</v>
      </c>
      <c r="Y11" s="48"/>
      <c r="Z11" s="56">
        <f t="shared" si="1"/>
        <v>0</v>
      </c>
      <c r="AA11" s="56">
        <f t="shared" si="0"/>
        <v>0</v>
      </c>
      <c r="AB11" s="56">
        <f t="shared" si="0"/>
        <v>0</v>
      </c>
      <c r="AC11" s="56">
        <f t="shared" si="0"/>
        <v>0</v>
      </c>
      <c r="AD11" s="56">
        <f t="shared" si="0"/>
        <v>0</v>
      </c>
      <c r="AE11" s="56">
        <f t="shared" si="0"/>
        <v>0</v>
      </c>
      <c r="AF11" s="56">
        <f t="shared" si="0"/>
        <v>0</v>
      </c>
      <c r="AG11" s="56">
        <f t="shared" si="0"/>
        <v>0</v>
      </c>
      <c r="AH11" s="56">
        <f t="shared" si="0"/>
        <v>0</v>
      </c>
      <c r="AI11" s="56">
        <f t="shared" si="0"/>
        <v>0</v>
      </c>
      <c r="AJ11" s="56">
        <f t="shared" si="0"/>
        <v>0</v>
      </c>
      <c r="AK11" s="56">
        <f t="shared" si="0"/>
        <v>0</v>
      </c>
      <c r="AL11" s="56">
        <f t="shared" si="0"/>
        <v>0</v>
      </c>
      <c r="AM11" s="56">
        <f t="shared" si="0"/>
        <v>0</v>
      </c>
      <c r="AN11" s="56">
        <f t="shared" si="0"/>
        <v>0</v>
      </c>
      <c r="AO11" s="50"/>
      <c r="AP11" s="57" t="s">
        <v>78</v>
      </c>
      <c r="AQ11" s="58">
        <v>445.17098148856996</v>
      </c>
      <c r="AR11" s="59" t="s">
        <v>79</v>
      </c>
      <c r="AS11" s="59" t="s">
        <v>80</v>
      </c>
      <c r="AT11" s="60" t="s">
        <v>40</v>
      </c>
      <c r="AU11" s="61" t="s">
        <v>41</v>
      </c>
      <c r="AV11" s="61" t="s">
        <v>42</v>
      </c>
      <c r="AW11" s="51" t="s">
        <v>81</v>
      </c>
      <c r="AX11" s="62">
        <v>-2.7</v>
      </c>
      <c r="AY11" s="63">
        <v>-3.6</v>
      </c>
      <c r="AZ11" s="63">
        <v>2.04</v>
      </c>
      <c r="BA11" s="63">
        <v>5.76</v>
      </c>
      <c r="BB11" s="64">
        <v>446.17825794063998</v>
      </c>
      <c r="BC11" s="64">
        <v>463.20480704164999</v>
      </c>
      <c r="BD11" s="64">
        <v>223.59276719635497</v>
      </c>
      <c r="BE11" s="64">
        <v>468.16020218946994</v>
      </c>
      <c r="BF11" s="64">
        <v>478.20447268848</v>
      </c>
      <c r="BG11" s="64">
        <v>444.16370503649995</v>
      </c>
      <c r="BH11" s="64">
        <v>504.18483440389997</v>
      </c>
      <c r="BI11" s="64">
        <v>221.57821429221499</v>
      </c>
      <c r="BJ11" s="64">
        <v>490.16918433975997</v>
      </c>
      <c r="BK11" s="64">
        <v>480.14038274856995</v>
      </c>
    </row>
    <row r="12" spans="1:63" ht="18">
      <c r="B12" s="72" t="s">
        <v>22</v>
      </c>
      <c r="C12" s="73" t="s">
        <v>82</v>
      </c>
      <c r="D12" s="73" t="s">
        <v>82</v>
      </c>
      <c r="E12" s="65" t="s">
        <v>35</v>
      </c>
      <c r="F12" s="3" t="s">
        <v>83</v>
      </c>
      <c r="G12" s="37" t="s">
        <v>47</v>
      </c>
      <c r="H12" s="37">
        <v>1846180000</v>
      </c>
      <c r="I12" s="37">
        <v>1738755000</v>
      </c>
      <c r="J12" s="37">
        <v>1242341000</v>
      </c>
      <c r="K12" s="37">
        <v>1232225000</v>
      </c>
      <c r="L12" s="37">
        <v>1137987000</v>
      </c>
      <c r="M12" s="37">
        <v>1132421000</v>
      </c>
      <c r="N12" s="37">
        <v>1005412000</v>
      </c>
      <c r="O12" s="37">
        <v>982758700</v>
      </c>
      <c r="P12" s="37">
        <v>699284400</v>
      </c>
      <c r="Q12" s="37">
        <v>722509100</v>
      </c>
      <c r="R12" s="37">
        <v>624761000</v>
      </c>
      <c r="S12" s="37">
        <v>814058300</v>
      </c>
      <c r="T12" s="37">
        <v>797589600</v>
      </c>
      <c r="U12" s="37">
        <v>900633100</v>
      </c>
      <c r="V12" s="37">
        <v>872150000</v>
      </c>
      <c r="W12" s="37">
        <v>821744600</v>
      </c>
      <c r="X12" s="37">
        <v>742372000</v>
      </c>
      <c r="Y12" s="37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39"/>
      <c r="AP12" s="67" t="s">
        <v>84</v>
      </c>
      <c r="AQ12" s="68">
        <v>234.17321333469999</v>
      </c>
      <c r="AR12" s="67" t="s">
        <v>85</v>
      </c>
      <c r="AS12" s="67" t="s">
        <v>86</v>
      </c>
      <c r="AT12" s="69" t="s">
        <v>44</v>
      </c>
      <c r="AU12" s="43" t="s">
        <v>41</v>
      </c>
      <c r="AV12" s="43" t="s">
        <v>87</v>
      </c>
      <c r="AW12" s="43" t="s">
        <v>88</v>
      </c>
      <c r="AX12" s="70">
        <v>2.1</v>
      </c>
      <c r="AY12" s="70">
        <v>2.84</v>
      </c>
      <c r="AZ12" s="70">
        <v>13.78</v>
      </c>
      <c r="BA12" s="70">
        <v>7.75</v>
      </c>
      <c r="BB12" s="71">
        <v>235.18103836660001</v>
      </c>
      <c r="BC12" s="71">
        <v>252.2075874697</v>
      </c>
      <c r="BD12" s="71">
        <v>118.09443169924999</v>
      </c>
      <c r="BE12" s="71">
        <v>257.16298299469997</v>
      </c>
      <c r="BF12" s="71">
        <v>266.19942808460002</v>
      </c>
      <c r="BG12" s="71">
        <v>233.16538830269999</v>
      </c>
      <c r="BH12" s="71">
        <v>293.18651767469999</v>
      </c>
      <c r="BI12" s="71">
        <v>116.07878163535</v>
      </c>
      <c r="BJ12" s="71">
        <v>279.1708676147</v>
      </c>
      <c r="BK12" s="71">
        <v>269.14206604470002</v>
      </c>
    </row>
  </sheetData>
  <mergeCells count="23">
    <mergeCell ref="BB2:BF3"/>
    <mergeCell ref="BG2:BK3"/>
    <mergeCell ref="AU3:AU4"/>
    <mergeCell ref="AV3:AV4"/>
    <mergeCell ref="AW3:AW4"/>
    <mergeCell ref="AT2:AT4"/>
    <mergeCell ref="AU2:AV2"/>
    <mergeCell ref="AX2:AX4"/>
    <mergeCell ref="AY2:AY4"/>
    <mergeCell ref="AZ2:AZ4"/>
    <mergeCell ref="BA2:BA4"/>
    <mergeCell ref="H2:X2"/>
    <mergeCell ref="Z2:AN2"/>
    <mergeCell ref="AP2:AP4"/>
    <mergeCell ref="AQ2:AQ4"/>
    <mergeCell ref="AR2:AR4"/>
    <mergeCell ref="AS2:AS4"/>
    <mergeCell ref="B2:B4"/>
    <mergeCell ref="C2:C4"/>
    <mergeCell ref="D2:D4"/>
    <mergeCell ref="E2:E4"/>
    <mergeCell ref="F2:F4"/>
    <mergeCell ref="G2:G4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Relative peak 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高橋政友</dc:creator>
  <cp:lastModifiedBy>高橋政友</cp:lastModifiedBy>
  <dcterms:created xsi:type="dcterms:W3CDTF">2025-11-17T08:38:29Z</dcterms:created>
  <dcterms:modified xsi:type="dcterms:W3CDTF">2025-11-17T08:44:36Z</dcterms:modified>
</cp:coreProperties>
</file>