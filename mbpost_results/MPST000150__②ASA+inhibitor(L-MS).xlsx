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heme/themeOverride2.xml" ContentType="application/vnd.openxmlformats-officedocument.themeOverride+xml"/>
  <Override PartName="/xl/charts/chart7.xml" ContentType="application/vnd.openxmlformats-officedocument.drawingml.chart+xml"/>
  <Override PartName="/xl/theme/themeOverride3.xml" ContentType="application/vnd.openxmlformats-officedocument.themeOverride+xml"/>
  <Override PartName="/xl/charts/chart8.xml" ContentType="application/vnd.openxmlformats-officedocument.drawingml.chart+xml"/>
  <Override PartName="/xl/theme/themeOverride4.xml" ContentType="application/vnd.openxmlformats-officedocument.themeOverride+xml"/>
  <Override PartName="/xl/charts/chart9.xml" ContentType="application/vnd.openxmlformats-officedocument.drawingml.chart+xml"/>
  <Override PartName="/xl/theme/themeOverride5.xml" ContentType="application/vnd.openxmlformats-officedocument.themeOverride+xml"/>
  <Override PartName="/xl/charts/chart10.xml" ContentType="application/vnd.openxmlformats-officedocument.drawingml.chart+xml"/>
  <Override PartName="/xl/theme/themeOverride6.xml" ContentType="application/vnd.openxmlformats-officedocument.themeOverride+xml"/>
  <Override PartName="/xl/charts/chart11.xml" ContentType="application/vnd.openxmlformats-officedocument.drawingml.chart+xml"/>
  <Override PartName="/xl/theme/themeOverride7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mat\Desktop\共同（関西医科大・朴先生）\cell for databse\221207\"/>
    </mc:Choice>
  </mc:AlternateContent>
  <xr:revisionPtr revIDLastSave="0" documentId="13_ncr:1_{89FB27BB-06D6-4028-9785-2491312CC70C}" xr6:coauthVersionLast="47" xr6:coauthVersionMax="47" xr10:uidLastSave="{00000000-0000-0000-0000-000000000000}"/>
  <bookViews>
    <workbookView xWindow="-120" yWindow="-120" windowWidth="29040" windowHeight="15720" activeTab="1" xr2:uid="{099AB685-5D4C-4046-8860-32CEECBDDFCF}"/>
  </bookViews>
  <sheets>
    <sheet name="calibration curve" sheetId="4" r:id="rId1"/>
    <sheet name="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4" l="1"/>
  <c r="H9" i="4"/>
  <c r="J9" i="4"/>
  <c r="L9" i="4"/>
  <c r="N9" i="4"/>
  <c r="P9" i="4"/>
  <c r="R9" i="4"/>
  <c r="T9" i="4"/>
  <c r="V9" i="4"/>
  <c r="X9" i="4"/>
  <c r="Z9" i="4"/>
  <c r="F12" i="4"/>
  <c r="H12" i="4"/>
  <c r="J12" i="4"/>
  <c r="L12" i="4"/>
  <c r="N12" i="4"/>
  <c r="P12" i="4"/>
  <c r="R12" i="4"/>
  <c r="T12" i="4"/>
  <c r="V12" i="4"/>
  <c r="X12" i="4"/>
  <c r="Z12" i="4"/>
  <c r="F15" i="4"/>
  <c r="H15" i="4"/>
  <c r="J15" i="4"/>
  <c r="L15" i="4"/>
  <c r="N15" i="4"/>
  <c r="P15" i="4"/>
  <c r="R15" i="4"/>
  <c r="T15" i="4"/>
  <c r="V15" i="4"/>
  <c r="X15" i="4"/>
  <c r="Z15" i="4"/>
  <c r="F18" i="4"/>
  <c r="H18" i="4"/>
  <c r="J18" i="4"/>
  <c r="L18" i="4"/>
  <c r="N18" i="4"/>
  <c r="P18" i="4"/>
  <c r="R18" i="4"/>
  <c r="T18" i="4"/>
  <c r="V18" i="4"/>
  <c r="X18" i="4"/>
  <c r="Z18" i="4"/>
  <c r="F21" i="4"/>
  <c r="H21" i="4"/>
  <c r="L21" i="4"/>
  <c r="N21" i="4"/>
  <c r="P21" i="4"/>
  <c r="R21" i="4"/>
  <c r="T21" i="4"/>
  <c r="V21" i="4"/>
  <c r="X21" i="4"/>
  <c r="Z21" i="4"/>
  <c r="F24" i="4"/>
  <c r="H24" i="4"/>
  <c r="L24" i="4"/>
  <c r="N24" i="4"/>
  <c r="P24" i="4"/>
  <c r="R24" i="4"/>
  <c r="T24" i="4"/>
  <c r="V24" i="4"/>
  <c r="X24" i="4"/>
  <c r="Z24" i="4"/>
  <c r="F27" i="4"/>
  <c r="H27" i="4"/>
  <c r="L27" i="4"/>
  <c r="N27" i="4"/>
  <c r="P27" i="4"/>
  <c r="R27" i="4"/>
  <c r="T27" i="4"/>
  <c r="V27" i="4"/>
  <c r="X27" i="4"/>
  <c r="Z27" i="4"/>
  <c r="F30" i="4"/>
  <c r="H30" i="4"/>
  <c r="L30" i="4"/>
  <c r="N30" i="4"/>
  <c r="P30" i="4"/>
  <c r="R30" i="4"/>
  <c r="T30" i="4"/>
  <c r="V30" i="4"/>
  <c r="X30" i="4"/>
  <c r="Z30" i="4"/>
  <c r="F33" i="4"/>
  <c r="H33" i="4"/>
  <c r="L33" i="4"/>
  <c r="P33" i="4"/>
  <c r="R33" i="4"/>
  <c r="T33" i="4"/>
  <c r="X33" i="4"/>
  <c r="F36" i="4"/>
  <c r="H36" i="4"/>
  <c r="L36" i="4"/>
  <c r="P36" i="4"/>
  <c r="R36" i="4"/>
  <c r="T36" i="4"/>
  <c r="X36" i="4"/>
  <c r="Z36" i="4"/>
  <c r="L39" i="4"/>
  <c r="P39" i="4"/>
  <c r="R39" i="4"/>
  <c r="T39" i="4"/>
  <c r="L42" i="4"/>
  <c r="P42" i="4"/>
  <c r="R42" i="4"/>
  <c r="T42" i="4"/>
  <c r="L45" i="4"/>
  <c r="F9" i="2"/>
  <c r="F10" i="2"/>
  <c r="F11" i="2"/>
  <c r="F12" i="2"/>
  <c r="F13" i="2"/>
  <c r="F14" i="2"/>
  <c r="F15" i="2"/>
  <c r="F16" i="2"/>
  <c r="F17" i="2"/>
  <c r="F7" i="2"/>
  <c r="F8" i="2"/>
  <c r="F6" i="2"/>
  <c r="AP7" i="2" l="1"/>
  <c r="AP8" i="2"/>
  <c r="AP9" i="2"/>
  <c r="AP10" i="2"/>
  <c r="AP11" i="2"/>
  <c r="AP12" i="2"/>
  <c r="AP13" i="2"/>
  <c r="AP14" i="2"/>
  <c r="AP15" i="2"/>
  <c r="AP16" i="2"/>
  <c r="AP17" i="2"/>
  <c r="AP6" i="2"/>
  <c r="AL6" i="2"/>
  <c r="AL7" i="2"/>
  <c r="AL8" i="2"/>
  <c r="AL9" i="2"/>
  <c r="AL10" i="2"/>
  <c r="AL11" i="2"/>
  <c r="AL12" i="2"/>
  <c r="AL13" i="2"/>
  <c r="AL14" i="2"/>
  <c r="AL15" i="2"/>
  <c r="AL16" i="2"/>
  <c r="AL17" i="2"/>
  <c r="AF7" i="2"/>
  <c r="AF8" i="2"/>
  <c r="AF9" i="2"/>
  <c r="AF10" i="2"/>
  <c r="AF11" i="2"/>
  <c r="AF12" i="2"/>
  <c r="AF13" i="2"/>
  <c r="AF14" i="2"/>
  <c r="AF15" i="2"/>
  <c r="AF16" i="2"/>
  <c r="AF17" i="2"/>
  <c r="AF6" i="2"/>
  <c r="AH6" i="2" s="1"/>
  <c r="AB7" i="2"/>
  <c r="AB8" i="2"/>
  <c r="AB9" i="2"/>
  <c r="AB10" i="2"/>
  <c r="AB11" i="2"/>
  <c r="AB12" i="2"/>
  <c r="AB13" i="2"/>
  <c r="AB14" i="2"/>
  <c r="AB15" i="2"/>
  <c r="AB16" i="2"/>
  <c r="AB17" i="2"/>
  <c r="AB6" i="2"/>
  <c r="X7" i="2"/>
  <c r="X8" i="2"/>
  <c r="X9" i="2"/>
  <c r="X10" i="2"/>
  <c r="X11" i="2"/>
  <c r="X12" i="2"/>
  <c r="X13" i="2"/>
  <c r="X14" i="2"/>
  <c r="X15" i="2"/>
  <c r="X16" i="2"/>
  <c r="X17" i="2"/>
  <c r="X6" i="2"/>
  <c r="T7" i="2"/>
  <c r="T8" i="2"/>
  <c r="T9" i="2"/>
  <c r="T10" i="2"/>
  <c r="T11" i="2"/>
  <c r="T12" i="2"/>
  <c r="T13" i="2"/>
  <c r="T14" i="2"/>
  <c r="T15" i="2"/>
  <c r="T16" i="2"/>
  <c r="T17" i="2"/>
  <c r="T6" i="2"/>
  <c r="P7" i="2"/>
  <c r="P8" i="2"/>
  <c r="P9" i="2"/>
  <c r="P10" i="2"/>
  <c r="P11" i="2"/>
  <c r="P12" i="2"/>
  <c r="P13" i="2"/>
  <c r="P14" i="2"/>
  <c r="P15" i="2"/>
  <c r="P16" i="2"/>
  <c r="P17" i="2"/>
  <c r="P6" i="2"/>
  <c r="J7" i="2"/>
  <c r="J8" i="2"/>
  <c r="J9" i="2"/>
  <c r="J10" i="2"/>
  <c r="J11" i="2"/>
  <c r="J12" i="2"/>
  <c r="J13" i="2"/>
  <c r="J14" i="2"/>
  <c r="J15" i="2"/>
  <c r="J16" i="2"/>
  <c r="J17" i="2"/>
  <c r="J6" i="2"/>
  <c r="AQ9" i="2" l="1"/>
  <c r="AR12" i="2"/>
  <c r="AN9" i="2"/>
  <c r="AR9" i="2"/>
  <c r="AQ12" i="2"/>
  <c r="AQ6" i="2"/>
  <c r="AQ15" i="2"/>
  <c r="Z6" i="2"/>
  <c r="AG6" i="2"/>
  <c r="AD12" i="2"/>
  <c r="AR15" i="2"/>
  <c r="V12" i="2"/>
  <c r="AR6" i="2"/>
  <c r="AN12" i="2"/>
  <c r="AD15" i="2"/>
  <c r="AD6" i="2"/>
  <c r="V6" i="2"/>
  <c r="R6" i="2"/>
  <c r="L9" i="2"/>
  <c r="K15" i="2"/>
  <c r="H9" i="2"/>
  <c r="H6" i="2"/>
  <c r="L12" i="2"/>
  <c r="V9" i="2"/>
  <c r="AM15" i="2"/>
  <c r="AN15" i="2"/>
  <c r="G15" i="2"/>
  <c r="H12" i="2"/>
  <c r="R12" i="2"/>
  <c r="Z9" i="2"/>
  <c r="L6" i="2"/>
  <c r="AD9" i="2"/>
  <c r="AG15" i="2"/>
  <c r="H15" i="2"/>
  <c r="R15" i="2"/>
  <c r="Z12" i="2"/>
  <c r="AH9" i="2"/>
  <c r="R9" i="2"/>
  <c r="AN6" i="2"/>
  <c r="V15" i="2"/>
  <c r="Z15" i="2"/>
  <c r="AH12" i="2"/>
  <c r="L15" i="2"/>
  <c r="U15" i="2"/>
  <c r="AH15" i="2"/>
  <c r="G12" i="2"/>
  <c r="K12" i="2"/>
  <c r="Q12" i="2"/>
  <c r="U12" i="2"/>
  <c r="Y12" i="2"/>
  <c r="AC12" i="2"/>
  <c r="AG12" i="2"/>
  <c r="AM12" i="2"/>
  <c r="Q15" i="2"/>
  <c r="Y15" i="2"/>
  <c r="AC15" i="2"/>
  <c r="G9" i="2"/>
  <c r="K9" i="2"/>
  <c r="Q9" i="2"/>
  <c r="U9" i="2"/>
  <c r="Y9" i="2"/>
  <c r="AC9" i="2"/>
  <c r="AG9" i="2"/>
  <c r="AM9" i="2"/>
  <c r="G6" i="2"/>
  <c r="K6" i="2"/>
  <c r="Q6" i="2"/>
  <c r="U6" i="2"/>
  <c r="Y6" i="2"/>
  <c r="AC6" i="2"/>
  <c r="AM6" i="2"/>
</calcChain>
</file>

<file path=xl/sharedStrings.xml><?xml version="1.0" encoding="utf-8"?>
<sst xmlns="http://schemas.openxmlformats.org/spreadsheetml/2006/main" count="74" uniqueCount="29">
  <si>
    <r>
      <t>NH</t>
    </r>
    <r>
      <rPr>
        <vertAlign val="subscript"/>
        <sz val="11"/>
        <color theme="1"/>
        <rFont val="Times New Roman"/>
        <family val="1"/>
      </rPr>
      <t xml:space="preserve">3 </t>
    </r>
    <r>
      <rPr>
        <sz val="11"/>
        <color theme="1"/>
        <rFont val="Times New Roman"/>
        <family val="1"/>
      </rPr>
      <t xml:space="preserve">(mM) : </t>
    </r>
    <phoneticPr fontId="3"/>
  </si>
  <si>
    <r>
      <t>Inj volume (</t>
    </r>
    <r>
      <rPr>
        <sz val="11"/>
        <color theme="1"/>
        <rFont val="ＭＳ Ｐ明朝"/>
        <family val="1"/>
        <charset val="128"/>
      </rPr>
      <t>µ</t>
    </r>
    <r>
      <rPr>
        <sz val="11"/>
        <color theme="1"/>
        <rFont val="Times New Roman"/>
        <family val="1"/>
      </rPr>
      <t xml:space="preserve">L) : </t>
    </r>
    <phoneticPr fontId="3"/>
  </si>
  <si>
    <t>Area</t>
    <phoneticPr fontId="3"/>
  </si>
  <si>
    <t>Compounds</t>
    <phoneticPr fontId="3"/>
  </si>
  <si>
    <t>Fumalic acid</t>
    <phoneticPr fontId="3"/>
  </si>
  <si>
    <t>Succinic acid</t>
    <phoneticPr fontId="3"/>
  </si>
  <si>
    <t>Oxaloacetic acid</t>
    <phoneticPr fontId="3"/>
  </si>
  <si>
    <t>Malic acid</t>
    <phoneticPr fontId="3"/>
  </si>
  <si>
    <t>Oxoglutaric acid</t>
    <phoneticPr fontId="3"/>
  </si>
  <si>
    <t>Glutamine</t>
    <phoneticPr fontId="3"/>
  </si>
  <si>
    <t>Glutamic acid</t>
    <phoneticPr fontId="3"/>
  </si>
  <si>
    <t>Hydroxyglutaric acid</t>
    <phoneticPr fontId="3"/>
  </si>
  <si>
    <t>Aconitic acid</t>
    <phoneticPr fontId="3"/>
  </si>
  <si>
    <t>Citric acid</t>
    <phoneticPr fontId="3"/>
  </si>
  <si>
    <t>Isocitric acid</t>
    <phoneticPr fontId="3"/>
  </si>
  <si>
    <t>Precurser ion (m / z)</t>
    <phoneticPr fontId="3"/>
  </si>
  <si>
    <t>Product ion (m / z)</t>
    <phoneticPr fontId="3"/>
  </si>
  <si>
    <t>Collision energy (eV)</t>
    <phoneticPr fontId="3"/>
  </si>
  <si>
    <t>Concentration           (µM, pmol)</t>
    <phoneticPr fontId="3"/>
  </si>
  <si>
    <t>HCT116 MT</t>
    <phoneticPr fontId="3"/>
  </si>
  <si>
    <t>ASA 2mM</t>
    <phoneticPr fontId="3"/>
  </si>
  <si>
    <t>Concentration
 (pmol)</t>
    <phoneticPr fontId="3"/>
  </si>
  <si>
    <t>Average</t>
    <phoneticPr fontId="3"/>
  </si>
  <si>
    <t>S.D.</t>
    <phoneticPr fontId="3"/>
  </si>
  <si>
    <t>Cell</t>
    <phoneticPr fontId="3"/>
  </si>
  <si>
    <t>Condition</t>
    <phoneticPr fontId="3"/>
  </si>
  <si>
    <t>DMSO</t>
    <phoneticPr fontId="3"/>
  </si>
  <si>
    <r>
      <t>L-MS(10</t>
    </r>
    <r>
      <rPr>
        <b/>
        <sz val="10"/>
        <color theme="1"/>
        <rFont val="游ゴシック"/>
        <family val="1"/>
        <charset val="128"/>
      </rPr>
      <t>ｍ</t>
    </r>
    <r>
      <rPr>
        <b/>
        <sz val="10"/>
        <color theme="1"/>
        <rFont val="Times New Roman"/>
        <family val="1"/>
      </rPr>
      <t>M)</t>
    </r>
    <phoneticPr fontId="3"/>
  </si>
  <si>
    <t>ASA+L-MS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</si>
</sst>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游ゴシック"/>
      <family val="2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sz val="6"/>
      <name val="游ゴシック"/>
      <family val="3"/>
      <charset val="128"/>
      <scheme val="minor"/>
    </font>
    <font>
      <sz val="11"/>
      <color theme="1"/>
      <name val="ＭＳ Ｐ明朝"/>
      <family val="1"/>
      <charset val="128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游ゴシック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4" xfId="0" applyBorder="1"/>
    <xf numFmtId="0" fontId="1" fillId="0" borderId="0" xfId="0" applyFont="1"/>
    <xf numFmtId="0" fontId="1" fillId="0" borderId="4" xfId="0" applyFont="1" applyBorder="1"/>
    <xf numFmtId="0" fontId="1" fillId="0" borderId="0" xfId="0" applyFont="1" applyAlignment="1">
      <alignment horizontal="right"/>
    </xf>
    <xf numFmtId="0" fontId="0" fillId="0" borderId="6" xfId="0" applyBorder="1"/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vertical="center"/>
    </xf>
    <xf numFmtId="0" fontId="1" fillId="0" borderId="13" xfId="0" applyFont="1" applyBorder="1"/>
    <xf numFmtId="0" fontId="1" fillId="0" borderId="13" xfId="0" applyFont="1" applyBorder="1" applyAlignment="1">
      <alignment vertical="center"/>
    </xf>
    <xf numFmtId="0" fontId="1" fillId="0" borderId="21" xfId="0" applyFont="1" applyBorder="1"/>
    <xf numFmtId="0" fontId="1" fillId="0" borderId="22" xfId="0" applyFont="1" applyBorder="1"/>
    <xf numFmtId="1" fontId="1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Fumalic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46288511049096E-2"/>
                  <c:y val="-4.464056611267841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curve'!$D$21:$D$32</c:f>
              <c:numCache>
                <c:formatCode>General</c:formatCode>
                <c:ptCount val="12"/>
                <c:pt idx="0">
                  <c:v>4000</c:v>
                </c:pt>
                <c:pt idx="3">
                  <c:v>2000</c:v>
                </c:pt>
                <c:pt idx="6">
                  <c:v>1000</c:v>
                </c:pt>
                <c:pt idx="9">
                  <c:v>500</c:v>
                </c:pt>
              </c:numCache>
            </c:numRef>
          </c:xVal>
          <c:yVal>
            <c:numRef>
              <c:f>'calibration curve'!$F$21:$F$32</c:f>
              <c:numCache>
                <c:formatCode>0</c:formatCode>
                <c:ptCount val="12"/>
                <c:pt idx="0">
                  <c:v>53767</c:v>
                </c:pt>
                <c:pt idx="3">
                  <c:v>28503.333333333332</c:v>
                </c:pt>
                <c:pt idx="6">
                  <c:v>14310.333333333334</c:v>
                </c:pt>
                <c:pt idx="9">
                  <c:v>7970.333333333333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B7-408A-A440-EC23CC9A9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447232"/>
        <c:axId val="172449152"/>
      </c:scatterChart>
      <c:valAx>
        <c:axId val="1724472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2449152"/>
        <c:crosses val="autoZero"/>
        <c:crossBetween val="midCat"/>
      </c:valAx>
      <c:valAx>
        <c:axId val="172449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244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Succinic</a:t>
            </a: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46288511049096E-2"/>
                  <c:y val="-4.464056611267841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curve'!$D$21:$D$38</c:f>
              <c:numCache>
                <c:formatCode>General</c:formatCode>
                <c:ptCount val="18"/>
                <c:pt idx="0">
                  <c:v>4000</c:v>
                </c:pt>
                <c:pt idx="3">
                  <c:v>2000</c:v>
                </c:pt>
                <c:pt idx="6">
                  <c:v>1000</c:v>
                </c:pt>
                <c:pt idx="9">
                  <c:v>500</c:v>
                </c:pt>
                <c:pt idx="12">
                  <c:v>400</c:v>
                </c:pt>
                <c:pt idx="15">
                  <c:v>200</c:v>
                </c:pt>
              </c:numCache>
            </c:numRef>
          </c:xVal>
          <c:yVal>
            <c:numRef>
              <c:f>'calibration curve'!$H$21:$H$38</c:f>
              <c:numCache>
                <c:formatCode>0</c:formatCode>
                <c:ptCount val="18"/>
                <c:pt idx="0">
                  <c:v>284965</c:v>
                </c:pt>
                <c:pt idx="3">
                  <c:v>150402.66666666666</c:v>
                </c:pt>
                <c:pt idx="6">
                  <c:v>74550.333333333328</c:v>
                </c:pt>
                <c:pt idx="9">
                  <c:v>38428.666666666664</c:v>
                </c:pt>
                <c:pt idx="12">
                  <c:v>7487.333333333333</c:v>
                </c:pt>
                <c:pt idx="15">
                  <c:v>3989.3333333333335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76-48C1-9C31-50461FA17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491904"/>
        <c:axId val="172493824"/>
      </c:scatterChart>
      <c:valAx>
        <c:axId val="1724919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2493824"/>
        <c:crosses val="autoZero"/>
        <c:crossBetween val="midCat"/>
      </c:valAx>
      <c:valAx>
        <c:axId val="17249382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2491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Oxaloacetic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438933842731801E-2"/>
                  <c:y val="4.001403116683435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curve'!$D$12:$D$20</c:f>
              <c:numCache>
                <c:formatCode>General</c:formatCode>
                <c:ptCount val="9"/>
                <c:pt idx="0">
                  <c:v>20000</c:v>
                </c:pt>
                <c:pt idx="3">
                  <c:v>10000</c:v>
                </c:pt>
                <c:pt idx="6">
                  <c:v>5000</c:v>
                </c:pt>
              </c:numCache>
            </c:numRef>
          </c:xVal>
          <c:yVal>
            <c:numRef>
              <c:f>'calibration curve'!$J$12:$J$20</c:f>
              <c:numCache>
                <c:formatCode>0</c:formatCode>
                <c:ptCount val="9"/>
                <c:pt idx="0">
                  <c:v>68134.666666666672</c:v>
                </c:pt>
                <c:pt idx="3">
                  <c:v>31590.666666666668</c:v>
                </c:pt>
                <c:pt idx="6">
                  <c:v>15152.666666666666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0C-497D-A8CB-E8C8FF862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593920"/>
        <c:axId val="172595840"/>
      </c:scatterChart>
      <c:valAx>
        <c:axId val="172593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2595840"/>
        <c:crosses val="autoZero"/>
        <c:crossBetween val="midCat"/>
      </c:valAx>
      <c:valAx>
        <c:axId val="17259584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259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Malic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5438933842731801E-2"/>
                  <c:y val="4.001403116683435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curve'!$D$12:$D$29</c:f>
              <c:numCache>
                <c:formatCode>General</c:formatCode>
                <c:ptCount val="18"/>
                <c:pt idx="0">
                  <c:v>20000</c:v>
                </c:pt>
                <c:pt idx="3">
                  <c:v>10000</c:v>
                </c:pt>
                <c:pt idx="6">
                  <c:v>5000</c:v>
                </c:pt>
                <c:pt idx="9">
                  <c:v>4000</c:v>
                </c:pt>
                <c:pt idx="12">
                  <c:v>2000</c:v>
                </c:pt>
                <c:pt idx="15">
                  <c:v>1000</c:v>
                </c:pt>
              </c:numCache>
            </c:numRef>
          </c:xVal>
          <c:yVal>
            <c:numRef>
              <c:f>'calibration curve'!$L$12:$L$29</c:f>
              <c:numCache>
                <c:formatCode>0</c:formatCode>
                <c:ptCount val="18"/>
                <c:pt idx="0">
                  <c:v>5856098.333333333</c:v>
                </c:pt>
                <c:pt idx="3">
                  <c:v>4191640</c:v>
                </c:pt>
                <c:pt idx="6">
                  <c:v>2804692.6666666665</c:v>
                </c:pt>
                <c:pt idx="9">
                  <c:v>765632.33333333337</c:v>
                </c:pt>
                <c:pt idx="12">
                  <c:v>360480</c:v>
                </c:pt>
                <c:pt idx="15">
                  <c:v>162203.33333333334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4C-46D7-A68A-C3D02534B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671360"/>
        <c:axId val="172673280"/>
      </c:scatterChart>
      <c:valAx>
        <c:axId val="1726713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2673280"/>
        <c:crosses val="autoZero"/>
        <c:crossBetween val="midCat"/>
      </c:valAx>
      <c:valAx>
        <c:axId val="17267328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2671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Oxoglutaric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9278532347833264E-2"/>
                  <c:y val="-4.52299336686996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curve'!$D$21:$D$32</c:f>
              <c:numCache>
                <c:formatCode>General</c:formatCode>
                <c:ptCount val="12"/>
                <c:pt idx="0">
                  <c:v>4000</c:v>
                </c:pt>
                <c:pt idx="3">
                  <c:v>2000</c:v>
                </c:pt>
                <c:pt idx="6">
                  <c:v>1000</c:v>
                </c:pt>
                <c:pt idx="9">
                  <c:v>500</c:v>
                </c:pt>
              </c:numCache>
            </c:numRef>
          </c:xVal>
          <c:yVal>
            <c:numRef>
              <c:f>'calibration curve'!$N$21:$N$32</c:f>
              <c:numCache>
                <c:formatCode>0</c:formatCode>
                <c:ptCount val="12"/>
                <c:pt idx="0">
                  <c:v>76553</c:v>
                </c:pt>
                <c:pt idx="3">
                  <c:v>37387.333333333336</c:v>
                </c:pt>
                <c:pt idx="6">
                  <c:v>20604.333333333332</c:v>
                </c:pt>
                <c:pt idx="9">
                  <c:v>9173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752-4187-AB22-3AB59940C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748800"/>
        <c:axId val="172750720"/>
      </c:scatterChart>
      <c:valAx>
        <c:axId val="172748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2750720"/>
        <c:crosses val="autoZero"/>
        <c:crossBetween val="midCat"/>
      </c:valAx>
      <c:valAx>
        <c:axId val="17275072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274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Glutamine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9278532347833264E-2"/>
                  <c:y val="-4.52299336686996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curve'!$D$21:$D$35</c:f>
              <c:numCache>
                <c:formatCode>General</c:formatCode>
                <c:ptCount val="15"/>
                <c:pt idx="0">
                  <c:v>4000</c:v>
                </c:pt>
                <c:pt idx="3">
                  <c:v>2000</c:v>
                </c:pt>
                <c:pt idx="6">
                  <c:v>1000</c:v>
                </c:pt>
                <c:pt idx="9">
                  <c:v>500</c:v>
                </c:pt>
                <c:pt idx="12">
                  <c:v>400</c:v>
                </c:pt>
              </c:numCache>
            </c:numRef>
          </c:xVal>
          <c:yVal>
            <c:numRef>
              <c:f>'calibration curve'!$P$21:$P$35</c:f>
              <c:numCache>
                <c:formatCode>0</c:formatCode>
                <c:ptCount val="15"/>
                <c:pt idx="0">
                  <c:v>1350196.3333333333</c:v>
                </c:pt>
                <c:pt idx="3">
                  <c:v>737307</c:v>
                </c:pt>
                <c:pt idx="6">
                  <c:v>388155.66666666669</c:v>
                </c:pt>
                <c:pt idx="9">
                  <c:v>193533</c:v>
                </c:pt>
                <c:pt idx="12">
                  <c:v>39077.333333333336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A7-4CD1-B6DD-B0D784E23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958080"/>
        <c:axId val="172960000"/>
      </c:scatterChart>
      <c:valAx>
        <c:axId val="172958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2960000"/>
        <c:crosses val="autoZero"/>
        <c:crossBetween val="midCat"/>
      </c:valAx>
      <c:valAx>
        <c:axId val="17296000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2958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Glutamic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9278532347833264E-2"/>
                  <c:y val="-4.52299336686996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curve'!$D$12:$D$29</c:f>
              <c:numCache>
                <c:formatCode>General</c:formatCode>
                <c:ptCount val="18"/>
                <c:pt idx="0">
                  <c:v>20000</c:v>
                </c:pt>
                <c:pt idx="3">
                  <c:v>10000</c:v>
                </c:pt>
                <c:pt idx="6">
                  <c:v>5000</c:v>
                </c:pt>
                <c:pt idx="9">
                  <c:v>4000</c:v>
                </c:pt>
                <c:pt idx="12">
                  <c:v>2000</c:v>
                </c:pt>
                <c:pt idx="15">
                  <c:v>1000</c:v>
                </c:pt>
              </c:numCache>
            </c:numRef>
          </c:xVal>
          <c:yVal>
            <c:numRef>
              <c:f>'calibration curve'!$R$12:$R$29</c:f>
              <c:numCache>
                <c:formatCode>0</c:formatCode>
                <c:ptCount val="18"/>
                <c:pt idx="0">
                  <c:v>9554429.333333334</c:v>
                </c:pt>
                <c:pt idx="3">
                  <c:v>5961239</c:v>
                </c:pt>
                <c:pt idx="6">
                  <c:v>3765167.3333333335</c:v>
                </c:pt>
                <c:pt idx="9">
                  <c:v>974365.66666666663</c:v>
                </c:pt>
                <c:pt idx="12">
                  <c:v>518981.66666666669</c:v>
                </c:pt>
                <c:pt idx="15">
                  <c:v>281990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EA-420A-8536-377D4B909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28096"/>
        <c:axId val="173030016"/>
      </c:scatterChart>
      <c:valAx>
        <c:axId val="173028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3030016"/>
        <c:crosses val="autoZero"/>
        <c:crossBetween val="midCat"/>
      </c:valAx>
      <c:valAx>
        <c:axId val="17303001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3028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Hydroxyglutaric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9278532347833264E-2"/>
                  <c:y val="-4.52299336686996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curve'!$D$21:$D$35</c:f>
              <c:numCache>
                <c:formatCode>General</c:formatCode>
                <c:ptCount val="15"/>
                <c:pt idx="0">
                  <c:v>4000</c:v>
                </c:pt>
                <c:pt idx="3">
                  <c:v>2000</c:v>
                </c:pt>
                <c:pt idx="6">
                  <c:v>1000</c:v>
                </c:pt>
                <c:pt idx="9">
                  <c:v>500</c:v>
                </c:pt>
                <c:pt idx="12">
                  <c:v>400</c:v>
                </c:pt>
              </c:numCache>
            </c:numRef>
          </c:xVal>
          <c:yVal>
            <c:numRef>
              <c:f>'calibration curve'!$T$21:$T$35</c:f>
              <c:numCache>
                <c:formatCode>General</c:formatCode>
                <c:ptCount val="15"/>
                <c:pt idx="0">
                  <c:v>1457073</c:v>
                </c:pt>
                <c:pt idx="3" formatCode="0">
                  <c:v>710533</c:v>
                </c:pt>
                <c:pt idx="6" formatCode="0">
                  <c:v>343014.33333333331</c:v>
                </c:pt>
                <c:pt idx="9" formatCode="0">
                  <c:v>165696.66666666666</c:v>
                </c:pt>
                <c:pt idx="12" formatCode="0">
                  <c:v>33694.333333333336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00-40E4-9E19-AA7CC7A008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147264"/>
        <c:axId val="173149184"/>
      </c:scatterChart>
      <c:valAx>
        <c:axId val="173147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3149184"/>
        <c:crosses val="autoZero"/>
        <c:crossBetween val="midCat"/>
      </c:valAx>
      <c:valAx>
        <c:axId val="17314918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314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Aconitic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9278532347833264E-2"/>
                  <c:y val="-4.52299336686996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curve'!$D$21:$D$32</c:f>
              <c:numCache>
                <c:formatCode>General</c:formatCode>
                <c:ptCount val="12"/>
                <c:pt idx="0">
                  <c:v>4000</c:v>
                </c:pt>
                <c:pt idx="3">
                  <c:v>2000</c:v>
                </c:pt>
                <c:pt idx="6">
                  <c:v>1000</c:v>
                </c:pt>
                <c:pt idx="9">
                  <c:v>500</c:v>
                </c:pt>
              </c:numCache>
            </c:numRef>
          </c:xVal>
          <c:yVal>
            <c:numRef>
              <c:f>'calibration curve'!$V$21:$V$32</c:f>
              <c:numCache>
                <c:formatCode>0</c:formatCode>
                <c:ptCount val="12"/>
                <c:pt idx="0">
                  <c:v>20501.333333333332</c:v>
                </c:pt>
                <c:pt idx="3">
                  <c:v>11499.666666666666</c:v>
                </c:pt>
                <c:pt idx="6">
                  <c:v>5830.666666666667</c:v>
                </c:pt>
                <c:pt idx="9">
                  <c:v>2860.5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EA-4AC7-BFAD-6E66DB337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196800"/>
        <c:axId val="173198720"/>
      </c:scatterChart>
      <c:valAx>
        <c:axId val="173196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3198720"/>
        <c:crosses val="autoZero"/>
        <c:crossBetween val="midCat"/>
      </c:valAx>
      <c:valAx>
        <c:axId val="17319872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319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Citric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9278532347833264E-2"/>
                  <c:y val="-4.52299336686996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curve'!$D$21:$D$32</c:f>
              <c:numCache>
                <c:formatCode>General</c:formatCode>
                <c:ptCount val="12"/>
                <c:pt idx="0">
                  <c:v>4000</c:v>
                </c:pt>
                <c:pt idx="3">
                  <c:v>2000</c:v>
                </c:pt>
                <c:pt idx="6">
                  <c:v>1000</c:v>
                </c:pt>
                <c:pt idx="9">
                  <c:v>500</c:v>
                </c:pt>
              </c:numCache>
            </c:numRef>
          </c:xVal>
          <c:yVal>
            <c:numRef>
              <c:f>'calibration curve'!$X$21:$X$32</c:f>
              <c:numCache>
                <c:formatCode>0</c:formatCode>
                <c:ptCount val="12"/>
                <c:pt idx="0">
                  <c:v>78398</c:v>
                </c:pt>
                <c:pt idx="3">
                  <c:v>38473.333333333336</c:v>
                </c:pt>
                <c:pt idx="6">
                  <c:v>19421.666666666668</c:v>
                </c:pt>
                <c:pt idx="9">
                  <c:v>8980.3333333333339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4C-4F0F-80BA-0042496888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91776"/>
        <c:axId val="173298048"/>
      </c:scatterChart>
      <c:valAx>
        <c:axId val="173291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3298048"/>
        <c:crosses val="autoZero"/>
        <c:crossBetween val="midCat"/>
      </c:valAx>
      <c:valAx>
        <c:axId val="173298048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3291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ja-JP" i="0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Isoc</a:t>
            </a:r>
            <a:r>
              <a:rPr lang="en-US" altLang="ja-JP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itric acid</a:t>
            </a:r>
            <a:endParaRPr lang="ja-JP" altLang="en-US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9278532347833264E-2"/>
                  <c:y val="-4.52299336686996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ja-JP"/>
                </a:p>
              </c:txPr>
            </c:trendlineLbl>
          </c:trendline>
          <c:xVal>
            <c:numRef>
              <c:f>'calibration curve'!$D$27:$D$38</c:f>
              <c:numCache>
                <c:formatCode>General</c:formatCode>
                <c:ptCount val="12"/>
                <c:pt idx="0">
                  <c:v>1000</c:v>
                </c:pt>
                <c:pt idx="3">
                  <c:v>500</c:v>
                </c:pt>
                <c:pt idx="6">
                  <c:v>400</c:v>
                </c:pt>
                <c:pt idx="9">
                  <c:v>200</c:v>
                </c:pt>
              </c:numCache>
            </c:numRef>
          </c:xVal>
          <c:yVal>
            <c:numRef>
              <c:f>'calibration curve'!$Z$27:$Z$38</c:f>
              <c:numCache>
                <c:formatCode>0</c:formatCode>
                <c:ptCount val="12"/>
                <c:pt idx="0">
                  <c:v>18799</c:v>
                </c:pt>
                <c:pt idx="3">
                  <c:v>9141</c:v>
                </c:pt>
                <c:pt idx="9">
                  <c:v>886.66666666666663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7D-440C-9913-9250C5EE1F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333120"/>
        <c:axId val="173409024"/>
      </c:scatterChart>
      <c:valAx>
        <c:axId val="173333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pmol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3409024"/>
        <c:crosses val="autoZero"/>
        <c:crossBetween val="midCat"/>
      </c:valAx>
      <c:valAx>
        <c:axId val="173409024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ja-JP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Area</a:t>
                </a:r>
                <a:r>
                  <a:rPr lang="en-US" altLang="ja-JP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value</a:t>
                </a:r>
                <a:endParaRPr lang="ja-JP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ja-JP"/>
          </a:p>
        </c:txPr>
        <c:crossAx val="173333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1</xdr:colOff>
      <xdr:row>1</xdr:row>
      <xdr:rowOff>190500</xdr:rowOff>
    </xdr:from>
    <xdr:to>
      <xdr:col>34</xdr:col>
      <xdr:colOff>25201</xdr:colOff>
      <xdr:row>14</xdr:row>
      <xdr:rowOff>157800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7058286-6D93-4C6A-A5B3-5EA629D461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0</xdr:colOff>
      <xdr:row>15</xdr:row>
      <xdr:rowOff>180975</xdr:rowOff>
    </xdr:from>
    <xdr:to>
      <xdr:col>34</xdr:col>
      <xdr:colOff>25200</xdr:colOff>
      <xdr:row>29</xdr:row>
      <xdr:rowOff>33975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4A751F0E-EF68-41B7-8F20-74316EC31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666750</xdr:colOff>
      <xdr:row>30</xdr:row>
      <xdr:rowOff>9525</xdr:rowOff>
    </xdr:from>
    <xdr:to>
      <xdr:col>34</xdr:col>
      <xdr:colOff>6150</xdr:colOff>
      <xdr:row>43</xdr:row>
      <xdr:rowOff>53025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73D7571-E638-4832-AC4A-8A9C436FC4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666750</xdr:colOff>
      <xdr:row>44</xdr:row>
      <xdr:rowOff>28575</xdr:rowOff>
    </xdr:from>
    <xdr:to>
      <xdr:col>34</xdr:col>
      <xdr:colOff>6150</xdr:colOff>
      <xdr:row>58</xdr:row>
      <xdr:rowOff>81600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E88E40C2-4A06-458E-83F4-3DFE886CE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200025</xdr:colOff>
      <xdr:row>2</xdr:row>
      <xdr:rowOff>42333</xdr:rowOff>
    </xdr:from>
    <xdr:to>
      <xdr:col>40</xdr:col>
      <xdr:colOff>225225</xdr:colOff>
      <xdr:row>15</xdr:row>
      <xdr:rowOff>19158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64D2F3A9-CF55-487E-8BCC-CC2B56709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208017</xdr:colOff>
      <xdr:row>15</xdr:row>
      <xdr:rowOff>175172</xdr:rowOff>
    </xdr:from>
    <xdr:to>
      <xdr:col>40</xdr:col>
      <xdr:colOff>233217</xdr:colOff>
      <xdr:row>29</xdr:row>
      <xdr:rowOff>68791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993D0B9C-18C2-4AFF-8B89-616D517DE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209550</xdr:colOff>
      <xdr:row>30</xdr:row>
      <xdr:rowOff>9525</xdr:rowOff>
    </xdr:from>
    <xdr:to>
      <xdr:col>40</xdr:col>
      <xdr:colOff>234750</xdr:colOff>
      <xdr:row>43</xdr:row>
      <xdr:rowOff>93644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61975BBE-93E5-4E24-BA57-E86486EBB5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203200</xdr:colOff>
      <xdr:row>44</xdr:row>
      <xdr:rowOff>38100</xdr:rowOff>
    </xdr:from>
    <xdr:to>
      <xdr:col>40</xdr:col>
      <xdr:colOff>228400</xdr:colOff>
      <xdr:row>57</xdr:row>
      <xdr:rowOff>173019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CB340352-21E0-41E3-821D-F0201EED6C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40</xdr:col>
      <xdr:colOff>431800</xdr:colOff>
      <xdr:row>2</xdr:row>
      <xdr:rowOff>0</xdr:rowOff>
    </xdr:from>
    <xdr:to>
      <xdr:col>46</xdr:col>
      <xdr:colOff>457000</xdr:colOff>
      <xdr:row>15</xdr:row>
      <xdr:rowOff>7919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9206F064-6EB2-40C4-B936-D5EED5DF02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40</xdr:col>
      <xdr:colOff>419100</xdr:colOff>
      <xdr:row>15</xdr:row>
      <xdr:rowOff>165100</xdr:rowOff>
    </xdr:from>
    <xdr:to>
      <xdr:col>46</xdr:col>
      <xdr:colOff>444300</xdr:colOff>
      <xdr:row>29</xdr:row>
      <xdr:rowOff>58719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BCC4E054-F527-494C-96C1-8523CD7EA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40</xdr:col>
      <xdr:colOff>419100</xdr:colOff>
      <xdr:row>30</xdr:row>
      <xdr:rowOff>0</xdr:rowOff>
    </xdr:from>
    <xdr:to>
      <xdr:col>46</xdr:col>
      <xdr:colOff>444300</xdr:colOff>
      <xdr:row>43</xdr:row>
      <xdr:rowOff>84119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9F08C6DD-0CA0-4A68-93B2-C6F7028C75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FA63-5830-4AB5-AA77-240CF76156D2}">
  <sheetPr>
    <pageSetUpPr fitToPage="1"/>
  </sheetPr>
  <dimension ref="B1:AA90"/>
  <sheetViews>
    <sheetView topLeftCell="AA10" zoomScale="90" zoomScaleNormal="90" workbookViewId="0">
      <selection activeCell="K74" sqref="K74"/>
    </sheetView>
  </sheetViews>
  <sheetFormatPr defaultRowHeight="18.75" x14ac:dyDescent="0.4"/>
  <cols>
    <col min="2" max="26" width="16.625" customWidth="1"/>
    <col min="27" max="27" width="12.125" customWidth="1"/>
  </cols>
  <sheetData>
    <row r="1" spans="2:27" x14ac:dyDescent="0.4">
      <c r="B1" s="1" t="s">
        <v>0</v>
      </c>
      <c r="C1" s="2">
        <v>100</v>
      </c>
      <c r="D1" s="2"/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2:27" ht="19.5" thickBot="1" x14ac:dyDescent="0.45">
      <c r="B2" s="1" t="s">
        <v>1</v>
      </c>
      <c r="C2" s="2">
        <v>5</v>
      </c>
      <c r="D2" s="2"/>
      <c r="E2" s="2"/>
      <c r="F2" s="1"/>
      <c r="G2" s="1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2:27" ht="19.5" thickBot="1" x14ac:dyDescent="0.45">
      <c r="B3" s="21" t="s">
        <v>2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4"/>
    </row>
    <row r="4" spans="2:27" ht="19.5" thickTop="1" x14ac:dyDescent="0.4">
      <c r="B4" s="22" t="s">
        <v>3</v>
      </c>
      <c r="C4" s="22"/>
      <c r="D4" s="22"/>
      <c r="E4" s="24" t="s">
        <v>4</v>
      </c>
      <c r="F4" s="24"/>
      <c r="G4" s="24" t="s">
        <v>5</v>
      </c>
      <c r="H4" s="24"/>
      <c r="I4" s="24" t="s">
        <v>6</v>
      </c>
      <c r="J4" s="24"/>
      <c r="K4" s="24" t="s">
        <v>7</v>
      </c>
      <c r="L4" s="24"/>
      <c r="M4" s="24" t="s">
        <v>8</v>
      </c>
      <c r="N4" s="24"/>
      <c r="O4" s="24" t="s">
        <v>9</v>
      </c>
      <c r="P4" s="24"/>
      <c r="Q4" s="24" t="s">
        <v>10</v>
      </c>
      <c r="R4" s="24"/>
      <c r="S4" s="26" t="s">
        <v>11</v>
      </c>
      <c r="T4" s="26"/>
      <c r="U4" s="24" t="s">
        <v>12</v>
      </c>
      <c r="V4" s="24"/>
      <c r="W4" s="24" t="s">
        <v>13</v>
      </c>
      <c r="X4" s="24"/>
      <c r="Y4" s="24" t="s">
        <v>14</v>
      </c>
      <c r="Z4" s="24"/>
      <c r="AA4" s="5"/>
    </row>
    <row r="5" spans="2:27" ht="19.5" thickBot="1" x14ac:dyDescent="0.45">
      <c r="B5" s="23"/>
      <c r="C5" s="23"/>
      <c r="D5" s="23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7"/>
      <c r="T5" s="27"/>
      <c r="U5" s="25"/>
      <c r="V5" s="25"/>
      <c r="W5" s="25"/>
      <c r="X5" s="25"/>
      <c r="Y5" s="25"/>
      <c r="Z5" s="25"/>
      <c r="AA5" s="5"/>
    </row>
    <row r="6" spans="2:27" ht="19.5" thickTop="1" x14ac:dyDescent="0.4">
      <c r="B6" s="22" t="s">
        <v>15</v>
      </c>
      <c r="C6" s="22"/>
      <c r="D6" s="22"/>
      <c r="E6" s="30">
        <v>115.16</v>
      </c>
      <c r="F6" s="30"/>
      <c r="G6" s="30">
        <v>117.21</v>
      </c>
      <c r="H6" s="30"/>
      <c r="I6" s="30">
        <v>131.04</v>
      </c>
      <c r="J6" s="30"/>
      <c r="K6" s="30">
        <v>133.11000000000001</v>
      </c>
      <c r="L6" s="30"/>
      <c r="M6" s="30">
        <v>145.02000000000001</v>
      </c>
      <c r="N6" s="30"/>
      <c r="O6" s="31">
        <v>147.1</v>
      </c>
      <c r="P6" s="31"/>
      <c r="Q6" s="31">
        <v>148.1</v>
      </c>
      <c r="R6" s="31"/>
      <c r="S6" s="30">
        <v>147.09</v>
      </c>
      <c r="T6" s="30"/>
      <c r="U6" s="30">
        <v>172.95</v>
      </c>
      <c r="V6" s="30"/>
      <c r="W6" s="30">
        <v>190.97</v>
      </c>
      <c r="X6" s="30"/>
      <c r="Y6" s="30">
        <v>190.97</v>
      </c>
      <c r="Z6" s="30"/>
      <c r="AA6" s="6"/>
    </row>
    <row r="7" spans="2:27" x14ac:dyDescent="0.4">
      <c r="B7" s="32" t="s">
        <v>16</v>
      </c>
      <c r="C7" s="32"/>
      <c r="D7" s="32"/>
      <c r="E7" s="28">
        <v>71.11</v>
      </c>
      <c r="F7" s="28"/>
      <c r="G7" s="28">
        <v>73.180000000000007</v>
      </c>
      <c r="H7" s="28"/>
      <c r="I7" s="28">
        <v>87.11</v>
      </c>
      <c r="J7" s="28"/>
      <c r="K7" s="29">
        <v>115</v>
      </c>
      <c r="L7" s="29"/>
      <c r="M7" s="29">
        <v>101</v>
      </c>
      <c r="N7" s="29"/>
      <c r="O7" s="29">
        <v>129.9</v>
      </c>
      <c r="P7" s="29"/>
      <c r="Q7" s="28">
        <v>84.11</v>
      </c>
      <c r="R7" s="28"/>
      <c r="S7" s="29">
        <v>129</v>
      </c>
      <c r="T7" s="29"/>
      <c r="U7" s="29">
        <v>129</v>
      </c>
      <c r="V7" s="29"/>
      <c r="W7" s="28">
        <v>85.11</v>
      </c>
      <c r="X7" s="28"/>
      <c r="Y7" s="28">
        <v>85.11</v>
      </c>
      <c r="Z7" s="28"/>
      <c r="AA7" s="6"/>
    </row>
    <row r="8" spans="2:27" ht="19.5" thickBot="1" x14ac:dyDescent="0.45">
      <c r="B8" s="23" t="s">
        <v>17</v>
      </c>
      <c r="C8" s="23"/>
      <c r="D8" s="23"/>
      <c r="E8" s="33">
        <v>10.25</v>
      </c>
      <c r="F8" s="33"/>
      <c r="G8" s="33">
        <v>10.25</v>
      </c>
      <c r="H8" s="33"/>
      <c r="I8" s="33">
        <v>10.25</v>
      </c>
      <c r="J8" s="33"/>
      <c r="K8" s="34">
        <v>10.25</v>
      </c>
      <c r="L8" s="34"/>
      <c r="M8" s="34">
        <v>10.25</v>
      </c>
      <c r="N8" s="34"/>
      <c r="O8" s="34">
        <v>10.25</v>
      </c>
      <c r="P8" s="34"/>
      <c r="Q8" s="34">
        <v>14.6</v>
      </c>
      <c r="R8" s="34"/>
      <c r="S8" s="34">
        <v>10.25</v>
      </c>
      <c r="T8" s="34"/>
      <c r="U8" s="34">
        <v>10.25</v>
      </c>
      <c r="V8" s="34"/>
      <c r="W8" s="34">
        <v>16.7</v>
      </c>
      <c r="X8" s="34"/>
      <c r="Y8" s="34">
        <v>16.7</v>
      </c>
      <c r="Z8" s="34"/>
      <c r="AA8" s="7"/>
    </row>
    <row r="9" spans="2:27" ht="15.75" customHeight="1" thickTop="1" x14ac:dyDescent="0.4">
      <c r="B9" s="26" t="s">
        <v>18</v>
      </c>
      <c r="C9" s="32">
        <v>5000</v>
      </c>
      <c r="D9" s="32">
        <v>25000</v>
      </c>
      <c r="E9" s="3">
        <v>1699089</v>
      </c>
      <c r="F9" s="37">
        <f>AVERAGE(E9:E11)</f>
        <v>1732125.6666666667</v>
      </c>
      <c r="G9" s="3">
        <v>9337102</v>
      </c>
      <c r="H9" s="37">
        <f>AVERAGE(G9:G11)</f>
        <v>9464781.666666666</v>
      </c>
      <c r="I9" s="3">
        <v>84927</v>
      </c>
      <c r="J9" s="37">
        <f>AVERAGE(I9:I11)</f>
        <v>93869.333333333328</v>
      </c>
      <c r="K9" s="3">
        <v>11841456</v>
      </c>
      <c r="L9" s="37">
        <f>AVERAGE(K9:K11)</f>
        <v>12431745.666666666</v>
      </c>
      <c r="M9" s="3">
        <v>2949046</v>
      </c>
      <c r="N9" s="37">
        <f>AVERAGE(M9:M11)</f>
        <v>3045337.3333333335</v>
      </c>
      <c r="O9" s="3">
        <v>28497180</v>
      </c>
      <c r="P9" s="37">
        <f>AVERAGE(O9:O11)</f>
        <v>28799993</v>
      </c>
      <c r="Q9" s="3">
        <v>21511567</v>
      </c>
      <c r="R9" s="37">
        <f>AVERAGE(Q9:Q11)</f>
        <v>22294990.333333332</v>
      </c>
      <c r="S9" s="3">
        <v>26440681</v>
      </c>
      <c r="T9" s="37">
        <f>AVERAGE(S9:S11)</f>
        <v>27048930.666666668</v>
      </c>
      <c r="U9" s="3">
        <v>796862</v>
      </c>
      <c r="V9" s="37">
        <f>AVERAGE(U9:U11)</f>
        <v>808216.33333333337</v>
      </c>
      <c r="W9" s="3">
        <v>3031251</v>
      </c>
      <c r="X9" s="37">
        <f>AVERAGE(W9:W11)</f>
        <v>3111247.3333333335</v>
      </c>
      <c r="Y9" s="3">
        <v>2019891</v>
      </c>
      <c r="Z9" s="37">
        <f>AVERAGE(Y9:Y11)</f>
        <v>2112127</v>
      </c>
      <c r="AA9" s="20"/>
    </row>
    <row r="10" spans="2:27" x14ac:dyDescent="0.4">
      <c r="B10" s="35"/>
      <c r="C10" s="32"/>
      <c r="D10" s="32"/>
      <c r="E10" s="3">
        <v>1724383</v>
      </c>
      <c r="F10" s="38"/>
      <c r="G10" s="3">
        <v>9602842</v>
      </c>
      <c r="H10" s="38"/>
      <c r="I10" s="3">
        <v>95116</v>
      </c>
      <c r="J10" s="38"/>
      <c r="K10" s="3">
        <v>12588074</v>
      </c>
      <c r="L10" s="38"/>
      <c r="M10" s="3">
        <v>2986417</v>
      </c>
      <c r="N10" s="38"/>
      <c r="O10" s="3">
        <v>28994264</v>
      </c>
      <c r="P10" s="38"/>
      <c r="Q10" s="3">
        <v>22673086</v>
      </c>
      <c r="R10" s="38"/>
      <c r="S10" s="3">
        <v>27305226</v>
      </c>
      <c r="T10" s="38"/>
      <c r="U10" s="3">
        <v>795686</v>
      </c>
      <c r="V10" s="38"/>
      <c r="W10" s="3">
        <v>3086694</v>
      </c>
      <c r="X10" s="38"/>
      <c r="Y10" s="3">
        <v>2134090</v>
      </c>
      <c r="Z10" s="38"/>
      <c r="AA10" s="20"/>
    </row>
    <row r="11" spans="2:27" x14ac:dyDescent="0.4">
      <c r="B11" s="35"/>
      <c r="C11" s="32"/>
      <c r="D11" s="32"/>
      <c r="E11" s="3">
        <v>1772905</v>
      </c>
      <c r="F11" s="38"/>
      <c r="G11" s="3">
        <v>9454401</v>
      </c>
      <c r="H11" s="38"/>
      <c r="I11" s="3">
        <v>101565</v>
      </c>
      <c r="J11" s="38"/>
      <c r="K11" s="3">
        <v>12865707</v>
      </c>
      <c r="L11" s="38"/>
      <c r="M11" s="3">
        <v>3200549</v>
      </c>
      <c r="N11" s="38"/>
      <c r="O11" s="3">
        <v>28908535</v>
      </c>
      <c r="P11" s="38"/>
      <c r="Q11" s="3">
        <v>22700318</v>
      </c>
      <c r="R11" s="38"/>
      <c r="S11" s="3">
        <v>27400885</v>
      </c>
      <c r="T11" s="38"/>
      <c r="U11" s="3">
        <v>832101</v>
      </c>
      <c r="V11" s="38"/>
      <c r="W11" s="3">
        <v>3215797</v>
      </c>
      <c r="X11" s="38"/>
      <c r="Y11" s="3">
        <v>2182400</v>
      </c>
      <c r="Z11" s="38"/>
      <c r="AA11" s="20"/>
    </row>
    <row r="12" spans="2:27" x14ac:dyDescent="0.4">
      <c r="B12" s="35"/>
      <c r="C12" s="32">
        <v>4000</v>
      </c>
      <c r="D12" s="32">
        <v>20000</v>
      </c>
      <c r="E12" s="3">
        <v>666455</v>
      </c>
      <c r="F12" s="28">
        <f>AVERAGE(E12:E14)</f>
        <v>671563</v>
      </c>
      <c r="G12" s="3">
        <v>3741808</v>
      </c>
      <c r="H12" s="38">
        <f>AVERAGE(G12:G14)</f>
        <v>3697964.3333333335</v>
      </c>
      <c r="I12" s="3">
        <v>69023</v>
      </c>
      <c r="J12" s="38">
        <f>AVERAGE(I12:I14)</f>
        <v>68134.666666666672</v>
      </c>
      <c r="K12" s="3">
        <v>5912509</v>
      </c>
      <c r="L12" s="38">
        <f>AVERAGE(K12:K14)</f>
        <v>5856098.333333333</v>
      </c>
      <c r="M12" s="3">
        <v>902844</v>
      </c>
      <c r="N12" s="38">
        <f>AVERAGE(M12:M14)</f>
        <v>911966.33333333337</v>
      </c>
      <c r="O12" s="3">
        <v>13401214</v>
      </c>
      <c r="P12" s="38">
        <f>AVERAGE(O12:O14)</f>
        <v>13153028</v>
      </c>
      <c r="Q12" s="3">
        <v>9743355</v>
      </c>
      <c r="R12" s="38">
        <f>AVERAGE(Q12:Q14)</f>
        <v>9554429.333333334</v>
      </c>
      <c r="S12" s="3">
        <v>13674342</v>
      </c>
      <c r="T12" s="38">
        <f>AVERAGE(S12:S14)</f>
        <v>13409786.666666666</v>
      </c>
      <c r="U12" s="3">
        <v>280603</v>
      </c>
      <c r="V12" s="38">
        <f>AVERAGE(U12:U14)</f>
        <v>278888.66666666669</v>
      </c>
      <c r="W12" s="3">
        <v>1209148</v>
      </c>
      <c r="X12" s="38">
        <f>AVERAGE(W12:W14)</f>
        <v>1197683</v>
      </c>
      <c r="Y12" s="3">
        <v>932901</v>
      </c>
      <c r="Z12" s="38">
        <f>AVERAGE(Y12:Y14)</f>
        <v>923167.33333333337</v>
      </c>
      <c r="AA12" s="20"/>
    </row>
    <row r="13" spans="2:27" x14ac:dyDescent="0.4">
      <c r="B13" s="35"/>
      <c r="C13" s="32"/>
      <c r="D13" s="32"/>
      <c r="E13" s="3">
        <v>678845</v>
      </c>
      <c r="F13" s="28"/>
      <c r="G13" s="3">
        <v>3680480</v>
      </c>
      <c r="H13" s="38"/>
      <c r="I13" s="3">
        <v>68677</v>
      </c>
      <c r="J13" s="38"/>
      <c r="K13" s="3">
        <v>5826669</v>
      </c>
      <c r="L13" s="38"/>
      <c r="M13" s="3">
        <v>917800</v>
      </c>
      <c r="N13" s="38"/>
      <c r="O13" s="3">
        <v>13010423</v>
      </c>
      <c r="P13" s="38"/>
      <c r="Q13" s="3">
        <v>9459540</v>
      </c>
      <c r="R13" s="38"/>
      <c r="S13" s="3">
        <v>13442586</v>
      </c>
      <c r="T13" s="38"/>
      <c r="U13" s="3">
        <v>274722</v>
      </c>
      <c r="V13" s="38"/>
      <c r="W13" s="3">
        <v>1194299</v>
      </c>
      <c r="X13" s="38"/>
      <c r="Y13" s="3">
        <v>927313</v>
      </c>
      <c r="Z13" s="38"/>
      <c r="AA13" s="20"/>
    </row>
    <row r="14" spans="2:27" x14ac:dyDescent="0.4">
      <c r="B14" s="35"/>
      <c r="C14" s="32"/>
      <c r="D14" s="32"/>
      <c r="E14" s="3">
        <v>669389</v>
      </c>
      <c r="F14" s="28"/>
      <c r="G14" s="3">
        <v>3671605</v>
      </c>
      <c r="H14" s="38"/>
      <c r="I14" s="3">
        <v>66704</v>
      </c>
      <c r="J14" s="38"/>
      <c r="K14" s="3">
        <v>5829117</v>
      </c>
      <c r="L14" s="38"/>
      <c r="M14" s="3">
        <v>915255</v>
      </c>
      <c r="N14" s="38"/>
      <c r="O14" s="3">
        <v>13047447</v>
      </c>
      <c r="P14" s="38"/>
      <c r="Q14" s="3">
        <v>9460393</v>
      </c>
      <c r="R14" s="38"/>
      <c r="S14" s="3">
        <v>13112432</v>
      </c>
      <c r="T14" s="38"/>
      <c r="U14" s="3">
        <v>281341</v>
      </c>
      <c r="V14" s="38"/>
      <c r="W14" s="3">
        <v>1189602</v>
      </c>
      <c r="X14" s="38"/>
      <c r="Y14" s="3">
        <v>909288</v>
      </c>
      <c r="Z14" s="38"/>
      <c r="AA14" s="20"/>
    </row>
    <row r="15" spans="2:27" x14ac:dyDescent="0.4">
      <c r="B15" s="35"/>
      <c r="C15" s="32">
        <v>2000</v>
      </c>
      <c r="D15" s="32">
        <v>10000</v>
      </c>
      <c r="E15" s="3">
        <v>434232</v>
      </c>
      <c r="F15" s="38">
        <f>AVERAGE(E15:E17)</f>
        <v>437004.66666666669</v>
      </c>
      <c r="G15" s="3">
        <v>2291035</v>
      </c>
      <c r="H15" s="38">
        <f>AVERAGE(G15:G17)</f>
        <v>2271767.3333333335</v>
      </c>
      <c r="I15" s="3">
        <v>31635</v>
      </c>
      <c r="J15" s="38">
        <f>AVERAGE(I15:I17)</f>
        <v>31590.666666666668</v>
      </c>
      <c r="K15" s="3">
        <v>4236219</v>
      </c>
      <c r="L15" s="38">
        <f>AVERAGE(K15:K17)</f>
        <v>4191640</v>
      </c>
      <c r="M15" s="3">
        <v>533845</v>
      </c>
      <c r="N15" s="38">
        <f>AVERAGE(M15:M17)</f>
        <v>518645.66666666669</v>
      </c>
      <c r="O15" s="3">
        <v>8266989</v>
      </c>
      <c r="P15" s="38">
        <f>AVERAGE(O15:O17)</f>
        <v>8259672.666666667</v>
      </c>
      <c r="Q15" s="3">
        <v>5886209</v>
      </c>
      <c r="R15" s="38">
        <f>AVERAGE(Q15:Q17)</f>
        <v>5961239</v>
      </c>
      <c r="S15" s="3">
        <v>9335189</v>
      </c>
      <c r="T15" s="38">
        <f>AVERAGE(S15:S17)</f>
        <v>9261832</v>
      </c>
      <c r="U15" s="3">
        <v>173491</v>
      </c>
      <c r="V15" s="38">
        <f>AVERAGE(U15:U17)</f>
        <v>171087.66666666666</v>
      </c>
      <c r="W15" s="3">
        <v>735463</v>
      </c>
      <c r="X15" s="38">
        <f>AVERAGE(W15:W17)</f>
        <v>726080.66666666663</v>
      </c>
      <c r="Y15" s="3">
        <v>562888</v>
      </c>
      <c r="Z15" s="38">
        <f>AVERAGE(Y15:Y17)</f>
        <v>565681.33333333337</v>
      </c>
      <c r="AA15" s="20"/>
    </row>
    <row r="16" spans="2:27" x14ac:dyDescent="0.4">
      <c r="B16" s="35"/>
      <c r="C16" s="32"/>
      <c r="D16" s="32"/>
      <c r="E16" s="3">
        <v>433731</v>
      </c>
      <c r="F16" s="38"/>
      <c r="G16" s="3">
        <v>2247006</v>
      </c>
      <c r="H16" s="38"/>
      <c r="I16" s="3">
        <v>30345</v>
      </c>
      <c r="J16" s="38"/>
      <c r="K16" s="3">
        <v>4188904</v>
      </c>
      <c r="L16" s="38"/>
      <c r="M16" s="3">
        <v>510727</v>
      </c>
      <c r="N16" s="38"/>
      <c r="O16" s="3">
        <v>8160197</v>
      </c>
      <c r="P16" s="38"/>
      <c r="Q16" s="3">
        <v>5832586</v>
      </c>
      <c r="R16" s="38"/>
      <c r="S16" s="3">
        <v>9451085</v>
      </c>
      <c r="T16" s="38"/>
      <c r="U16" s="3">
        <v>167772</v>
      </c>
      <c r="V16" s="38"/>
      <c r="W16" s="3">
        <v>737262</v>
      </c>
      <c r="X16" s="38"/>
      <c r="Y16" s="3">
        <v>564453</v>
      </c>
      <c r="Z16" s="38"/>
      <c r="AA16" s="20"/>
    </row>
    <row r="17" spans="2:27" x14ac:dyDescent="0.4">
      <c r="B17" s="35"/>
      <c r="C17" s="32"/>
      <c r="D17" s="32"/>
      <c r="E17" s="3">
        <v>443051</v>
      </c>
      <c r="F17" s="38"/>
      <c r="G17" s="3">
        <v>2277261</v>
      </c>
      <c r="H17" s="38"/>
      <c r="I17" s="3">
        <v>32792</v>
      </c>
      <c r="J17" s="38"/>
      <c r="K17" s="3">
        <v>4149797</v>
      </c>
      <c r="L17" s="38"/>
      <c r="M17" s="3">
        <v>511365</v>
      </c>
      <c r="N17" s="38"/>
      <c r="O17" s="3">
        <v>8351832</v>
      </c>
      <c r="P17" s="38"/>
      <c r="Q17" s="3">
        <v>6164922</v>
      </c>
      <c r="R17" s="38"/>
      <c r="S17" s="3">
        <v>8999222</v>
      </c>
      <c r="T17" s="38"/>
      <c r="U17" s="3">
        <v>172000</v>
      </c>
      <c r="V17" s="38"/>
      <c r="W17" s="3">
        <v>705517</v>
      </c>
      <c r="X17" s="38"/>
      <c r="Y17" s="3">
        <v>569703</v>
      </c>
      <c r="Z17" s="38"/>
      <c r="AA17" s="20"/>
    </row>
    <row r="18" spans="2:27" x14ac:dyDescent="0.4">
      <c r="B18" s="35"/>
      <c r="C18" s="32">
        <v>1000</v>
      </c>
      <c r="D18" s="32">
        <v>5000</v>
      </c>
      <c r="E18" s="3">
        <v>231092</v>
      </c>
      <c r="F18" s="38">
        <f>AVERAGE(E18:E20)</f>
        <v>233555.66666666666</v>
      </c>
      <c r="G18" s="3">
        <v>1280328</v>
      </c>
      <c r="H18" s="38">
        <f>AVERAGE(G18:G20)</f>
        <v>1276086</v>
      </c>
      <c r="I18" s="3">
        <v>14176</v>
      </c>
      <c r="J18" s="38">
        <f>AVERAGE(I18:I20)</f>
        <v>15152.666666666666</v>
      </c>
      <c r="K18" s="3">
        <v>2819916</v>
      </c>
      <c r="L18" s="38">
        <f>AVERAGE(K18:K20)</f>
        <v>2804692.6666666665</v>
      </c>
      <c r="M18" s="3">
        <v>311441</v>
      </c>
      <c r="N18" s="38">
        <f>AVERAGE(M18:M20)</f>
        <v>315038.33333333331</v>
      </c>
      <c r="O18" s="3">
        <v>4971339</v>
      </c>
      <c r="P18" s="38">
        <f>AVERAGE(O18:O20)</f>
        <v>5034035</v>
      </c>
      <c r="Q18" s="3">
        <v>3635625</v>
      </c>
      <c r="R18" s="38">
        <f>AVERAGE(Q18:Q20)</f>
        <v>3765167.3333333335</v>
      </c>
      <c r="S18" s="3">
        <v>5990211</v>
      </c>
      <c r="T18" s="38">
        <f>AVERAGE(S18:S20)</f>
        <v>5891427</v>
      </c>
      <c r="U18" s="3">
        <v>97312</v>
      </c>
      <c r="V18" s="38">
        <f>AVERAGE(U18:U20)</f>
        <v>94585.333333333328</v>
      </c>
      <c r="W18" s="3">
        <v>432252</v>
      </c>
      <c r="X18" s="38">
        <f>AVERAGE(W18:W20)</f>
        <v>418542</v>
      </c>
      <c r="Y18" s="3">
        <v>341681</v>
      </c>
      <c r="Z18" s="38">
        <f>AVERAGE(Y18:Y20)</f>
        <v>342740.33333333331</v>
      </c>
      <c r="AA18" s="20"/>
    </row>
    <row r="19" spans="2:27" x14ac:dyDescent="0.4">
      <c r="B19" s="35"/>
      <c r="C19" s="32"/>
      <c r="D19" s="32"/>
      <c r="E19" s="3">
        <v>234700</v>
      </c>
      <c r="F19" s="38"/>
      <c r="G19" s="3">
        <v>1285885</v>
      </c>
      <c r="H19" s="38"/>
      <c r="I19" s="3">
        <v>15822</v>
      </c>
      <c r="J19" s="38"/>
      <c r="K19" s="3">
        <v>2821831</v>
      </c>
      <c r="L19" s="38"/>
      <c r="M19" s="3">
        <v>309934</v>
      </c>
      <c r="N19" s="38"/>
      <c r="O19" s="3">
        <v>5137083</v>
      </c>
      <c r="P19" s="38"/>
      <c r="Q19" s="3">
        <v>3853757</v>
      </c>
      <c r="R19" s="38"/>
      <c r="S19" s="3">
        <v>5913286</v>
      </c>
      <c r="T19" s="38"/>
      <c r="U19" s="3">
        <v>90236</v>
      </c>
      <c r="V19" s="38"/>
      <c r="W19" s="3">
        <v>416920</v>
      </c>
      <c r="X19" s="38"/>
      <c r="Y19" s="3">
        <v>344545</v>
      </c>
      <c r="Z19" s="38"/>
      <c r="AA19" s="20"/>
    </row>
    <row r="20" spans="2:27" x14ac:dyDescent="0.4">
      <c r="B20" s="35"/>
      <c r="C20" s="32"/>
      <c r="D20" s="32"/>
      <c r="E20" s="3">
        <v>234875</v>
      </c>
      <c r="F20" s="38"/>
      <c r="G20" s="3">
        <v>1262045</v>
      </c>
      <c r="H20" s="38"/>
      <c r="I20" s="3">
        <v>15460</v>
      </c>
      <c r="J20" s="38"/>
      <c r="K20" s="3">
        <v>2772331</v>
      </c>
      <c r="L20" s="38"/>
      <c r="M20" s="3">
        <v>323740</v>
      </c>
      <c r="N20" s="38"/>
      <c r="O20" s="3">
        <v>4993683</v>
      </c>
      <c r="P20" s="38"/>
      <c r="Q20" s="3">
        <v>3806120</v>
      </c>
      <c r="R20" s="38"/>
      <c r="S20" s="3">
        <v>5770784</v>
      </c>
      <c r="T20" s="38"/>
      <c r="U20" s="3">
        <v>96208</v>
      </c>
      <c r="V20" s="38"/>
      <c r="W20" s="3">
        <v>406454</v>
      </c>
      <c r="X20" s="38"/>
      <c r="Y20" s="3">
        <v>341995</v>
      </c>
      <c r="Z20" s="38"/>
      <c r="AA20" s="20"/>
    </row>
    <row r="21" spans="2:27" x14ac:dyDescent="0.4">
      <c r="B21" s="35"/>
      <c r="C21" s="32">
        <v>800</v>
      </c>
      <c r="D21" s="32">
        <v>4000</v>
      </c>
      <c r="E21" s="3">
        <v>55609</v>
      </c>
      <c r="F21" s="38">
        <f>AVERAGE(E21:E23)</f>
        <v>53767</v>
      </c>
      <c r="G21" s="3">
        <v>287037</v>
      </c>
      <c r="H21" s="38">
        <f>AVERAGE(G21:G23)</f>
        <v>284965</v>
      </c>
      <c r="I21" s="3"/>
      <c r="J21" s="28"/>
      <c r="K21" s="3">
        <v>777077</v>
      </c>
      <c r="L21" s="38">
        <f>AVERAGE(K21:K23)</f>
        <v>765632.33333333337</v>
      </c>
      <c r="M21" s="3">
        <v>76920</v>
      </c>
      <c r="N21" s="38">
        <f>AVERAGE(M21:M23)</f>
        <v>76553</v>
      </c>
      <c r="O21" s="3">
        <v>1341613</v>
      </c>
      <c r="P21" s="38">
        <f>AVERAGE(O21:O23)</f>
        <v>1350196.3333333333</v>
      </c>
      <c r="Q21" s="3">
        <v>969011</v>
      </c>
      <c r="R21" s="38">
        <f>AVERAGE(Q21:Q23)</f>
        <v>974365.66666666663</v>
      </c>
      <c r="S21" s="3">
        <v>1430133</v>
      </c>
      <c r="T21" s="28">
        <f>AVERAGE(S21:S23)</f>
        <v>1457073</v>
      </c>
      <c r="U21" s="3">
        <v>20735</v>
      </c>
      <c r="V21" s="38">
        <f>AVERAGE(U21:U23)</f>
        <v>20501.333333333332</v>
      </c>
      <c r="W21" s="3">
        <v>75128</v>
      </c>
      <c r="X21" s="38">
        <f>AVERAGE(W21:W23)</f>
        <v>78398</v>
      </c>
      <c r="Y21" s="3">
        <v>81476</v>
      </c>
      <c r="Z21" s="38">
        <f>AVERAGE(Y21:Y23)</f>
        <v>80833.333333333328</v>
      </c>
      <c r="AA21" s="20"/>
    </row>
    <row r="22" spans="2:27" x14ac:dyDescent="0.4">
      <c r="B22" s="35"/>
      <c r="C22" s="32"/>
      <c r="D22" s="32"/>
      <c r="E22" s="3">
        <v>53904</v>
      </c>
      <c r="F22" s="38"/>
      <c r="G22" s="3">
        <v>282662</v>
      </c>
      <c r="H22" s="38"/>
      <c r="I22" s="3"/>
      <c r="J22" s="28"/>
      <c r="K22" s="3">
        <v>776675</v>
      </c>
      <c r="L22" s="38"/>
      <c r="M22" s="3">
        <v>78594</v>
      </c>
      <c r="N22" s="38"/>
      <c r="O22" s="3">
        <v>1351056</v>
      </c>
      <c r="P22" s="38"/>
      <c r="Q22" s="3">
        <v>979099</v>
      </c>
      <c r="R22" s="38"/>
      <c r="S22" s="3">
        <v>1511408</v>
      </c>
      <c r="T22" s="28"/>
      <c r="U22" s="3">
        <v>20752</v>
      </c>
      <c r="V22" s="38"/>
      <c r="W22" s="3">
        <v>81617</v>
      </c>
      <c r="X22" s="38"/>
      <c r="Y22" s="3">
        <v>83634</v>
      </c>
      <c r="Z22" s="38"/>
      <c r="AA22" s="20"/>
    </row>
    <row r="23" spans="2:27" x14ac:dyDescent="0.4">
      <c r="B23" s="35"/>
      <c r="C23" s="32"/>
      <c r="D23" s="32"/>
      <c r="E23" s="3">
        <v>51788</v>
      </c>
      <c r="F23" s="38"/>
      <c r="G23" s="3">
        <v>285196</v>
      </c>
      <c r="H23" s="38"/>
      <c r="I23" s="3"/>
      <c r="J23" s="28"/>
      <c r="K23" s="3">
        <v>743145</v>
      </c>
      <c r="L23" s="38"/>
      <c r="M23" s="3">
        <v>74145</v>
      </c>
      <c r="N23" s="38"/>
      <c r="O23" s="3">
        <v>1357920</v>
      </c>
      <c r="P23" s="38"/>
      <c r="Q23" s="3">
        <v>974987</v>
      </c>
      <c r="R23" s="38"/>
      <c r="S23" s="3">
        <v>1429678</v>
      </c>
      <c r="T23" s="28"/>
      <c r="U23" s="3">
        <v>20017</v>
      </c>
      <c r="V23" s="38"/>
      <c r="W23" s="3">
        <v>78449</v>
      </c>
      <c r="X23" s="38"/>
      <c r="Y23" s="3">
        <v>77390</v>
      </c>
      <c r="Z23" s="38"/>
      <c r="AA23" s="20"/>
    </row>
    <row r="24" spans="2:27" x14ac:dyDescent="0.4">
      <c r="B24" s="35"/>
      <c r="C24" s="32">
        <v>400</v>
      </c>
      <c r="D24" s="32">
        <v>2000</v>
      </c>
      <c r="E24" s="3">
        <v>29483</v>
      </c>
      <c r="F24" s="38">
        <f>AVERAGE(E24:E26)</f>
        <v>28503.333333333332</v>
      </c>
      <c r="G24" s="3">
        <v>154370</v>
      </c>
      <c r="H24" s="38">
        <f>AVERAGE(G24:G26)</f>
        <v>150402.66666666666</v>
      </c>
      <c r="I24" s="3"/>
      <c r="J24" s="28"/>
      <c r="K24" s="3">
        <v>361069</v>
      </c>
      <c r="L24" s="38">
        <f>AVERAGE(K24:K26)</f>
        <v>360480</v>
      </c>
      <c r="M24" s="3">
        <v>38704</v>
      </c>
      <c r="N24" s="38">
        <f>AVERAGE(M24:M26)</f>
        <v>37387.333333333336</v>
      </c>
      <c r="O24" s="3">
        <v>735377</v>
      </c>
      <c r="P24" s="38">
        <f>AVERAGE(O24:O26)</f>
        <v>737307</v>
      </c>
      <c r="Q24" s="3">
        <v>507492</v>
      </c>
      <c r="R24" s="38">
        <f>AVERAGE(Q24:Q26)</f>
        <v>518981.66666666669</v>
      </c>
      <c r="S24" s="3">
        <v>715461</v>
      </c>
      <c r="T24" s="38">
        <f>AVERAGE(S24:S26)</f>
        <v>710533</v>
      </c>
      <c r="U24" s="3">
        <v>11281</v>
      </c>
      <c r="V24" s="38">
        <f>AVERAGE(U24:U26)</f>
        <v>11499.666666666666</v>
      </c>
      <c r="W24" s="3">
        <v>38381</v>
      </c>
      <c r="X24" s="38">
        <f>AVERAGE(W24:W26)</f>
        <v>38473.333333333336</v>
      </c>
      <c r="Y24" s="3">
        <v>38543</v>
      </c>
      <c r="Z24" s="38">
        <f>AVERAGE(Y24:Y26)</f>
        <v>38456</v>
      </c>
      <c r="AA24" s="20"/>
    </row>
    <row r="25" spans="2:27" x14ac:dyDescent="0.4">
      <c r="B25" s="35"/>
      <c r="C25" s="32"/>
      <c r="D25" s="32"/>
      <c r="E25" s="3">
        <v>29192</v>
      </c>
      <c r="F25" s="38"/>
      <c r="G25" s="3">
        <v>150385</v>
      </c>
      <c r="H25" s="38"/>
      <c r="I25" s="3"/>
      <c r="J25" s="28"/>
      <c r="K25" s="3">
        <v>340663</v>
      </c>
      <c r="L25" s="38"/>
      <c r="M25" s="3">
        <v>35013</v>
      </c>
      <c r="N25" s="38"/>
      <c r="O25" s="3">
        <v>734244</v>
      </c>
      <c r="P25" s="38"/>
      <c r="Q25" s="3">
        <v>512908</v>
      </c>
      <c r="R25" s="38"/>
      <c r="S25" s="3">
        <v>713746</v>
      </c>
      <c r="T25" s="38"/>
      <c r="U25" s="3">
        <v>12298</v>
      </c>
      <c r="V25" s="38"/>
      <c r="W25" s="3">
        <v>39225</v>
      </c>
      <c r="X25" s="38"/>
      <c r="Y25" s="3">
        <v>37935</v>
      </c>
      <c r="Z25" s="38"/>
      <c r="AA25" s="20"/>
    </row>
    <row r="26" spans="2:27" x14ac:dyDescent="0.4">
      <c r="B26" s="35"/>
      <c r="C26" s="32"/>
      <c r="D26" s="32"/>
      <c r="E26" s="3">
        <v>26835</v>
      </c>
      <c r="F26" s="38"/>
      <c r="G26" s="3">
        <v>146453</v>
      </c>
      <c r="H26" s="38"/>
      <c r="I26" s="3"/>
      <c r="J26" s="28"/>
      <c r="K26" s="3">
        <v>379708</v>
      </c>
      <c r="L26" s="38"/>
      <c r="M26" s="3">
        <v>38445</v>
      </c>
      <c r="N26" s="38"/>
      <c r="O26" s="3">
        <v>742300</v>
      </c>
      <c r="P26" s="38"/>
      <c r="Q26" s="3">
        <v>536545</v>
      </c>
      <c r="R26" s="38"/>
      <c r="S26" s="3">
        <v>702392</v>
      </c>
      <c r="T26" s="38"/>
      <c r="U26" s="3">
        <v>10920</v>
      </c>
      <c r="V26" s="38"/>
      <c r="W26" s="3">
        <v>37814</v>
      </c>
      <c r="X26" s="38"/>
      <c r="Y26" s="3">
        <v>38890</v>
      </c>
      <c r="Z26" s="38"/>
      <c r="AA26" s="20"/>
    </row>
    <row r="27" spans="2:27" x14ac:dyDescent="0.4">
      <c r="B27" s="35"/>
      <c r="C27" s="32">
        <v>200</v>
      </c>
      <c r="D27" s="32">
        <v>1000</v>
      </c>
      <c r="E27" s="3">
        <v>15314</v>
      </c>
      <c r="F27" s="38">
        <f>AVERAGE(E27:E29)</f>
        <v>14310.333333333334</v>
      </c>
      <c r="G27" s="3">
        <v>74835</v>
      </c>
      <c r="H27" s="38">
        <f>AVERAGE(G27:G29)</f>
        <v>74550.333333333328</v>
      </c>
      <c r="I27" s="3"/>
      <c r="J27" s="28"/>
      <c r="K27" s="3">
        <v>167831</v>
      </c>
      <c r="L27" s="38">
        <f>AVERAGE(K27:K29)</f>
        <v>162203.33333333334</v>
      </c>
      <c r="M27" s="3">
        <v>22445</v>
      </c>
      <c r="N27" s="38">
        <f>AVERAGE(M27:M29)</f>
        <v>20604.333333333332</v>
      </c>
      <c r="O27" s="3">
        <v>401048</v>
      </c>
      <c r="P27" s="38">
        <f>AVERAGE(O27:O29)</f>
        <v>388155.66666666669</v>
      </c>
      <c r="Q27" s="3">
        <v>287500</v>
      </c>
      <c r="R27" s="38">
        <f>AVERAGE(Q27:Q29)</f>
        <v>281990</v>
      </c>
      <c r="S27" s="3">
        <v>340781</v>
      </c>
      <c r="T27" s="38">
        <f>AVERAGE(S27:S29)</f>
        <v>343014.33333333331</v>
      </c>
      <c r="U27" s="3">
        <v>6022</v>
      </c>
      <c r="V27" s="38">
        <f>AVERAGE(U27:U29)</f>
        <v>5830.666666666667</v>
      </c>
      <c r="W27" s="3">
        <v>19560</v>
      </c>
      <c r="X27" s="38">
        <f>AVERAGE(W27:W29)</f>
        <v>19421.666666666668</v>
      </c>
      <c r="Y27" s="3">
        <v>20447</v>
      </c>
      <c r="Z27" s="38">
        <f>AVERAGE(Y27:Y29)</f>
        <v>18799</v>
      </c>
      <c r="AA27" s="20"/>
    </row>
    <row r="28" spans="2:27" x14ac:dyDescent="0.4">
      <c r="B28" s="35"/>
      <c r="C28" s="32"/>
      <c r="D28" s="32"/>
      <c r="E28" s="3">
        <v>13655</v>
      </c>
      <c r="F28" s="38"/>
      <c r="G28" s="3">
        <v>75317</v>
      </c>
      <c r="H28" s="38"/>
      <c r="I28" s="3"/>
      <c r="J28" s="28"/>
      <c r="K28" s="3">
        <v>160572</v>
      </c>
      <c r="L28" s="38"/>
      <c r="M28" s="3">
        <v>22040</v>
      </c>
      <c r="N28" s="38"/>
      <c r="O28" s="3">
        <v>377827</v>
      </c>
      <c r="P28" s="38"/>
      <c r="Q28" s="3">
        <v>272548</v>
      </c>
      <c r="R28" s="38"/>
      <c r="S28" s="3">
        <v>348332</v>
      </c>
      <c r="T28" s="38"/>
      <c r="U28" s="3">
        <v>5297</v>
      </c>
      <c r="V28" s="38"/>
      <c r="W28" s="3">
        <v>18974</v>
      </c>
      <c r="X28" s="38"/>
      <c r="Y28" s="3">
        <v>17537</v>
      </c>
      <c r="Z28" s="38"/>
      <c r="AA28" s="20"/>
    </row>
    <row r="29" spans="2:27" x14ac:dyDescent="0.4">
      <c r="B29" s="35"/>
      <c r="C29" s="32"/>
      <c r="D29" s="32"/>
      <c r="E29" s="3">
        <v>13962</v>
      </c>
      <c r="F29" s="38"/>
      <c r="G29" s="3">
        <v>73499</v>
      </c>
      <c r="H29" s="38"/>
      <c r="I29" s="3"/>
      <c r="J29" s="28"/>
      <c r="K29" s="3">
        <v>158207</v>
      </c>
      <c r="L29" s="38"/>
      <c r="M29" s="3">
        <v>17328</v>
      </c>
      <c r="N29" s="38"/>
      <c r="O29" s="3">
        <v>385592</v>
      </c>
      <c r="P29" s="38"/>
      <c r="Q29" s="3">
        <v>285922</v>
      </c>
      <c r="R29" s="38"/>
      <c r="S29" s="3">
        <v>339930</v>
      </c>
      <c r="T29" s="38"/>
      <c r="U29" s="3">
        <v>6173</v>
      </c>
      <c r="V29" s="38"/>
      <c r="W29" s="3">
        <v>19731</v>
      </c>
      <c r="X29" s="38"/>
      <c r="Y29" s="3">
        <v>18413</v>
      </c>
      <c r="Z29" s="38"/>
      <c r="AA29" s="20"/>
    </row>
    <row r="30" spans="2:27" x14ac:dyDescent="0.4">
      <c r="B30" s="35"/>
      <c r="C30" s="32">
        <v>100</v>
      </c>
      <c r="D30" s="32">
        <v>500</v>
      </c>
      <c r="E30" s="3">
        <v>7986</v>
      </c>
      <c r="F30" s="38">
        <f>AVERAGE(E30:E32)</f>
        <v>7970.333333333333</v>
      </c>
      <c r="G30" s="3">
        <v>39501</v>
      </c>
      <c r="H30" s="38">
        <f>AVERAGE(G30:G32)</f>
        <v>38428.666666666664</v>
      </c>
      <c r="I30" s="3"/>
      <c r="J30" s="28"/>
      <c r="K30" s="3">
        <v>76096</v>
      </c>
      <c r="L30" s="38">
        <f>AVERAGE(K30:K32)</f>
        <v>77269.666666666672</v>
      </c>
      <c r="M30" s="3">
        <v>9693</v>
      </c>
      <c r="N30" s="38">
        <f>AVERAGE(M30:M32)</f>
        <v>9173</v>
      </c>
      <c r="O30" s="3">
        <v>192218</v>
      </c>
      <c r="P30" s="38">
        <f>AVERAGE(O30:O32)</f>
        <v>193533</v>
      </c>
      <c r="Q30" s="3">
        <v>139120</v>
      </c>
      <c r="R30" s="38">
        <f>AVERAGE(Q30:Q32)</f>
        <v>141675</v>
      </c>
      <c r="S30" s="3">
        <v>165595</v>
      </c>
      <c r="T30" s="38">
        <f>AVERAGE(S30:S32)</f>
        <v>165696.66666666666</v>
      </c>
      <c r="U30" s="3">
        <v>2711</v>
      </c>
      <c r="V30" s="38">
        <f>AVERAGE(U30:U32)</f>
        <v>2860.5</v>
      </c>
      <c r="W30" s="3">
        <v>8953</v>
      </c>
      <c r="X30" s="38">
        <f>AVERAGE(W30:W32)</f>
        <v>8980.3333333333339</v>
      </c>
      <c r="Y30" s="3">
        <v>9532</v>
      </c>
      <c r="Z30" s="38">
        <f>AVERAGE(Y30:Y32)</f>
        <v>9141</v>
      </c>
      <c r="AA30" s="20"/>
    </row>
    <row r="31" spans="2:27" x14ac:dyDescent="0.4">
      <c r="B31" s="35"/>
      <c r="C31" s="32"/>
      <c r="D31" s="32"/>
      <c r="E31" s="3">
        <v>7340</v>
      </c>
      <c r="F31" s="38"/>
      <c r="G31" s="3">
        <v>37900</v>
      </c>
      <c r="H31" s="38"/>
      <c r="I31" s="3"/>
      <c r="J31" s="28"/>
      <c r="K31" s="3">
        <v>73499</v>
      </c>
      <c r="L31" s="38"/>
      <c r="M31" s="3">
        <v>6995</v>
      </c>
      <c r="N31" s="38"/>
      <c r="O31" s="3">
        <v>192866</v>
      </c>
      <c r="P31" s="38"/>
      <c r="Q31" s="3">
        <v>140867</v>
      </c>
      <c r="R31" s="38"/>
      <c r="S31" s="3">
        <v>162656</v>
      </c>
      <c r="T31" s="38"/>
      <c r="U31" s="3">
        <v>3010</v>
      </c>
      <c r="V31" s="38"/>
      <c r="W31" s="3">
        <v>9204</v>
      </c>
      <c r="X31" s="38"/>
      <c r="Y31" s="3">
        <v>8224</v>
      </c>
      <c r="Z31" s="38"/>
      <c r="AA31" s="20"/>
    </row>
    <row r="32" spans="2:27" x14ac:dyDescent="0.4">
      <c r="B32" s="35"/>
      <c r="C32" s="32"/>
      <c r="D32" s="32"/>
      <c r="E32" s="3">
        <v>8585</v>
      </c>
      <c r="F32" s="38"/>
      <c r="G32" s="3">
        <v>37885</v>
      </c>
      <c r="H32" s="38"/>
      <c r="I32" s="3"/>
      <c r="J32" s="28"/>
      <c r="K32" s="3">
        <v>82214</v>
      </c>
      <c r="L32" s="38"/>
      <c r="M32" s="3">
        <v>10831</v>
      </c>
      <c r="N32" s="38"/>
      <c r="O32" s="3">
        <v>195515</v>
      </c>
      <c r="P32" s="38"/>
      <c r="Q32" s="3">
        <v>145038</v>
      </c>
      <c r="R32" s="38"/>
      <c r="S32" s="3">
        <v>168839</v>
      </c>
      <c r="T32" s="38"/>
      <c r="U32" s="3"/>
      <c r="V32" s="38"/>
      <c r="W32" s="3">
        <v>8784</v>
      </c>
      <c r="X32" s="38"/>
      <c r="Y32" s="3">
        <v>9667</v>
      </c>
      <c r="Z32" s="38"/>
      <c r="AA32" s="20"/>
    </row>
    <row r="33" spans="2:27" x14ac:dyDescent="0.4">
      <c r="B33" s="35"/>
      <c r="C33" s="32">
        <v>80</v>
      </c>
      <c r="D33" s="32">
        <v>400</v>
      </c>
      <c r="E33" s="3">
        <v>1944</v>
      </c>
      <c r="F33" s="38">
        <f>AVERAGE(E33:E35)</f>
        <v>1289.3333333333333</v>
      </c>
      <c r="G33" s="3">
        <v>6561</v>
      </c>
      <c r="H33" s="38">
        <f>AVERAGE(G33:G35)</f>
        <v>7487.333333333333</v>
      </c>
      <c r="I33" s="3"/>
      <c r="J33" s="28"/>
      <c r="K33" s="3">
        <v>13903</v>
      </c>
      <c r="L33" s="38">
        <f>AVERAGE(K33:K35)</f>
        <v>14063</v>
      </c>
      <c r="M33" s="3"/>
      <c r="N33" s="28"/>
      <c r="O33" s="3">
        <v>40390</v>
      </c>
      <c r="P33" s="38">
        <f>AVERAGE(O33:O35)</f>
        <v>39077.333333333336</v>
      </c>
      <c r="Q33" s="3">
        <v>29361</v>
      </c>
      <c r="R33" s="38">
        <f>AVERAGE(Q33:Q35)</f>
        <v>28878</v>
      </c>
      <c r="S33" s="3">
        <v>35025</v>
      </c>
      <c r="T33" s="38">
        <f>AVERAGE(S33:S35)</f>
        <v>33694.333333333336</v>
      </c>
      <c r="U33" s="3"/>
      <c r="V33" s="28"/>
      <c r="W33" s="3"/>
      <c r="X33" s="29">
        <f>AVERAGE(W33:W35)</f>
        <v>1731</v>
      </c>
      <c r="Y33" s="3">
        <v>1847</v>
      </c>
      <c r="Z33" s="38"/>
      <c r="AA33" s="20"/>
    </row>
    <row r="34" spans="2:27" x14ac:dyDescent="0.4">
      <c r="B34" s="35"/>
      <c r="C34" s="32"/>
      <c r="D34" s="32"/>
      <c r="E34" s="3">
        <v>1035</v>
      </c>
      <c r="F34" s="38"/>
      <c r="G34" s="3">
        <v>8573</v>
      </c>
      <c r="H34" s="38"/>
      <c r="I34" s="3"/>
      <c r="J34" s="28"/>
      <c r="K34" s="3">
        <v>13052</v>
      </c>
      <c r="L34" s="38"/>
      <c r="M34" s="3"/>
      <c r="N34" s="28"/>
      <c r="O34" s="3">
        <v>38571</v>
      </c>
      <c r="P34" s="38"/>
      <c r="Q34" s="3">
        <v>28647</v>
      </c>
      <c r="R34" s="38"/>
      <c r="S34" s="3">
        <v>32444</v>
      </c>
      <c r="T34" s="38"/>
      <c r="U34" s="3"/>
      <c r="V34" s="28"/>
      <c r="W34" s="3">
        <v>1356</v>
      </c>
      <c r="X34" s="29"/>
      <c r="Y34" s="3">
        <v>1589</v>
      </c>
      <c r="Z34" s="38"/>
      <c r="AA34" s="20"/>
    </row>
    <row r="35" spans="2:27" x14ac:dyDescent="0.4">
      <c r="B35" s="35"/>
      <c r="C35" s="32"/>
      <c r="D35" s="32"/>
      <c r="E35" s="3">
        <v>889</v>
      </c>
      <c r="F35" s="38"/>
      <c r="G35" s="3">
        <v>7328</v>
      </c>
      <c r="H35" s="38"/>
      <c r="I35" s="3"/>
      <c r="J35" s="28"/>
      <c r="K35" s="3">
        <v>15234</v>
      </c>
      <c r="L35" s="38"/>
      <c r="M35" s="3"/>
      <c r="N35" s="28"/>
      <c r="O35" s="3">
        <v>38271</v>
      </c>
      <c r="P35" s="38"/>
      <c r="Q35" s="3">
        <v>28626</v>
      </c>
      <c r="R35" s="38"/>
      <c r="S35" s="3">
        <v>33614</v>
      </c>
      <c r="T35" s="38"/>
      <c r="U35" s="3"/>
      <c r="V35" s="28"/>
      <c r="W35" s="3">
        <v>2106</v>
      </c>
      <c r="X35" s="29"/>
      <c r="Y35" s="3">
        <v>2144</v>
      </c>
      <c r="Z35" s="38"/>
      <c r="AA35" s="20"/>
    </row>
    <row r="36" spans="2:27" x14ac:dyDescent="0.4">
      <c r="B36" s="35"/>
      <c r="C36" s="32">
        <v>40</v>
      </c>
      <c r="D36" s="32">
        <v>200</v>
      </c>
      <c r="E36" s="3">
        <v>348</v>
      </c>
      <c r="F36" s="38">
        <f>AVERAGE(E36:E38)</f>
        <v>511.33333333333331</v>
      </c>
      <c r="G36" s="3">
        <v>5734</v>
      </c>
      <c r="H36" s="38">
        <f>AVERAGE(G36:G38)</f>
        <v>3989.3333333333335</v>
      </c>
      <c r="I36" s="3"/>
      <c r="J36" s="28"/>
      <c r="K36" s="3">
        <v>7787</v>
      </c>
      <c r="L36" s="38">
        <f>AVERAGE(K36:K38)</f>
        <v>7762.333333333333</v>
      </c>
      <c r="M36" s="3"/>
      <c r="N36" s="28"/>
      <c r="O36" s="3">
        <v>21532</v>
      </c>
      <c r="P36" s="38">
        <f>AVERAGE(O36:O38)</f>
        <v>20682.666666666668</v>
      </c>
      <c r="Q36" s="3">
        <v>15122</v>
      </c>
      <c r="R36" s="38">
        <f>AVERAGE(Q36:Q38)</f>
        <v>15547</v>
      </c>
      <c r="S36" s="3">
        <v>18564</v>
      </c>
      <c r="T36" s="38">
        <f>AVERAGE(S36:S38)</f>
        <v>18150.666666666668</v>
      </c>
      <c r="U36" s="3"/>
      <c r="V36" s="28"/>
      <c r="W36" s="3">
        <v>1144</v>
      </c>
      <c r="X36" s="29">
        <f>AVERAGE(W36:W38)</f>
        <v>1120</v>
      </c>
      <c r="Y36" s="3">
        <v>851</v>
      </c>
      <c r="Z36" s="38">
        <f>AVERAGE(Y36:Y38)</f>
        <v>886.66666666666663</v>
      </c>
      <c r="AA36" s="20"/>
    </row>
    <row r="37" spans="2:27" x14ac:dyDescent="0.4">
      <c r="B37" s="35"/>
      <c r="C37" s="32"/>
      <c r="D37" s="32"/>
      <c r="E37" s="3">
        <v>647</v>
      </c>
      <c r="F37" s="38"/>
      <c r="G37" s="3">
        <v>2859</v>
      </c>
      <c r="H37" s="38"/>
      <c r="I37" s="3"/>
      <c r="J37" s="28"/>
      <c r="K37" s="3">
        <v>7845</v>
      </c>
      <c r="L37" s="38"/>
      <c r="M37" s="3"/>
      <c r="N37" s="28"/>
      <c r="O37" s="3">
        <v>19886</v>
      </c>
      <c r="P37" s="38"/>
      <c r="Q37" s="3">
        <v>14802</v>
      </c>
      <c r="R37" s="38"/>
      <c r="S37" s="3">
        <v>17440</v>
      </c>
      <c r="T37" s="38"/>
      <c r="U37" s="3"/>
      <c r="V37" s="28"/>
      <c r="W37" s="3">
        <v>1156</v>
      </c>
      <c r="X37" s="29"/>
      <c r="Y37" s="3">
        <v>1045</v>
      </c>
      <c r="Z37" s="38"/>
      <c r="AA37" s="20"/>
    </row>
    <row r="38" spans="2:27" x14ac:dyDescent="0.4">
      <c r="B38" s="35"/>
      <c r="C38" s="32"/>
      <c r="D38" s="32"/>
      <c r="E38" s="3">
        <v>539</v>
      </c>
      <c r="F38" s="38"/>
      <c r="G38" s="3">
        <v>3375</v>
      </c>
      <c r="H38" s="38"/>
      <c r="I38" s="3"/>
      <c r="J38" s="28"/>
      <c r="K38" s="3">
        <v>7655</v>
      </c>
      <c r="L38" s="38"/>
      <c r="M38" s="3"/>
      <c r="N38" s="28"/>
      <c r="O38" s="3">
        <v>20630</v>
      </c>
      <c r="P38" s="38"/>
      <c r="Q38" s="3">
        <v>16717</v>
      </c>
      <c r="R38" s="38"/>
      <c r="S38" s="3">
        <v>18448</v>
      </c>
      <c r="T38" s="38"/>
      <c r="U38" s="3"/>
      <c r="V38" s="28"/>
      <c r="W38" s="3">
        <v>1060</v>
      </c>
      <c r="X38" s="29"/>
      <c r="Y38" s="3">
        <v>764</v>
      </c>
      <c r="Z38" s="38"/>
      <c r="AA38" s="20"/>
    </row>
    <row r="39" spans="2:27" x14ac:dyDescent="0.4">
      <c r="B39" s="35"/>
      <c r="C39" s="32">
        <v>20</v>
      </c>
      <c r="D39" s="32">
        <v>100</v>
      </c>
      <c r="E39" s="3"/>
      <c r="F39" s="28"/>
      <c r="G39" s="3"/>
      <c r="H39" s="28"/>
      <c r="I39" s="3"/>
      <c r="J39" s="28"/>
      <c r="K39" s="3">
        <v>4383</v>
      </c>
      <c r="L39" s="38">
        <f>AVERAGE(K39:K41)</f>
        <v>3850.3333333333335</v>
      </c>
      <c r="M39" s="3"/>
      <c r="N39" s="28"/>
      <c r="O39" s="3">
        <v>9219</v>
      </c>
      <c r="P39" s="38">
        <f>AVERAGE(O39:O41)</f>
        <v>10026.333333333334</v>
      </c>
      <c r="Q39" s="3">
        <v>7861</v>
      </c>
      <c r="R39" s="38">
        <f>AVERAGE(Q39:Q41)</f>
        <v>7132</v>
      </c>
      <c r="S39" s="3">
        <v>8941</v>
      </c>
      <c r="T39" s="38">
        <f>AVERAGE(S39:S41)</f>
        <v>8941.3333333333339</v>
      </c>
      <c r="U39" s="3"/>
      <c r="V39" s="28"/>
      <c r="W39" s="3">
        <v>358</v>
      </c>
      <c r="X39" s="28"/>
      <c r="Y39" s="3">
        <v>690</v>
      </c>
      <c r="Z39" s="28"/>
      <c r="AA39" s="6"/>
    </row>
    <row r="40" spans="2:27" x14ac:dyDescent="0.4">
      <c r="B40" s="35"/>
      <c r="C40" s="32"/>
      <c r="D40" s="32"/>
      <c r="E40" s="3"/>
      <c r="F40" s="28"/>
      <c r="G40" s="3"/>
      <c r="H40" s="28"/>
      <c r="I40" s="3"/>
      <c r="J40" s="28"/>
      <c r="K40" s="3">
        <v>3015</v>
      </c>
      <c r="L40" s="38"/>
      <c r="M40" s="3"/>
      <c r="N40" s="28"/>
      <c r="O40" s="3">
        <v>10016</v>
      </c>
      <c r="P40" s="38"/>
      <c r="Q40" s="3">
        <v>6512</v>
      </c>
      <c r="R40" s="38"/>
      <c r="S40" s="3">
        <v>9241</v>
      </c>
      <c r="T40" s="38"/>
      <c r="U40" s="3"/>
      <c r="V40" s="28"/>
      <c r="W40" s="3"/>
      <c r="X40" s="28"/>
      <c r="Y40" s="3"/>
      <c r="Z40" s="28"/>
      <c r="AA40" s="6"/>
    </row>
    <row r="41" spans="2:27" x14ac:dyDescent="0.4">
      <c r="B41" s="35"/>
      <c r="C41" s="32"/>
      <c r="D41" s="32"/>
      <c r="E41" s="3"/>
      <c r="F41" s="28"/>
      <c r="G41" s="3"/>
      <c r="H41" s="28"/>
      <c r="I41" s="3"/>
      <c r="J41" s="28"/>
      <c r="K41" s="3">
        <v>4153</v>
      </c>
      <c r="L41" s="38"/>
      <c r="M41" s="3"/>
      <c r="N41" s="28"/>
      <c r="O41" s="3">
        <v>10844</v>
      </c>
      <c r="P41" s="38"/>
      <c r="Q41" s="3">
        <v>7023</v>
      </c>
      <c r="R41" s="38"/>
      <c r="S41" s="3">
        <v>8642</v>
      </c>
      <c r="T41" s="38"/>
      <c r="U41" s="3"/>
      <c r="V41" s="28"/>
      <c r="W41" s="3"/>
      <c r="X41" s="28"/>
      <c r="Y41" s="3"/>
      <c r="Z41" s="28"/>
      <c r="AA41" s="6"/>
    </row>
    <row r="42" spans="2:27" x14ac:dyDescent="0.4">
      <c r="B42" s="35"/>
      <c r="C42" s="32">
        <v>10</v>
      </c>
      <c r="D42" s="32">
        <v>50</v>
      </c>
      <c r="E42" s="3"/>
      <c r="F42" s="28"/>
      <c r="G42" s="3"/>
      <c r="H42" s="28"/>
      <c r="I42" s="3"/>
      <c r="J42" s="28"/>
      <c r="K42" s="3">
        <v>1910</v>
      </c>
      <c r="L42" s="38">
        <f>AVERAGE(K42:K44)</f>
        <v>2042.6666666666667</v>
      </c>
      <c r="M42" s="3"/>
      <c r="N42" s="28"/>
      <c r="O42" s="3">
        <v>5209</v>
      </c>
      <c r="P42" s="38">
        <f>AVERAGE(O42:O44)</f>
        <v>5399</v>
      </c>
      <c r="Q42" s="3">
        <v>4931</v>
      </c>
      <c r="R42" s="38">
        <f>AVERAGE(Q42:Q44)</f>
        <v>4254.666666666667</v>
      </c>
      <c r="S42" s="3">
        <v>3214</v>
      </c>
      <c r="T42" s="38">
        <f>AVERAGE(S42:S44)</f>
        <v>4312.333333333333</v>
      </c>
      <c r="U42" s="3"/>
      <c r="V42" s="28"/>
      <c r="W42" s="3"/>
      <c r="X42" s="28"/>
      <c r="Y42" s="3"/>
      <c r="Z42" s="28"/>
      <c r="AA42" s="6"/>
    </row>
    <row r="43" spans="2:27" x14ac:dyDescent="0.4">
      <c r="B43" s="35"/>
      <c r="C43" s="32"/>
      <c r="D43" s="32"/>
      <c r="E43" s="3"/>
      <c r="F43" s="28"/>
      <c r="G43" s="3"/>
      <c r="H43" s="28"/>
      <c r="I43" s="3"/>
      <c r="J43" s="28"/>
      <c r="K43" s="3">
        <v>1934</v>
      </c>
      <c r="L43" s="38"/>
      <c r="M43" s="3"/>
      <c r="N43" s="28"/>
      <c r="O43" s="3">
        <v>5746</v>
      </c>
      <c r="P43" s="38"/>
      <c r="Q43" s="3">
        <v>3720</v>
      </c>
      <c r="R43" s="38"/>
      <c r="S43" s="3">
        <v>4772</v>
      </c>
      <c r="T43" s="38"/>
      <c r="U43" s="3"/>
      <c r="V43" s="28"/>
      <c r="W43" s="3"/>
      <c r="X43" s="28"/>
      <c r="Y43" s="3"/>
      <c r="Z43" s="28"/>
      <c r="AA43" s="6"/>
    </row>
    <row r="44" spans="2:27" x14ac:dyDescent="0.4">
      <c r="B44" s="35"/>
      <c r="C44" s="32"/>
      <c r="D44" s="32"/>
      <c r="E44" s="3"/>
      <c r="F44" s="28"/>
      <c r="G44" s="3"/>
      <c r="H44" s="28"/>
      <c r="I44" s="3"/>
      <c r="J44" s="28"/>
      <c r="K44" s="3">
        <v>2284</v>
      </c>
      <c r="L44" s="38"/>
      <c r="M44" s="3"/>
      <c r="N44" s="28"/>
      <c r="O44" s="3">
        <v>5242</v>
      </c>
      <c r="P44" s="38"/>
      <c r="Q44" s="3">
        <v>4113</v>
      </c>
      <c r="R44" s="38"/>
      <c r="S44" s="3">
        <v>4951</v>
      </c>
      <c r="T44" s="38"/>
      <c r="U44" s="3"/>
      <c r="V44" s="28"/>
      <c r="W44" s="3"/>
      <c r="X44" s="28"/>
      <c r="Y44" s="3"/>
      <c r="Z44" s="28"/>
      <c r="AA44" s="6"/>
    </row>
    <row r="45" spans="2:27" x14ac:dyDescent="0.4">
      <c r="B45" s="35"/>
      <c r="C45" s="32">
        <v>5</v>
      </c>
      <c r="D45" s="32">
        <v>25</v>
      </c>
      <c r="E45" s="3"/>
      <c r="F45" s="28"/>
      <c r="G45" s="3"/>
      <c r="H45" s="28"/>
      <c r="I45" s="3"/>
      <c r="J45" s="6"/>
      <c r="K45" s="3">
        <v>1068</v>
      </c>
      <c r="L45" s="38">
        <f>AVERAGE(K45:K47)</f>
        <v>1160</v>
      </c>
      <c r="M45" s="3"/>
      <c r="N45" s="28"/>
      <c r="O45" s="3"/>
      <c r="P45" s="28"/>
      <c r="Q45" s="3"/>
      <c r="R45" s="28"/>
      <c r="S45" s="3"/>
      <c r="T45" s="28"/>
      <c r="U45" s="3"/>
      <c r="V45" s="28"/>
      <c r="W45" s="3"/>
      <c r="X45" s="6"/>
      <c r="Y45" s="3"/>
      <c r="Z45" s="28"/>
      <c r="AA45" s="6"/>
    </row>
    <row r="46" spans="2:27" x14ac:dyDescent="0.4">
      <c r="B46" s="35"/>
      <c r="C46" s="32"/>
      <c r="D46" s="32"/>
      <c r="F46" s="28"/>
      <c r="H46" s="28"/>
      <c r="K46" s="3">
        <v>1318</v>
      </c>
      <c r="L46" s="38"/>
      <c r="N46" s="28"/>
      <c r="P46" s="28"/>
      <c r="R46" s="28"/>
      <c r="T46" s="28"/>
      <c r="V46" s="28"/>
      <c r="Z46" s="28"/>
      <c r="AA46" s="6"/>
    </row>
    <row r="47" spans="2:27" ht="19.5" thickBot="1" x14ac:dyDescent="0.45">
      <c r="B47" s="36"/>
      <c r="C47" s="40"/>
      <c r="D47" s="40"/>
      <c r="E47" s="8"/>
      <c r="F47" s="39"/>
      <c r="G47" s="8"/>
      <c r="H47" s="39"/>
      <c r="I47" s="8"/>
      <c r="J47" s="8"/>
      <c r="K47" s="10">
        <v>1094</v>
      </c>
      <c r="L47" s="41"/>
      <c r="M47" s="8"/>
      <c r="N47" s="39"/>
      <c r="O47" s="8"/>
      <c r="P47" s="39"/>
      <c r="Q47" s="8"/>
      <c r="R47" s="39"/>
      <c r="S47" s="8"/>
      <c r="T47" s="39"/>
      <c r="U47" s="8"/>
      <c r="V47" s="39"/>
      <c r="W47" s="8"/>
      <c r="X47" s="8"/>
      <c r="Y47" s="8"/>
      <c r="Z47" s="39"/>
      <c r="AA47" s="6"/>
    </row>
    <row r="81" spans="9:9" ht="13.5" customHeight="1" x14ac:dyDescent="0.4"/>
    <row r="89" spans="9:9" x14ac:dyDescent="0.4">
      <c r="I89" s="9"/>
    </row>
    <row r="90" spans="9:9" x14ac:dyDescent="0.4">
      <c r="I90" s="9"/>
    </row>
  </sheetData>
  <mergeCells count="217">
    <mergeCell ref="V45:V47"/>
    <mergeCell ref="Z45:Z47"/>
    <mergeCell ref="C42:C44"/>
    <mergeCell ref="D42:D44"/>
    <mergeCell ref="F42:F44"/>
    <mergeCell ref="H42:H44"/>
    <mergeCell ref="J42:J44"/>
    <mergeCell ref="L42:L44"/>
    <mergeCell ref="N42:N44"/>
    <mergeCell ref="P42:P44"/>
    <mergeCell ref="Z42:Z44"/>
    <mergeCell ref="C45:C47"/>
    <mergeCell ref="D45:D47"/>
    <mergeCell ref="F45:F47"/>
    <mergeCell ref="H45:H47"/>
    <mergeCell ref="L45:L47"/>
    <mergeCell ref="N45:N47"/>
    <mergeCell ref="P45:P47"/>
    <mergeCell ref="R45:R47"/>
    <mergeCell ref="T45:T47"/>
    <mergeCell ref="N36:N38"/>
    <mergeCell ref="T42:T44"/>
    <mergeCell ref="V42:V44"/>
    <mergeCell ref="X42:X44"/>
    <mergeCell ref="R42:R44"/>
    <mergeCell ref="Z39:Z41"/>
    <mergeCell ref="N39:N41"/>
    <mergeCell ref="P39:P41"/>
    <mergeCell ref="R39:R41"/>
    <mergeCell ref="T39:T41"/>
    <mergeCell ref="V39:V41"/>
    <mergeCell ref="X39:X41"/>
    <mergeCell ref="T36:T38"/>
    <mergeCell ref="P36:P38"/>
    <mergeCell ref="R36:R38"/>
    <mergeCell ref="C39:C41"/>
    <mergeCell ref="D39:D41"/>
    <mergeCell ref="F39:F41"/>
    <mergeCell ref="H39:H41"/>
    <mergeCell ref="J39:J41"/>
    <mergeCell ref="L39:L41"/>
    <mergeCell ref="C30:C32"/>
    <mergeCell ref="D30:D32"/>
    <mergeCell ref="F30:F32"/>
    <mergeCell ref="H30:H32"/>
    <mergeCell ref="J30:J32"/>
    <mergeCell ref="C36:C38"/>
    <mergeCell ref="D36:D38"/>
    <mergeCell ref="F36:F38"/>
    <mergeCell ref="H36:H38"/>
    <mergeCell ref="J36:J38"/>
    <mergeCell ref="L36:L38"/>
    <mergeCell ref="N33:N35"/>
    <mergeCell ref="P33:P35"/>
    <mergeCell ref="R33:R35"/>
    <mergeCell ref="T33:T35"/>
    <mergeCell ref="V33:V35"/>
    <mergeCell ref="X33:X35"/>
    <mergeCell ref="C33:C35"/>
    <mergeCell ref="D33:D35"/>
    <mergeCell ref="F33:F35"/>
    <mergeCell ref="H33:H35"/>
    <mergeCell ref="J33:J35"/>
    <mergeCell ref="L33:L35"/>
    <mergeCell ref="Z30:Z32"/>
    <mergeCell ref="Z33:Z35"/>
    <mergeCell ref="V36:V38"/>
    <mergeCell ref="X36:X38"/>
    <mergeCell ref="Z36:Z38"/>
    <mergeCell ref="R27:R29"/>
    <mergeCell ref="T27:T29"/>
    <mergeCell ref="V27:V29"/>
    <mergeCell ref="X27:X29"/>
    <mergeCell ref="C24:C26"/>
    <mergeCell ref="D24:D26"/>
    <mergeCell ref="F24:F26"/>
    <mergeCell ref="Z24:Z26"/>
    <mergeCell ref="C27:C29"/>
    <mergeCell ref="D27:D29"/>
    <mergeCell ref="F27:F29"/>
    <mergeCell ref="H27:H29"/>
    <mergeCell ref="J27:J29"/>
    <mergeCell ref="L27:L29"/>
    <mergeCell ref="Z27:Z29"/>
    <mergeCell ref="N27:N29"/>
    <mergeCell ref="P27:P29"/>
    <mergeCell ref="H24:H26"/>
    <mergeCell ref="J24:J26"/>
    <mergeCell ref="L30:L32"/>
    <mergeCell ref="N30:N32"/>
    <mergeCell ref="P30:P32"/>
    <mergeCell ref="R30:R32"/>
    <mergeCell ref="T24:T26"/>
    <mergeCell ref="V24:V26"/>
    <mergeCell ref="X24:X26"/>
    <mergeCell ref="N18:N20"/>
    <mergeCell ref="P18:P20"/>
    <mergeCell ref="R18:R20"/>
    <mergeCell ref="L24:L26"/>
    <mergeCell ref="N24:N26"/>
    <mergeCell ref="P24:P26"/>
    <mergeCell ref="R24:R26"/>
    <mergeCell ref="R21:R23"/>
    <mergeCell ref="T21:T23"/>
    <mergeCell ref="V21:V23"/>
    <mergeCell ref="X21:X23"/>
    <mergeCell ref="T30:T32"/>
    <mergeCell ref="V30:V32"/>
    <mergeCell ref="X30:X32"/>
    <mergeCell ref="C18:C20"/>
    <mergeCell ref="D18:D20"/>
    <mergeCell ref="F18:F20"/>
    <mergeCell ref="H18:H20"/>
    <mergeCell ref="J18:J20"/>
    <mergeCell ref="L18:L20"/>
    <mergeCell ref="Z18:Z20"/>
    <mergeCell ref="C21:C23"/>
    <mergeCell ref="D21:D23"/>
    <mergeCell ref="F21:F23"/>
    <mergeCell ref="H21:H23"/>
    <mergeCell ref="J21:J23"/>
    <mergeCell ref="L21:L23"/>
    <mergeCell ref="Z21:Z23"/>
    <mergeCell ref="N21:N23"/>
    <mergeCell ref="P21:P23"/>
    <mergeCell ref="T18:T20"/>
    <mergeCell ref="V18:V20"/>
    <mergeCell ref="X18:X20"/>
    <mergeCell ref="D15:D17"/>
    <mergeCell ref="F15:F17"/>
    <mergeCell ref="H15:H17"/>
    <mergeCell ref="J15:J17"/>
    <mergeCell ref="L15:L17"/>
    <mergeCell ref="N9:N11"/>
    <mergeCell ref="P9:P11"/>
    <mergeCell ref="R9:R11"/>
    <mergeCell ref="Z15:Z17"/>
    <mergeCell ref="N15:N17"/>
    <mergeCell ref="P15:P17"/>
    <mergeCell ref="R15:R17"/>
    <mergeCell ref="T15:T17"/>
    <mergeCell ref="V15:V17"/>
    <mergeCell ref="X15:X17"/>
    <mergeCell ref="T12:T14"/>
    <mergeCell ref="V12:V14"/>
    <mergeCell ref="X12:X14"/>
    <mergeCell ref="Z12:Z14"/>
    <mergeCell ref="U8:V8"/>
    <mergeCell ref="W8:X8"/>
    <mergeCell ref="Y8:Z8"/>
    <mergeCell ref="B9:B47"/>
    <mergeCell ref="C9:C11"/>
    <mergeCell ref="D9:D11"/>
    <mergeCell ref="F9:F11"/>
    <mergeCell ref="H9:H11"/>
    <mergeCell ref="J9:J11"/>
    <mergeCell ref="L9:L11"/>
    <mergeCell ref="T9:T11"/>
    <mergeCell ref="V9:V11"/>
    <mergeCell ref="X9:X11"/>
    <mergeCell ref="Z9:Z11"/>
    <mergeCell ref="C12:C14"/>
    <mergeCell ref="D12:D14"/>
    <mergeCell ref="F12:F14"/>
    <mergeCell ref="H12:H14"/>
    <mergeCell ref="J12:J14"/>
    <mergeCell ref="L12:L14"/>
    <mergeCell ref="N12:N14"/>
    <mergeCell ref="P12:P14"/>
    <mergeCell ref="R12:R14"/>
    <mergeCell ref="C15:C17"/>
    <mergeCell ref="B8:D8"/>
    <mergeCell ref="E8:F8"/>
    <mergeCell ref="G8:H8"/>
    <mergeCell ref="I8:J8"/>
    <mergeCell ref="K8:L8"/>
    <mergeCell ref="M8:N8"/>
    <mergeCell ref="O8:P8"/>
    <mergeCell ref="Q8:R8"/>
    <mergeCell ref="S8:T8"/>
    <mergeCell ref="B6:D6"/>
    <mergeCell ref="E6:F6"/>
    <mergeCell ref="G6:H6"/>
    <mergeCell ref="I6:J6"/>
    <mergeCell ref="K6:L6"/>
    <mergeCell ref="M6:N6"/>
    <mergeCell ref="O6:P6"/>
    <mergeCell ref="Q6:R6"/>
    <mergeCell ref="B7:D7"/>
    <mergeCell ref="E7:F7"/>
    <mergeCell ref="G7:H7"/>
    <mergeCell ref="I7:J7"/>
    <mergeCell ref="K7:L7"/>
    <mergeCell ref="Y7:Z7"/>
    <mergeCell ref="M7:N7"/>
    <mergeCell ref="O7:P7"/>
    <mergeCell ref="Q7:R7"/>
    <mergeCell ref="S7:T7"/>
    <mergeCell ref="U4:V5"/>
    <mergeCell ref="W4:X5"/>
    <mergeCell ref="Y4:Z5"/>
    <mergeCell ref="U6:V6"/>
    <mergeCell ref="W6:X6"/>
    <mergeCell ref="Y6:Z6"/>
    <mergeCell ref="U7:V7"/>
    <mergeCell ref="W7:X7"/>
    <mergeCell ref="S6:T6"/>
    <mergeCell ref="B3:Z3"/>
    <mergeCell ref="B4:D5"/>
    <mergeCell ref="E4:F5"/>
    <mergeCell ref="G4:H5"/>
    <mergeCell ref="I4:J5"/>
    <mergeCell ref="K4:L5"/>
    <mergeCell ref="M4:N5"/>
    <mergeCell ref="O4:P5"/>
    <mergeCell ref="Q4:R5"/>
    <mergeCell ref="S4:T5"/>
  </mergeCells>
  <phoneticPr fontId="3"/>
  <pageMargins left="0.7" right="0.7" top="0.75" bottom="0.75" header="0.3" footer="0.3"/>
  <pageSetup paperSize="9" scale="21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891D0-1224-41C3-9459-BB0EB97DC510}">
  <dimension ref="B1:AR36"/>
  <sheetViews>
    <sheetView tabSelected="1" zoomScale="80" zoomScaleNormal="80" workbookViewId="0">
      <selection activeCell="J22" sqref="J22"/>
    </sheetView>
  </sheetViews>
  <sheetFormatPr defaultRowHeight="18.75" x14ac:dyDescent="0.4"/>
  <cols>
    <col min="6" max="6" width="11.875" bestFit="1" customWidth="1"/>
    <col min="7" max="7" width="7.875" bestFit="1" customWidth="1"/>
    <col min="8" max="8" width="7.5" customWidth="1"/>
    <col min="10" max="10" width="14.25" customWidth="1"/>
    <col min="16" max="16" width="14.375" customWidth="1"/>
    <col min="20" max="20" width="11.25" customWidth="1"/>
    <col min="24" max="24" width="15.375" customWidth="1"/>
    <col min="28" max="28" width="14.75" customWidth="1"/>
    <col min="32" max="32" width="14.875" customWidth="1"/>
    <col min="38" max="38" width="14.75" customWidth="1"/>
    <col min="42" max="42" width="13.875" customWidth="1"/>
  </cols>
  <sheetData>
    <row r="1" spans="2:44" ht="19.5" thickBot="1" x14ac:dyDescent="0.45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</row>
    <row r="2" spans="2:44" x14ac:dyDescent="0.4">
      <c r="B2" s="46" t="s">
        <v>3</v>
      </c>
      <c r="C2" s="46"/>
      <c r="D2" s="47"/>
      <c r="E2" s="50" t="s">
        <v>4</v>
      </c>
      <c r="F2" s="28"/>
      <c r="G2" s="28"/>
      <c r="H2" s="28"/>
      <c r="I2" s="50" t="s">
        <v>5</v>
      </c>
      <c r="J2" s="28"/>
      <c r="K2" s="28"/>
      <c r="L2" s="57"/>
      <c r="M2" s="28" t="s">
        <v>6</v>
      </c>
      <c r="N2" s="28"/>
      <c r="O2" s="53" t="s">
        <v>7</v>
      </c>
      <c r="P2" s="54"/>
      <c r="Q2" s="54"/>
      <c r="R2" s="54"/>
      <c r="S2" s="50" t="s">
        <v>8</v>
      </c>
      <c r="T2" s="28"/>
      <c r="U2" s="28"/>
      <c r="V2" s="28"/>
      <c r="W2" s="50" t="s">
        <v>9</v>
      </c>
      <c r="X2" s="28"/>
      <c r="Y2" s="28"/>
      <c r="Z2" s="28"/>
      <c r="AA2" s="50" t="s">
        <v>10</v>
      </c>
      <c r="AB2" s="28"/>
      <c r="AC2" s="28"/>
      <c r="AD2" s="28"/>
      <c r="AE2" s="50" t="s">
        <v>11</v>
      </c>
      <c r="AF2" s="28"/>
      <c r="AG2" s="28"/>
      <c r="AH2" s="57"/>
      <c r="AI2" s="28" t="s">
        <v>12</v>
      </c>
      <c r="AJ2" s="28"/>
      <c r="AK2" s="50" t="s">
        <v>13</v>
      </c>
      <c r="AL2" s="28"/>
      <c r="AM2" s="28"/>
      <c r="AN2" s="60"/>
      <c r="AO2" s="28" t="s">
        <v>14</v>
      </c>
      <c r="AP2" s="28"/>
      <c r="AQ2" s="28"/>
      <c r="AR2" s="28"/>
    </row>
    <row r="3" spans="2:44" x14ac:dyDescent="0.4">
      <c r="B3" s="48"/>
      <c r="C3" s="48"/>
      <c r="D3" s="49"/>
      <c r="E3" s="51"/>
      <c r="F3" s="45"/>
      <c r="G3" s="45"/>
      <c r="H3" s="45"/>
      <c r="I3" s="51"/>
      <c r="J3" s="45"/>
      <c r="K3" s="45"/>
      <c r="L3" s="58"/>
      <c r="M3" s="45"/>
      <c r="N3" s="45"/>
      <c r="O3" s="55"/>
      <c r="P3" s="56"/>
      <c r="Q3" s="56"/>
      <c r="R3" s="56"/>
      <c r="S3" s="51"/>
      <c r="T3" s="45"/>
      <c r="U3" s="45"/>
      <c r="V3" s="45"/>
      <c r="W3" s="51"/>
      <c r="X3" s="45"/>
      <c r="Y3" s="45"/>
      <c r="Z3" s="45"/>
      <c r="AA3" s="51"/>
      <c r="AB3" s="45"/>
      <c r="AC3" s="45"/>
      <c r="AD3" s="45"/>
      <c r="AE3" s="51"/>
      <c r="AF3" s="45"/>
      <c r="AG3" s="45"/>
      <c r="AH3" s="58"/>
      <c r="AI3" s="45"/>
      <c r="AJ3" s="45"/>
      <c r="AK3" s="51"/>
      <c r="AL3" s="45"/>
      <c r="AM3" s="45"/>
      <c r="AN3" s="61"/>
      <c r="AO3" s="45"/>
      <c r="AP3" s="45"/>
      <c r="AQ3" s="45"/>
      <c r="AR3" s="45"/>
    </row>
    <row r="4" spans="2:44" x14ac:dyDescent="0.4">
      <c r="B4" s="64" t="s">
        <v>24</v>
      </c>
      <c r="C4" s="65" t="s">
        <v>25</v>
      </c>
      <c r="D4" s="64"/>
      <c r="E4" s="43" t="s">
        <v>2</v>
      </c>
      <c r="F4" s="52" t="s">
        <v>21</v>
      </c>
      <c r="G4" s="52" t="s">
        <v>22</v>
      </c>
      <c r="H4" s="42" t="s">
        <v>23</v>
      </c>
      <c r="I4" s="43" t="s">
        <v>2</v>
      </c>
      <c r="J4" s="52" t="s">
        <v>21</v>
      </c>
      <c r="K4" s="52" t="s">
        <v>22</v>
      </c>
      <c r="L4" s="52" t="s">
        <v>23</v>
      </c>
      <c r="M4" s="12"/>
      <c r="N4" s="12"/>
      <c r="O4" s="43" t="s">
        <v>2</v>
      </c>
      <c r="P4" s="52" t="s">
        <v>21</v>
      </c>
      <c r="Q4" s="52" t="s">
        <v>22</v>
      </c>
      <c r="R4" s="42" t="s">
        <v>23</v>
      </c>
      <c r="S4" s="43" t="s">
        <v>2</v>
      </c>
      <c r="T4" s="52" t="s">
        <v>21</v>
      </c>
      <c r="U4" s="52" t="s">
        <v>22</v>
      </c>
      <c r="V4" s="42" t="s">
        <v>23</v>
      </c>
      <c r="W4" s="43" t="s">
        <v>2</v>
      </c>
      <c r="X4" s="52" t="s">
        <v>21</v>
      </c>
      <c r="Y4" s="52" t="s">
        <v>22</v>
      </c>
      <c r="Z4" s="42" t="s">
        <v>23</v>
      </c>
      <c r="AA4" s="43" t="s">
        <v>2</v>
      </c>
      <c r="AB4" s="52" t="s">
        <v>21</v>
      </c>
      <c r="AC4" s="52" t="s">
        <v>22</v>
      </c>
      <c r="AD4" s="42" t="s">
        <v>23</v>
      </c>
      <c r="AE4" s="43" t="s">
        <v>2</v>
      </c>
      <c r="AF4" s="52" t="s">
        <v>21</v>
      </c>
      <c r="AG4" s="52" t="s">
        <v>22</v>
      </c>
      <c r="AH4" s="52" t="s">
        <v>23</v>
      </c>
      <c r="AI4" s="12"/>
      <c r="AJ4" s="12"/>
      <c r="AK4" s="43" t="s">
        <v>2</v>
      </c>
      <c r="AL4" s="52" t="s">
        <v>21</v>
      </c>
      <c r="AM4" s="52" t="s">
        <v>22</v>
      </c>
      <c r="AN4" s="59" t="s">
        <v>23</v>
      </c>
      <c r="AO4" s="74" t="s">
        <v>2</v>
      </c>
      <c r="AP4" s="52" t="s">
        <v>21</v>
      </c>
      <c r="AQ4" s="52" t="s">
        <v>22</v>
      </c>
      <c r="AR4" s="52" t="s">
        <v>23</v>
      </c>
    </row>
    <row r="5" spans="2:44" ht="14.25" customHeight="1" x14ac:dyDescent="0.4">
      <c r="B5" s="58"/>
      <c r="C5" s="51"/>
      <c r="D5" s="58"/>
      <c r="E5" s="43"/>
      <c r="F5" s="52"/>
      <c r="G5" s="52"/>
      <c r="H5" s="42"/>
      <c r="I5" s="43"/>
      <c r="J5" s="52"/>
      <c r="K5" s="52"/>
      <c r="L5" s="52"/>
      <c r="M5" s="13"/>
      <c r="N5" s="13"/>
      <c r="O5" s="43"/>
      <c r="P5" s="52"/>
      <c r="Q5" s="52"/>
      <c r="R5" s="42"/>
      <c r="S5" s="43"/>
      <c r="T5" s="52"/>
      <c r="U5" s="52"/>
      <c r="V5" s="42"/>
      <c r="W5" s="43"/>
      <c r="X5" s="52"/>
      <c r="Y5" s="52"/>
      <c r="Z5" s="42"/>
      <c r="AA5" s="43"/>
      <c r="AB5" s="52"/>
      <c r="AC5" s="52"/>
      <c r="AD5" s="42"/>
      <c r="AE5" s="43"/>
      <c r="AF5" s="52"/>
      <c r="AG5" s="52"/>
      <c r="AH5" s="52"/>
      <c r="AI5" s="13"/>
      <c r="AJ5" s="13"/>
      <c r="AK5" s="43"/>
      <c r="AL5" s="52"/>
      <c r="AM5" s="52"/>
      <c r="AN5" s="59"/>
      <c r="AO5" s="74"/>
      <c r="AP5" s="52"/>
      <c r="AQ5" s="52"/>
      <c r="AR5" s="52"/>
    </row>
    <row r="6" spans="2:44" ht="18.75" customHeight="1" x14ac:dyDescent="0.4">
      <c r="B6" s="69" t="s">
        <v>19</v>
      </c>
      <c r="C6" s="68" t="s">
        <v>26</v>
      </c>
      <c r="D6" s="69"/>
      <c r="E6" s="14">
        <v>14519</v>
      </c>
      <c r="F6" s="15">
        <f>(E6-1528.1)/13.125</f>
        <v>989.7828571428571</v>
      </c>
      <c r="G6" s="43">
        <f>AVERAGE(F6:F8)</f>
        <v>1014.9003174603173</v>
      </c>
      <c r="H6" s="44">
        <f>STDEV(F6:F8)</f>
        <v>31.087426034414598</v>
      </c>
      <c r="I6" s="14">
        <v>122790</v>
      </c>
      <c r="J6" s="15">
        <f>(I6+7154.8)/74.414</f>
        <v>1746.2412986803558</v>
      </c>
      <c r="K6" s="43">
        <f>AVERAGE(J6:J8)</f>
        <v>1967.4451940047122</v>
      </c>
      <c r="L6" s="43">
        <f>STDEV(J6:J8)</f>
        <v>214.68283715032149</v>
      </c>
      <c r="M6" s="9"/>
      <c r="N6" s="9"/>
      <c r="O6" s="14">
        <v>1752173</v>
      </c>
      <c r="P6" s="15">
        <f>(O6-189505)/309.61</f>
        <v>5047.2142372662383</v>
      </c>
      <c r="Q6" s="43">
        <f>AVERAGE(P6:P8)</f>
        <v>5236.0948720433234</v>
      </c>
      <c r="R6" s="44">
        <f>STDEV(P6:P8)</f>
        <v>169.92465627791873</v>
      </c>
      <c r="S6" s="15">
        <v>7685</v>
      </c>
      <c r="T6" s="15">
        <f>(S6-266.75)/19.02</f>
        <v>390.0236593059937</v>
      </c>
      <c r="U6" s="43">
        <f>AVERAGE(T6:T8)</f>
        <v>401.41517700665963</v>
      </c>
      <c r="V6" s="44">
        <f>STDEV(T6:T8)</f>
        <v>13.34746227574089</v>
      </c>
      <c r="W6" s="14">
        <v>572365</v>
      </c>
      <c r="X6" s="15">
        <f>(W6+6406.3)/346.87</f>
        <v>1668.5539251016232</v>
      </c>
      <c r="Y6" s="43">
        <f>AVERAGE(X6:X8)</f>
        <v>1698.5536368091791</v>
      </c>
      <c r="Z6" s="44">
        <f>STDEV(X6:X8)</f>
        <v>29.889337371393914</v>
      </c>
      <c r="AA6" s="14">
        <v>9815607</v>
      </c>
      <c r="AB6" s="15">
        <f>(AA6+28166)/505.36</f>
        <v>19478.733971822068</v>
      </c>
      <c r="AC6" s="43">
        <f>AVERAGE(AB6:AB8)</f>
        <v>20018.789905545884</v>
      </c>
      <c r="AD6" s="44">
        <f>STDEV(AB6:AB8)</f>
        <v>713.86657744683669</v>
      </c>
      <c r="AE6" s="14">
        <v>63968</v>
      </c>
      <c r="AF6" s="15">
        <f>(AE6+60918)/381.6</f>
        <v>327.26939203354294</v>
      </c>
      <c r="AG6" s="43">
        <f>AVERAGE(AF6,AF8)</f>
        <v>345.69837526205447</v>
      </c>
      <c r="AH6" s="43">
        <f>STDEV(AF6,AF8)</f>
        <v>26.062518022507309</v>
      </c>
      <c r="AI6" s="9"/>
      <c r="AJ6" s="9"/>
      <c r="AK6" s="14">
        <v>40041</v>
      </c>
      <c r="AL6" s="15">
        <f>(AK6+741.58)/19.765</f>
        <v>2063.3736402732102</v>
      </c>
      <c r="AM6" s="43">
        <f>AVERAGE(AL6:AL8)</f>
        <v>2110.055485285437</v>
      </c>
      <c r="AN6" s="66">
        <f>STDEV(AL6:AL8)</f>
        <v>40.460069543790212</v>
      </c>
      <c r="AO6" s="18">
        <v>934</v>
      </c>
      <c r="AP6" s="14">
        <f>(AO6+2901.2)/22.077</f>
        <v>173.71925533360508</v>
      </c>
      <c r="AQ6" s="43">
        <f>AVERAGE(AP6:AP8)</f>
        <v>182.00842505775242</v>
      </c>
      <c r="AR6" s="43">
        <f>STDEV(AP6:AP8)</f>
        <v>8.7512781113237459</v>
      </c>
    </row>
    <row r="7" spans="2:44" x14ac:dyDescent="0.4">
      <c r="B7" s="47"/>
      <c r="C7" s="70"/>
      <c r="D7" s="47"/>
      <c r="E7" s="14">
        <v>14722</v>
      </c>
      <c r="F7" s="15">
        <f t="shared" ref="F7:F17" si="0">(E7-1528.1)/13.125</f>
        <v>1005.2495238095238</v>
      </c>
      <c r="G7" s="43"/>
      <c r="H7" s="44"/>
      <c r="I7" s="14">
        <v>140270</v>
      </c>
      <c r="J7" s="15">
        <f t="shared" ref="J7:J17" si="1">(I7+7154.8)/74.414</f>
        <v>1981.1433332437443</v>
      </c>
      <c r="K7" s="43"/>
      <c r="L7" s="43"/>
      <c r="M7" s="9"/>
      <c r="N7" s="9"/>
      <c r="O7" s="14">
        <v>1825645</v>
      </c>
      <c r="P7" s="15">
        <f t="shared" ref="P7:P17" si="2">(O7-189505)/309.61</f>
        <v>5284.5192338748748</v>
      </c>
      <c r="Q7" s="43"/>
      <c r="R7" s="44"/>
      <c r="S7" s="15">
        <v>7839</v>
      </c>
      <c r="T7" s="15">
        <f t="shared" ref="T7:T17" si="3">(S7-266.75)/19.02</f>
        <v>398.12039957939015</v>
      </c>
      <c r="U7" s="43"/>
      <c r="V7" s="44"/>
      <c r="W7" s="14">
        <v>582848</v>
      </c>
      <c r="X7" s="15">
        <f t="shared" ref="X7:X17" si="4">(W7+6406.3)/346.87</f>
        <v>1698.7756219909477</v>
      </c>
      <c r="Y7" s="43"/>
      <c r="Z7" s="44"/>
      <c r="AA7" s="14">
        <v>9952443</v>
      </c>
      <c r="AB7" s="15">
        <f t="shared" ref="AB7:AB17" si="5">(AA7+28166)/505.36</f>
        <v>19749.503324362831</v>
      </c>
      <c r="AC7" s="43"/>
      <c r="AD7" s="44"/>
      <c r="AE7" s="14"/>
      <c r="AF7" s="15">
        <f t="shared" ref="AF7:AF17" si="6">(AE7+60918)/381.6</f>
        <v>159.63836477987419</v>
      </c>
      <c r="AG7" s="43"/>
      <c r="AH7" s="43"/>
      <c r="AI7" s="9"/>
      <c r="AJ7" s="9"/>
      <c r="AK7" s="14">
        <v>41393</v>
      </c>
      <c r="AL7" s="15">
        <f t="shared" ref="AL7:AL17" si="7">(AK7+741.58)/19.765</f>
        <v>2131.777384265115</v>
      </c>
      <c r="AM7" s="43"/>
      <c r="AN7" s="66"/>
      <c r="AO7" s="18">
        <v>1319</v>
      </c>
      <c r="AP7" s="14">
        <f t="shared" ref="AP7:AP17" si="8">(AO7+2901.2)/22.077</f>
        <v>191.15821896090952</v>
      </c>
      <c r="AQ7" s="43"/>
      <c r="AR7" s="43"/>
    </row>
    <row r="8" spans="2:44" x14ac:dyDescent="0.4">
      <c r="B8" s="47"/>
      <c r="C8" s="71"/>
      <c r="D8" s="49"/>
      <c r="E8" s="14">
        <v>15305</v>
      </c>
      <c r="F8" s="15">
        <f t="shared" si="0"/>
        <v>1049.6685714285713</v>
      </c>
      <c r="G8" s="43"/>
      <c r="H8" s="44"/>
      <c r="I8" s="14">
        <v>154692</v>
      </c>
      <c r="J8" s="15">
        <f t="shared" si="1"/>
        <v>2174.9509500900367</v>
      </c>
      <c r="K8" s="43"/>
      <c r="L8" s="43"/>
      <c r="M8" s="9"/>
      <c r="N8" s="9"/>
      <c r="O8" s="14">
        <v>1854139</v>
      </c>
      <c r="P8" s="15">
        <f t="shared" si="2"/>
        <v>5376.5511449888563</v>
      </c>
      <c r="Q8" s="43"/>
      <c r="R8" s="44"/>
      <c r="S8" s="15">
        <v>8181</v>
      </c>
      <c r="T8" s="15">
        <f t="shared" si="3"/>
        <v>416.10147213459516</v>
      </c>
      <c r="U8" s="43"/>
      <c r="V8" s="44"/>
      <c r="W8" s="14">
        <v>593100</v>
      </c>
      <c r="X8" s="15">
        <f t="shared" si="4"/>
        <v>1728.3313633349671</v>
      </c>
      <c r="Y8" s="43"/>
      <c r="Z8" s="44"/>
      <c r="AA8" s="14">
        <v>10497539</v>
      </c>
      <c r="AB8" s="15">
        <f t="shared" si="5"/>
        <v>20828.132420452745</v>
      </c>
      <c r="AC8" s="43"/>
      <c r="AD8" s="44"/>
      <c r="AE8" s="14">
        <v>78033</v>
      </c>
      <c r="AF8" s="15">
        <f t="shared" si="6"/>
        <v>364.127358490566</v>
      </c>
      <c r="AG8" s="43"/>
      <c r="AH8" s="43"/>
      <c r="AI8" s="9"/>
      <c r="AJ8" s="9"/>
      <c r="AK8" s="14">
        <v>41457</v>
      </c>
      <c r="AL8" s="15">
        <f t="shared" si="7"/>
        <v>2135.0154313179864</v>
      </c>
      <c r="AM8" s="43"/>
      <c r="AN8" s="66"/>
      <c r="AO8" s="18">
        <v>1098</v>
      </c>
      <c r="AP8" s="14">
        <f t="shared" si="8"/>
        <v>181.14780087874257</v>
      </c>
      <c r="AQ8" s="43"/>
      <c r="AR8" s="43"/>
    </row>
    <row r="9" spans="2:44" x14ac:dyDescent="0.4">
      <c r="B9" s="47"/>
      <c r="C9" s="70" t="s">
        <v>20</v>
      </c>
      <c r="D9" s="47"/>
      <c r="E9" s="14">
        <v>20748</v>
      </c>
      <c r="F9" s="15">
        <f t="shared" si="0"/>
        <v>1464.3733333333334</v>
      </c>
      <c r="G9" s="43">
        <f>AVERAGE(F9:F11)</f>
        <v>1496.3987301587304</v>
      </c>
      <c r="H9" s="44">
        <f t="shared" ref="H9" si="9">STDEV(F9:F11)</f>
        <v>31.774473608408695</v>
      </c>
      <c r="I9" s="14">
        <v>186662</v>
      </c>
      <c r="J9" s="15">
        <f t="shared" si="1"/>
        <v>2604.5744080414975</v>
      </c>
      <c r="K9" s="43">
        <f t="shared" ref="K9" si="10">AVERAGE(J9:J11)</f>
        <v>2741.1616093745797</v>
      </c>
      <c r="L9" s="43">
        <f t="shared" ref="L9" si="11">STDEV(J9:J11)</f>
        <v>156.60352618726435</v>
      </c>
      <c r="M9" s="9"/>
      <c r="N9" s="9"/>
      <c r="O9" s="14">
        <v>2196561</v>
      </c>
      <c r="P9" s="15">
        <f t="shared" si="2"/>
        <v>6482.529634055747</v>
      </c>
      <c r="Q9" s="43">
        <f t="shared" ref="Q9" si="12">AVERAGE(P9:P11)</f>
        <v>6617.681384106887</v>
      </c>
      <c r="R9" s="44">
        <f t="shared" ref="R9" si="13">STDEV(P9:P11)</f>
        <v>117.04494116955577</v>
      </c>
      <c r="S9" s="15">
        <v>6119</v>
      </c>
      <c r="T9" s="15">
        <f t="shared" si="3"/>
        <v>307.68927444794951</v>
      </c>
      <c r="U9" s="43">
        <f t="shared" ref="U9" si="14">AVERAGE(T9:T11)</f>
        <v>314.66438836312653</v>
      </c>
      <c r="V9" s="44">
        <f t="shared" ref="V9" si="15">STDEV(T9:T11)</f>
        <v>6.8147265942707085</v>
      </c>
      <c r="W9" s="14">
        <v>1497849</v>
      </c>
      <c r="X9" s="15">
        <f t="shared" si="4"/>
        <v>4336.6543661890619</v>
      </c>
      <c r="Y9" s="43">
        <f t="shared" ref="Y9" si="16">AVERAGE(X9:X11)</f>
        <v>4341.2949135603158</v>
      </c>
      <c r="Z9" s="44">
        <f t="shared" ref="Z9" si="17">STDEV(X9:X11)</f>
        <v>75.686959974378155</v>
      </c>
      <c r="AA9" s="14">
        <v>8724570</v>
      </c>
      <c r="AB9" s="15">
        <f t="shared" si="5"/>
        <v>17319.803704290011</v>
      </c>
      <c r="AC9" s="43">
        <f t="shared" ref="AC9" si="18">AVERAGE(AB9:AB11)</f>
        <v>17409.933512743391</v>
      </c>
      <c r="AD9" s="44">
        <f t="shared" ref="AD9" si="19">STDEV(AB9:AB11)</f>
        <v>222.59525659359664</v>
      </c>
      <c r="AE9" s="14">
        <v>82091</v>
      </c>
      <c r="AF9" s="15">
        <f t="shared" si="6"/>
        <v>374.7615303983228</v>
      </c>
      <c r="AG9" s="43">
        <f t="shared" ref="AG9" si="20">AVERAGE(AF9:AF11)</f>
        <v>384.12997903563934</v>
      </c>
      <c r="AH9" s="43">
        <f t="shared" ref="AH9" si="21">STDEV(AF9:AF11)</f>
        <v>9.030867894676998</v>
      </c>
      <c r="AI9" s="9"/>
      <c r="AJ9" s="9"/>
      <c r="AK9" s="14">
        <v>41457</v>
      </c>
      <c r="AL9" s="15">
        <f t="shared" si="7"/>
        <v>2135.0154313179864</v>
      </c>
      <c r="AM9" s="43">
        <f t="shared" ref="AM9" si="22">AVERAGE(AL9:AL11)</f>
        <v>1841.7866599207355</v>
      </c>
      <c r="AN9" s="66">
        <f t="shared" ref="AN9" si="23">STDEV(AL9:AL11)</f>
        <v>256.13952871559985</v>
      </c>
      <c r="AO9" s="18">
        <v>624</v>
      </c>
      <c r="AP9" s="14">
        <f t="shared" si="8"/>
        <v>159.67749241291841</v>
      </c>
      <c r="AQ9" s="43">
        <f t="shared" ref="AQ9" si="24">AVERAGE(AP9:AP11)</f>
        <v>166.53228850538267</v>
      </c>
      <c r="AR9" s="43">
        <f t="shared" ref="AR9" si="25">STDEV(AP9:AP11)</f>
        <v>6.9550150472064844</v>
      </c>
    </row>
    <row r="10" spans="2:44" x14ac:dyDescent="0.4">
      <c r="B10" s="47"/>
      <c r="C10" s="70"/>
      <c r="D10" s="47"/>
      <c r="E10" s="14">
        <v>21175</v>
      </c>
      <c r="F10" s="15">
        <f t="shared" si="0"/>
        <v>1496.9066666666668</v>
      </c>
      <c r="G10" s="43"/>
      <c r="H10" s="44"/>
      <c r="I10" s="14">
        <v>194271</v>
      </c>
      <c r="J10" s="15">
        <f t="shared" si="1"/>
        <v>2706.8266724003547</v>
      </c>
      <c r="K10" s="43"/>
      <c r="L10" s="43"/>
      <c r="M10" s="9"/>
      <c r="N10" s="9"/>
      <c r="O10" s="14">
        <v>2259282</v>
      </c>
      <c r="P10" s="15">
        <f t="shared" si="2"/>
        <v>6685.1103000549074</v>
      </c>
      <c r="Q10" s="43"/>
      <c r="R10" s="44"/>
      <c r="S10" s="15">
        <v>6258</v>
      </c>
      <c r="T10" s="15">
        <f t="shared" si="3"/>
        <v>314.99737118822293</v>
      </c>
      <c r="U10" s="43"/>
      <c r="V10" s="44"/>
      <c r="W10" s="14">
        <v>1474047</v>
      </c>
      <c r="X10" s="15">
        <f t="shared" si="4"/>
        <v>4268.0349987026839</v>
      </c>
      <c r="Y10" s="43"/>
      <c r="Z10" s="44"/>
      <c r="AA10" s="14">
        <v>8687544</v>
      </c>
      <c r="AB10" s="15">
        <f t="shared" si="5"/>
        <v>17246.537122051606</v>
      </c>
      <c r="AC10" s="43"/>
      <c r="AD10" s="44"/>
      <c r="AE10" s="14">
        <v>85940</v>
      </c>
      <c r="AF10" s="15">
        <f t="shared" si="6"/>
        <v>384.84800838574421</v>
      </c>
      <c r="AG10" s="43"/>
      <c r="AH10" s="43"/>
      <c r="AI10" s="9"/>
      <c r="AJ10" s="9"/>
      <c r="AK10" s="14">
        <v>32102</v>
      </c>
      <c r="AL10" s="15">
        <f t="shared" si="7"/>
        <v>1661.7040222615735</v>
      </c>
      <c r="AM10" s="43"/>
      <c r="AN10" s="66"/>
      <c r="AO10" s="18">
        <v>771</v>
      </c>
      <c r="AP10" s="14">
        <f t="shared" si="8"/>
        <v>166.33600579788919</v>
      </c>
      <c r="AQ10" s="43"/>
      <c r="AR10" s="43"/>
    </row>
    <row r="11" spans="2:44" x14ac:dyDescent="0.4">
      <c r="B11" s="47"/>
      <c r="C11" s="71"/>
      <c r="D11" s="49"/>
      <c r="E11" s="14">
        <v>21582</v>
      </c>
      <c r="F11" s="15">
        <f t="shared" si="0"/>
        <v>1527.9161904761906</v>
      </c>
      <c r="G11" s="43"/>
      <c r="H11" s="44"/>
      <c r="I11" s="14">
        <v>209545</v>
      </c>
      <c r="J11" s="15">
        <f t="shared" si="1"/>
        <v>2912.0837476818874</v>
      </c>
      <c r="K11" s="43"/>
      <c r="L11" s="43"/>
      <c r="M11" s="9"/>
      <c r="N11" s="9"/>
      <c r="O11" s="14">
        <v>2259373</v>
      </c>
      <c r="P11" s="15">
        <f t="shared" si="2"/>
        <v>6685.4042182100056</v>
      </c>
      <c r="Q11" s="43"/>
      <c r="R11" s="44"/>
      <c r="S11" s="15">
        <v>6378</v>
      </c>
      <c r="T11" s="15">
        <f t="shared" si="3"/>
        <v>321.30651945320716</v>
      </c>
      <c r="U11" s="43"/>
      <c r="V11" s="44"/>
      <c r="W11" s="14">
        <v>1526480</v>
      </c>
      <c r="X11" s="15">
        <f t="shared" si="4"/>
        <v>4419.1953757892006</v>
      </c>
      <c r="Y11" s="43"/>
      <c r="Z11" s="44"/>
      <c r="AA11" s="14">
        <v>8898240</v>
      </c>
      <c r="AB11" s="15">
        <f t="shared" si="5"/>
        <v>17663.459711888554</v>
      </c>
      <c r="AC11" s="43"/>
      <c r="AD11" s="44"/>
      <c r="AE11" s="14">
        <v>88967</v>
      </c>
      <c r="AF11" s="15">
        <f t="shared" si="6"/>
        <v>392.78039832285111</v>
      </c>
      <c r="AG11" s="43"/>
      <c r="AH11" s="43"/>
      <c r="AI11" s="9"/>
      <c r="AJ11" s="9"/>
      <c r="AK11" s="14">
        <v>33425</v>
      </c>
      <c r="AL11" s="15">
        <f t="shared" si="7"/>
        <v>1728.6405261826462</v>
      </c>
      <c r="AM11" s="43"/>
      <c r="AN11" s="66"/>
      <c r="AO11" s="18">
        <v>931</v>
      </c>
      <c r="AP11" s="14">
        <f t="shared" si="8"/>
        <v>173.58336730534037</v>
      </c>
      <c r="AQ11" s="43"/>
      <c r="AR11" s="43"/>
    </row>
    <row r="12" spans="2:44" ht="18.75" customHeight="1" x14ac:dyDescent="0.4">
      <c r="B12" s="47"/>
      <c r="C12" s="70" t="s">
        <v>27</v>
      </c>
      <c r="D12" s="47"/>
      <c r="E12" s="14">
        <v>24236</v>
      </c>
      <c r="F12" s="15">
        <f t="shared" si="0"/>
        <v>1730.1257142857144</v>
      </c>
      <c r="G12" s="43">
        <f t="shared" ref="G12" si="26">AVERAGE(F12:F14)</f>
        <v>1843.5733333333335</v>
      </c>
      <c r="H12" s="44">
        <f t="shared" ref="H12" si="27">STDEV(F12:F14)</f>
        <v>118.45433575797868</v>
      </c>
      <c r="I12" s="14">
        <v>140978</v>
      </c>
      <c r="J12" s="15">
        <f t="shared" si="1"/>
        <v>1990.6576719434513</v>
      </c>
      <c r="K12" s="43">
        <f t="shared" ref="K12" si="28">AVERAGE(J12:J14)</f>
        <v>2115.5669632058484</v>
      </c>
      <c r="L12" s="43">
        <f t="shared" ref="L12" si="29">STDEV(J12:J14)</f>
        <v>109.8741396457077</v>
      </c>
      <c r="M12" s="9"/>
      <c r="N12" s="9"/>
      <c r="O12" s="14">
        <v>4840982</v>
      </c>
      <c r="P12" s="15">
        <f t="shared" si="2"/>
        <v>15023.665256290171</v>
      </c>
      <c r="Q12" s="43">
        <f t="shared" ref="Q12" si="30">AVERAGE(P12:P14)</f>
        <v>15497.862902791683</v>
      </c>
      <c r="R12" s="44">
        <f t="shared" ref="R12" si="31">STDEV(P12:P14)</f>
        <v>418.04519455305785</v>
      </c>
      <c r="S12" s="15">
        <v>16575</v>
      </c>
      <c r="T12" s="15">
        <f t="shared" si="3"/>
        <v>857.42639327024187</v>
      </c>
      <c r="U12" s="43">
        <f t="shared" ref="U12" si="32">AVERAGE(T12:T14)</f>
        <v>838.70925341745533</v>
      </c>
      <c r="V12" s="44">
        <f t="shared" ref="V12" si="33">STDEV(T12:T14)</f>
        <v>44.635118398590862</v>
      </c>
      <c r="W12" s="14">
        <v>68451</v>
      </c>
      <c r="X12" s="15">
        <f t="shared" si="4"/>
        <v>215.80793957390378</v>
      </c>
      <c r="Y12" s="43">
        <f t="shared" ref="Y12" si="34">AVERAGE(X12:X14)</f>
        <v>222.56455348305323</v>
      </c>
      <c r="Z12" s="44">
        <f t="shared" ref="Z12" si="35">STDEV(X12:X14)</f>
        <v>5.8585680310390567</v>
      </c>
      <c r="AA12" s="14">
        <v>5993226</v>
      </c>
      <c r="AB12" s="15">
        <f t="shared" si="5"/>
        <v>11915.054614532215</v>
      </c>
      <c r="AC12" s="43">
        <f t="shared" ref="AC12" si="36">AVERAGE(AB12:AB14)</f>
        <v>12090.371220516068</v>
      </c>
      <c r="AD12" s="44">
        <f t="shared" ref="AD12" si="37">STDEV(AB12:AB14)</f>
        <v>550.35626014966067</v>
      </c>
      <c r="AE12" s="14">
        <v>271767</v>
      </c>
      <c r="AF12" s="15">
        <f t="shared" si="6"/>
        <v>871.81603773584902</v>
      </c>
      <c r="AG12" s="43">
        <f t="shared" ref="AG12" si="38">AVERAGE(AF12:AF14)</f>
        <v>899.18064290705797</v>
      </c>
      <c r="AH12" s="43">
        <f t="shared" ref="AH12" si="39">STDEV(AF12:AF14)</f>
        <v>25.898878425427249</v>
      </c>
      <c r="AI12" s="9"/>
      <c r="AJ12" s="9"/>
      <c r="AK12" s="14">
        <v>159226</v>
      </c>
      <c r="AL12" s="15">
        <f t="shared" si="7"/>
        <v>8093.4773589678716</v>
      </c>
      <c r="AM12" s="43">
        <f t="shared" ref="AM12" si="40">AVERAGE(AL12:AL14)</f>
        <v>8346.5172442870389</v>
      </c>
      <c r="AN12" s="66">
        <f t="shared" ref="AN12" si="41">STDEV(AL12:AL14)</f>
        <v>297.19695580270422</v>
      </c>
      <c r="AO12" s="18">
        <v>4046</v>
      </c>
      <c r="AP12" s="14">
        <f t="shared" si="8"/>
        <v>314.68043665353082</v>
      </c>
      <c r="AQ12" s="43">
        <f t="shared" ref="AQ12" si="42">AVERAGE(AP12:AP14)</f>
        <v>317.17171717171715</v>
      </c>
      <c r="AR12" s="43">
        <f t="shared" ref="AR12" si="43">STDEV(AP12:AP14)</f>
        <v>3.9672167938845977</v>
      </c>
    </row>
    <row r="13" spans="2:44" x14ac:dyDescent="0.4">
      <c r="B13" s="47"/>
      <c r="C13" s="70"/>
      <c r="D13" s="47"/>
      <c r="E13" s="14">
        <v>25601</v>
      </c>
      <c r="F13" s="15">
        <f t="shared" si="0"/>
        <v>1834.1257142857144</v>
      </c>
      <c r="G13" s="43"/>
      <c r="H13" s="44"/>
      <c r="I13" s="14">
        <v>153488</v>
      </c>
      <c r="J13" s="15">
        <f t="shared" si="1"/>
        <v>2158.771198967936</v>
      </c>
      <c r="K13" s="43"/>
      <c r="L13" s="43"/>
      <c r="M13" s="9"/>
      <c r="N13" s="9"/>
      <c r="O13" s="14">
        <v>5036997</v>
      </c>
      <c r="P13" s="15">
        <f t="shared" si="2"/>
        <v>15656.768192241852</v>
      </c>
      <c r="Q13" s="43"/>
      <c r="R13" s="44"/>
      <c r="S13" s="15">
        <v>15250</v>
      </c>
      <c r="T13" s="15">
        <f t="shared" si="3"/>
        <v>787.76288117770764</v>
      </c>
      <c r="U13" s="43"/>
      <c r="V13" s="44"/>
      <c r="W13" s="14">
        <v>71866</v>
      </c>
      <c r="X13" s="15">
        <f t="shared" si="4"/>
        <v>225.65312653155362</v>
      </c>
      <c r="Y13" s="43"/>
      <c r="Z13" s="44"/>
      <c r="AA13" s="14">
        <v>5858788</v>
      </c>
      <c r="AB13" s="15">
        <f t="shared" si="5"/>
        <v>11649.03039417445</v>
      </c>
      <c r="AC13" s="43"/>
      <c r="AD13" s="44"/>
      <c r="AE13" s="14">
        <v>283444</v>
      </c>
      <c r="AF13" s="15">
        <f t="shared" si="6"/>
        <v>902.41614255765194</v>
      </c>
      <c r="AG13" s="43"/>
      <c r="AH13" s="43"/>
      <c r="AI13" s="9"/>
      <c r="AJ13" s="9"/>
      <c r="AK13" s="14">
        <v>162760</v>
      </c>
      <c r="AL13" s="15">
        <f t="shared" si="7"/>
        <v>8272.2782696686045</v>
      </c>
      <c r="AM13" s="43"/>
      <c r="AN13" s="66"/>
      <c r="AO13" s="18">
        <v>4055</v>
      </c>
      <c r="AP13" s="14">
        <f t="shared" si="8"/>
        <v>315.0881007383249</v>
      </c>
      <c r="AQ13" s="43"/>
      <c r="AR13" s="43"/>
    </row>
    <row r="14" spans="2:44" x14ac:dyDescent="0.4">
      <c r="B14" s="47"/>
      <c r="C14" s="71"/>
      <c r="D14" s="49"/>
      <c r="E14" s="14">
        <v>27338</v>
      </c>
      <c r="F14" s="15">
        <f t="shared" si="0"/>
        <v>1966.4685714285715</v>
      </c>
      <c r="G14" s="43"/>
      <c r="H14" s="44"/>
      <c r="I14" s="14">
        <v>156353</v>
      </c>
      <c r="J14" s="15">
        <f t="shared" si="1"/>
        <v>2197.2720187061573</v>
      </c>
      <c r="K14" s="43"/>
      <c r="L14" s="43"/>
      <c r="M14" s="9"/>
      <c r="N14" s="9"/>
      <c r="O14" s="14">
        <v>5085416</v>
      </c>
      <c r="P14" s="15">
        <f t="shared" si="2"/>
        <v>15813.155259843028</v>
      </c>
      <c r="Q14" s="43"/>
      <c r="R14" s="44"/>
      <c r="S14" s="15">
        <v>16832</v>
      </c>
      <c r="T14" s="15">
        <f t="shared" si="3"/>
        <v>870.93848580441647</v>
      </c>
      <c r="U14" s="43"/>
      <c r="V14" s="44"/>
      <c r="W14" s="14">
        <v>72067</v>
      </c>
      <c r="X14" s="15">
        <f t="shared" si="4"/>
        <v>226.23259434370226</v>
      </c>
      <c r="Y14" s="43"/>
      <c r="Z14" s="44"/>
      <c r="AA14" s="14">
        <v>6393458</v>
      </c>
      <c r="AB14" s="15">
        <f t="shared" si="5"/>
        <v>12707.028652841538</v>
      </c>
      <c r="AC14" s="43"/>
      <c r="AD14" s="44"/>
      <c r="AE14" s="14">
        <v>291417</v>
      </c>
      <c r="AF14" s="15">
        <f t="shared" si="6"/>
        <v>923.30974842767296</v>
      </c>
      <c r="AG14" s="43"/>
      <c r="AH14" s="43"/>
      <c r="AI14" s="9"/>
      <c r="AJ14" s="9"/>
      <c r="AK14" s="14">
        <v>170696</v>
      </c>
      <c r="AL14" s="15">
        <f t="shared" si="7"/>
        <v>8673.7961042246388</v>
      </c>
      <c r="AM14" s="43"/>
      <c r="AN14" s="66"/>
      <c r="AO14" s="18">
        <v>4202</v>
      </c>
      <c r="AP14" s="14">
        <f t="shared" si="8"/>
        <v>321.74661412329573</v>
      </c>
      <c r="AQ14" s="43"/>
      <c r="AR14" s="43"/>
    </row>
    <row r="15" spans="2:44" ht="18.75" customHeight="1" x14ac:dyDescent="0.4">
      <c r="B15" s="47"/>
      <c r="C15" s="70" t="s">
        <v>28</v>
      </c>
      <c r="D15" s="47"/>
      <c r="E15" s="14">
        <v>26584</v>
      </c>
      <c r="F15" s="15">
        <f t="shared" si="0"/>
        <v>1909.0209523809524</v>
      </c>
      <c r="G15" s="43">
        <f t="shared" ref="G15" si="44">AVERAGE(F15:F17)</f>
        <v>1902.4939682539682</v>
      </c>
      <c r="H15" s="44">
        <f t="shared" ref="H15" si="45">STDEV(F15:F17)</f>
        <v>64.742465803419066</v>
      </c>
      <c r="I15" s="14">
        <v>153261</v>
      </c>
      <c r="J15" s="15">
        <f t="shared" si="1"/>
        <v>2155.7206977181713</v>
      </c>
      <c r="K15" s="43">
        <f t="shared" ref="K15" si="46">AVERAGE(J15:J17)</f>
        <v>2135.8454054344616</v>
      </c>
      <c r="L15" s="43">
        <f t="shared" ref="L15" si="47">STDEV(J15:J17)</f>
        <v>17.264365216485622</v>
      </c>
      <c r="M15" s="9"/>
      <c r="N15" s="9"/>
      <c r="O15" s="14">
        <v>5329065</v>
      </c>
      <c r="P15" s="15">
        <f t="shared" si="2"/>
        <v>16600.109815574433</v>
      </c>
      <c r="Q15" s="43">
        <f t="shared" ref="Q15" si="48">AVERAGE(P15:P17)</f>
        <v>17026.072585941452</v>
      </c>
      <c r="R15" s="44">
        <f t="shared" ref="R15" si="49">STDEV(P15:P17)</f>
        <v>429.52385690850161</v>
      </c>
      <c r="S15" s="15">
        <v>14141</v>
      </c>
      <c r="T15" s="15">
        <f t="shared" si="3"/>
        <v>729.4558359621451</v>
      </c>
      <c r="U15" s="43">
        <f t="shared" ref="U15" si="50">AVERAGE(T15:T17)</f>
        <v>779.64861549246416</v>
      </c>
      <c r="V15" s="44">
        <f t="shared" ref="V15" si="51">STDEV(T15:T17)</f>
        <v>64.253695443505734</v>
      </c>
      <c r="W15" s="14">
        <v>298087</v>
      </c>
      <c r="X15" s="15">
        <f t="shared" si="4"/>
        <v>877.8311759448784</v>
      </c>
      <c r="Y15" s="43">
        <f t="shared" ref="Y15" si="52">AVERAGE(X15:X17)</f>
        <v>847.60563515630247</v>
      </c>
      <c r="Z15" s="44">
        <f t="shared" ref="Z15" si="53">STDEV(X15:X17)</f>
        <v>26.553063811605327</v>
      </c>
      <c r="AA15" s="14">
        <v>5260859</v>
      </c>
      <c r="AB15" s="15">
        <f t="shared" si="5"/>
        <v>10465.856023428843</v>
      </c>
      <c r="AC15" s="43">
        <f t="shared" ref="AC15" si="54">AVERAGE(AB15:AB17)</f>
        <v>9768.9792095403936</v>
      </c>
      <c r="AD15" s="44">
        <f t="shared" ref="AD15" si="55">STDEV(AB15:AB17)</f>
        <v>615.14388545523946</v>
      </c>
      <c r="AE15" s="14">
        <v>236812</v>
      </c>
      <c r="AF15" s="15">
        <f t="shared" si="6"/>
        <v>780.21488469601672</v>
      </c>
      <c r="AG15" s="43">
        <f t="shared" ref="AG15" si="56">AVERAGE(AF15:AF17)</f>
        <v>734.19811320754707</v>
      </c>
      <c r="AH15" s="43">
        <f t="shared" ref="AH15" si="57">STDEV(AF15:AF17)</f>
        <v>116.67615828095602</v>
      </c>
      <c r="AI15" s="9"/>
      <c r="AJ15" s="9"/>
      <c r="AK15" s="14">
        <v>93355</v>
      </c>
      <c r="AL15" s="15">
        <f t="shared" si="7"/>
        <v>4760.768024285353</v>
      </c>
      <c r="AM15" s="43">
        <f t="shared" ref="AM15" si="58">AVERAGE(AL15:AL17)</f>
        <v>4934.8973775191835</v>
      </c>
      <c r="AN15" s="66">
        <f t="shared" ref="AN15" si="59">STDEV(AL15:AL17)</f>
        <v>150.80886481467837</v>
      </c>
      <c r="AO15" s="18">
        <v>2229</v>
      </c>
      <c r="AP15" s="14">
        <f t="shared" si="8"/>
        <v>232.37758753453818</v>
      </c>
      <c r="AQ15" s="43">
        <f t="shared" ref="AQ15" si="60">AVERAGE(AP15:AP17)</f>
        <v>220.63082242454436</v>
      </c>
      <c r="AR15" s="43">
        <f t="shared" ref="AR15" si="61">STDEV(AP15:AP17)</f>
        <v>11.010688781583799</v>
      </c>
    </row>
    <row r="16" spans="2:44" x14ac:dyDescent="0.4">
      <c r="B16" s="47"/>
      <c r="C16" s="70"/>
      <c r="D16" s="47"/>
      <c r="E16" s="14">
        <v>25609</v>
      </c>
      <c r="F16" s="15">
        <f t="shared" si="0"/>
        <v>1834.7352380952382</v>
      </c>
      <c r="G16" s="43"/>
      <c r="H16" s="44"/>
      <c r="I16" s="14">
        <v>151142</v>
      </c>
      <c r="J16" s="15">
        <f t="shared" si="1"/>
        <v>2127.2448732765338</v>
      </c>
      <c r="K16" s="43"/>
      <c r="L16" s="43"/>
      <c r="M16" s="9"/>
      <c r="N16" s="9"/>
      <c r="O16" s="14">
        <v>5458769</v>
      </c>
      <c r="P16" s="15">
        <f t="shared" si="2"/>
        <v>17019.036852814832</v>
      </c>
      <c r="Q16" s="43"/>
      <c r="R16" s="44"/>
      <c r="S16" s="15">
        <v>14673</v>
      </c>
      <c r="T16" s="15">
        <f t="shared" si="3"/>
        <v>757.42639327024187</v>
      </c>
      <c r="U16" s="43"/>
      <c r="V16" s="44"/>
      <c r="W16" s="14">
        <v>280814</v>
      </c>
      <c r="X16" s="15">
        <f t="shared" si="4"/>
        <v>828.03442211779623</v>
      </c>
      <c r="Y16" s="43"/>
      <c r="Z16" s="44"/>
      <c r="AA16" s="14">
        <v>4672433</v>
      </c>
      <c r="AB16" s="15">
        <f t="shared" si="5"/>
        <v>9301.48606933671</v>
      </c>
      <c r="AC16" s="43"/>
      <c r="AD16" s="44"/>
      <c r="AE16" s="14">
        <v>252318</v>
      </c>
      <c r="AF16" s="15">
        <f t="shared" si="6"/>
        <v>820.84905660377353</v>
      </c>
      <c r="AG16" s="43"/>
      <c r="AH16" s="43"/>
      <c r="AI16" s="9"/>
      <c r="AJ16" s="9"/>
      <c r="AK16" s="14">
        <v>98549</v>
      </c>
      <c r="AL16" s="15">
        <f t="shared" si="7"/>
        <v>5023.5557804199343</v>
      </c>
      <c r="AM16" s="43"/>
      <c r="AN16" s="66"/>
      <c r="AO16" s="18">
        <v>1747</v>
      </c>
      <c r="AP16" s="14">
        <f t="shared" si="8"/>
        <v>210.54491099334146</v>
      </c>
      <c r="AQ16" s="43"/>
      <c r="AR16" s="43"/>
    </row>
    <row r="17" spans="2:44" ht="19.5" thickBot="1" x14ac:dyDescent="0.45">
      <c r="B17" s="73"/>
      <c r="C17" s="72"/>
      <c r="D17" s="73"/>
      <c r="E17" s="16">
        <v>27302</v>
      </c>
      <c r="F17" s="17">
        <f t="shared" si="0"/>
        <v>1963.7257142857145</v>
      </c>
      <c r="G17" s="62"/>
      <c r="H17" s="63"/>
      <c r="I17" s="16">
        <v>150943</v>
      </c>
      <c r="J17" s="17">
        <f t="shared" si="1"/>
        <v>2124.5706453086782</v>
      </c>
      <c r="K17" s="62"/>
      <c r="L17" s="62"/>
      <c r="M17" s="10"/>
      <c r="N17" s="10"/>
      <c r="O17" s="16">
        <v>5595008</v>
      </c>
      <c r="P17" s="17">
        <f t="shared" si="2"/>
        <v>17459.071089435096</v>
      </c>
      <c r="Q17" s="62"/>
      <c r="R17" s="63"/>
      <c r="S17" s="17">
        <v>16473</v>
      </c>
      <c r="T17" s="17">
        <f t="shared" si="3"/>
        <v>852.06361724500528</v>
      </c>
      <c r="U17" s="62"/>
      <c r="V17" s="63"/>
      <c r="W17" s="16">
        <v>283907</v>
      </c>
      <c r="X17" s="17">
        <f t="shared" si="4"/>
        <v>836.95130740623279</v>
      </c>
      <c r="Y17" s="62"/>
      <c r="Z17" s="63"/>
      <c r="AA17" s="16">
        <v>4792764</v>
      </c>
      <c r="AB17" s="17">
        <f t="shared" si="5"/>
        <v>9539.5955358556275</v>
      </c>
      <c r="AC17" s="62"/>
      <c r="AD17" s="63"/>
      <c r="AE17" s="16">
        <v>168626</v>
      </c>
      <c r="AF17" s="17">
        <f t="shared" si="6"/>
        <v>601.53039832285117</v>
      </c>
      <c r="AG17" s="62"/>
      <c r="AH17" s="62"/>
      <c r="AI17" s="10"/>
      <c r="AJ17" s="10"/>
      <c r="AK17" s="16">
        <v>98486</v>
      </c>
      <c r="AL17" s="17">
        <f t="shared" si="7"/>
        <v>5020.368327852264</v>
      </c>
      <c r="AM17" s="62"/>
      <c r="AN17" s="67"/>
      <c r="AO17" s="19">
        <v>1933</v>
      </c>
      <c r="AP17" s="16">
        <f t="shared" si="8"/>
        <v>218.96996874575348</v>
      </c>
      <c r="AQ17" s="62"/>
      <c r="AR17" s="62"/>
    </row>
    <row r="18" spans="2:44" ht="18.75" customHeight="1" x14ac:dyDescent="0.4"/>
    <row r="24" spans="2:44" ht="18.75" customHeight="1" x14ac:dyDescent="0.4"/>
    <row r="27" spans="2:44" ht="18.75" customHeight="1" x14ac:dyDescent="0.4"/>
    <row r="36" spans="23:23" x14ac:dyDescent="0.4">
      <c r="W36" s="11"/>
    </row>
  </sheetData>
  <mergeCells count="127">
    <mergeCell ref="B6:B17"/>
    <mergeCell ref="AO2:AR3"/>
    <mergeCell ref="AQ15:AQ17"/>
    <mergeCell ref="AR6:AR8"/>
    <mergeCell ref="AR9:AR11"/>
    <mergeCell ref="AR12:AR14"/>
    <mergeCell ref="AR15:AR17"/>
    <mergeCell ref="AO4:AO5"/>
    <mergeCell ref="AP4:AP5"/>
    <mergeCell ref="AQ4:AQ5"/>
    <mergeCell ref="AR4:AR5"/>
    <mergeCell ref="AQ6:AQ8"/>
    <mergeCell ref="AQ9:AQ11"/>
    <mergeCell ref="AQ12:AQ14"/>
    <mergeCell ref="AH6:AH8"/>
    <mergeCell ref="AG9:AG11"/>
    <mergeCell ref="AH9:AH11"/>
    <mergeCell ref="AM12:AM14"/>
    <mergeCell ref="AN12:AN14"/>
    <mergeCell ref="C6:D8"/>
    <mergeCell ref="C9:D11"/>
    <mergeCell ref="C12:D14"/>
    <mergeCell ref="C15:D17"/>
    <mergeCell ref="AG15:AG17"/>
    <mergeCell ref="AH15:AH17"/>
    <mergeCell ref="Y12:Y14"/>
    <mergeCell ref="Z12:Z14"/>
    <mergeCell ref="Y15:Y17"/>
    <mergeCell ref="Z15:Z17"/>
    <mergeCell ref="Y6:Y8"/>
    <mergeCell ref="Z6:Z8"/>
    <mergeCell ref="Y9:Y11"/>
    <mergeCell ref="Z9:Z11"/>
    <mergeCell ref="U12:U14"/>
    <mergeCell ref="V12:V14"/>
    <mergeCell ref="AM15:AM17"/>
    <mergeCell ref="AN15:AN17"/>
    <mergeCell ref="AC12:AC14"/>
    <mergeCell ref="AD12:AD14"/>
    <mergeCell ref="AC6:AC8"/>
    <mergeCell ref="AD6:AD8"/>
    <mergeCell ref="AC9:AC11"/>
    <mergeCell ref="AD9:AD11"/>
    <mergeCell ref="AC15:AC17"/>
    <mergeCell ref="AD15:AD17"/>
    <mergeCell ref="AG6:AG8"/>
    <mergeCell ref="AM6:AM8"/>
    <mergeCell ref="AN6:AN8"/>
    <mergeCell ref="AM9:AM11"/>
    <mergeCell ref="AN9:AN11"/>
    <mergeCell ref="AG12:AG14"/>
    <mergeCell ref="AH12:AH14"/>
    <mergeCell ref="U15:U17"/>
    <mergeCell ref="V15:V17"/>
    <mergeCell ref="U6:U8"/>
    <mergeCell ref="V6:V8"/>
    <mergeCell ref="U9:U11"/>
    <mergeCell ref="V9:V11"/>
    <mergeCell ref="Q15:Q17"/>
    <mergeCell ref="R15:R17"/>
    <mergeCell ref="R9:R11"/>
    <mergeCell ref="Q12:Q14"/>
    <mergeCell ref="R12:R14"/>
    <mergeCell ref="K12:K14"/>
    <mergeCell ref="K15:K17"/>
    <mergeCell ref="L15:L17"/>
    <mergeCell ref="H15:H17"/>
    <mergeCell ref="B4:B5"/>
    <mergeCell ref="C4:D5"/>
    <mergeCell ref="L6:L8"/>
    <mergeCell ref="L9:L11"/>
    <mergeCell ref="L12:L14"/>
    <mergeCell ref="G12:G14"/>
    <mergeCell ref="G15:G17"/>
    <mergeCell ref="H6:H8"/>
    <mergeCell ref="H9:H11"/>
    <mergeCell ref="H12:H14"/>
    <mergeCell ref="E4:E5"/>
    <mergeCell ref="F4:F5"/>
    <mergeCell ref="G4:G5"/>
    <mergeCell ref="H4:H5"/>
    <mergeCell ref="AM4:AM5"/>
    <mergeCell ref="AN4:AN5"/>
    <mergeCell ref="AK2:AN3"/>
    <mergeCell ref="G6:G8"/>
    <mergeCell ref="G9:G11"/>
    <mergeCell ref="K6:K8"/>
    <mergeCell ref="AF4:AF5"/>
    <mergeCell ref="AG4:AG5"/>
    <mergeCell ref="AH4:AH5"/>
    <mergeCell ref="AE2:AH3"/>
    <mergeCell ref="AK4:AK5"/>
    <mergeCell ref="AL4:AL5"/>
    <mergeCell ref="AA4:AA5"/>
    <mergeCell ref="AB4:AB5"/>
    <mergeCell ref="AC4:AC5"/>
    <mergeCell ref="AD4:AD5"/>
    <mergeCell ref="AA2:AD3"/>
    <mergeCell ref="AE4:AE5"/>
    <mergeCell ref="V4:V5"/>
    <mergeCell ref="W4:W5"/>
    <mergeCell ref="X4:X5"/>
    <mergeCell ref="Y4:Y5"/>
    <mergeCell ref="Z4:Z5"/>
    <mergeCell ref="Q6:Q8"/>
    <mergeCell ref="R6:R8"/>
    <mergeCell ref="Q9:Q11"/>
    <mergeCell ref="AI2:AJ3"/>
    <mergeCell ref="B2:D3"/>
    <mergeCell ref="M2:N3"/>
    <mergeCell ref="E2:H3"/>
    <mergeCell ref="I4:I5"/>
    <mergeCell ref="S2:V3"/>
    <mergeCell ref="W2:Z3"/>
    <mergeCell ref="Q4:Q5"/>
    <mergeCell ref="R4:R5"/>
    <mergeCell ref="O2:R3"/>
    <mergeCell ref="S4:S5"/>
    <mergeCell ref="T4:T5"/>
    <mergeCell ref="U4:U5"/>
    <mergeCell ref="J4:J5"/>
    <mergeCell ref="K4:K5"/>
    <mergeCell ref="L4:L5"/>
    <mergeCell ref="I2:L3"/>
    <mergeCell ref="O4:O5"/>
    <mergeCell ref="P4:P5"/>
    <mergeCell ref="K9:K11"/>
  </mergeCells>
  <phoneticPr fontId="3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calibration curve</vt:lpstr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shiori</dc:creator>
  <cp:lastModifiedBy>哲志 山本</cp:lastModifiedBy>
  <dcterms:created xsi:type="dcterms:W3CDTF">2022-07-07T05:50:24Z</dcterms:created>
  <dcterms:modified xsi:type="dcterms:W3CDTF">2026-01-16T09:26:53Z</dcterms:modified>
</cp:coreProperties>
</file>