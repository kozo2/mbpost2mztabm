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t\Desktop\共同（関西医科大・朴先生）\cell for databse\230509\"/>
    </mc:Choice>
  </mc:AlternateContent>
  <xr:revisionPtr revIDLastSave="0" documentId="13_ncr:1_{D3F9B352-06A2-46C8-ACA2-2777D4720AAC}" xr6:coauthVersionLast="47" xr6:coauthVersionMax="47" xr10:uidLastSave="{00000000-0000-0000-0000-000000000000}"/>
  <bookViews>
    <workbookView xWindow="20445" yWindow="1275" windowWidth="23055" windowHeight="14400" xr2:uid="{099AB685-5D4C-4046-8860-32CEECBDDFCF}"/>
  </bookViews>
  <sheets>
    <sheet name="calibration curve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" i="2" l="1"/>
  <c r="AL8" i="2"/>
  <c r="AL9" i="2"/>
  <c r="AL10" i="2"/>
  <c r="AL11" i="2"/>
  <c r="AL12" i="2"/>
  <c r="AL13" i="2"/>
  <c r="AL14" i="2"/>
  <c r="AL15" i="2"/>
  <c r="AL16" i="2"/>
  <c r="AL17" i="2"/>
  <c r="AL6" i="2"/>
  <c r="AF7" i="2"/>
  <c r="AF8" i="2"/>
  <c r="AF9" i="2"/>
  <c r="AF10" i="2"/>
  <c r="AF11" i="2"/>
  <c r="AF12" i="2"/>
  <c r="AF13" i="2"/>
  <c r="AF14" i="2"/>
  <c r="AF15" i="2"/>
  <c r="AF16" i="2"/>
  <c r="AF17" i="2"/>
  <c r="AF6" i="2"/>
  <c r="AB7" i="2"/>
  <c r="AB8" i="2"/>
  <c r="AB9" i="2"/>
  <c r="AB10" i="2"/>
  <c r="AB11" i="2"/>
  <c r="AB12" i="2"/>
  <c r="AB13" i="2"/>
  <c r="AB14" i="2"/>
  <c r="AB15" i="2"/>
  <c r="AB16" i="2"/>
  <c r="AB17" i="2"/>
  <c r="AB6" i="2"/>
  <c r="X17" i="2"/>
  <c r="X16" i="2"/>
  <c r="X15" i="2"/>
  <c r="X14" i="2"/>
  <c r="X13" i="2"/>
  <c r="X12" i="2"/>
  <c r="X11" i="2"/>
  <c r="X10" i="2"/>
  <c r="X9" i="2"/>
  <c r="X8" i="2"/>
  <c r="X7" i="2"/>
  <c r="X6" i="2"/>
  <c r="T17" i="2"/>
  <c r="T16" i="2"/>
  <c r="T15" i="2"/>
  <c r="T14" i="2"/>
  <c r="T13" i="2"/>
  <c r="T12" i="2"/>
  <c r="T11" i="2"/>
  <c r="T10" i="2"/>
  <c r="T9" i="2"/>
  <c r="T8" i="2"/>
  <c r="T7" i="2"/>
  <c r="T6" i="2"/>
  <c r="P7" i="2"/>
  <c r="P8" i="2"/>
  <c r="P9" i="2"/>
  <c r="P10" i="2"/>
  <c r="P11" i="2"/>
  <c r="P12" i="2"/>
  <c r="P13" i="2"/>
  <c r="P14" i="2"/>
  <c r="P15" i="2"/>
  <c r="P16" i="2"/>
  <c r="P17" i="2"/>
  <c r="P6" i="2"/>
  <c r="J17" i="2"/>
  <c r="J16" i="2"/>
  <c r="J15" i="2"/>
  <c r="J14" i="2"/>
  <c r="J13" i="2"/>
  <c r="J12" i="2"/>
  <c r="J11" i="2"/>
  <c r="J10" i="2"/>
  <c r="J9" i="2"/>
  <c r="J8" i="2"/>
  <c r="J7" i="2"/>
  <c r="J6" i="2"/>
  <c r="F7" i="2"/>
  <c r="F8" i="2"/>
  <c r="F9" i="2"/>
  <c r="F10" i="2"/>
  <c r="F11" i="2"/>
  <c r="F12" i="2"/>
  <c r="F13" i="2"/>
  <c r="F14" i="2"/>
  <c r="F15" i="2"/>
  <c r="F16" i="2"/>
  <c r="F17" i="2"/>
  <c r="F6" i="2"/>
  <c r="F33" i="1" l="1"/>
  <c r="F36" i="1"/>
  <c r="T45" i="1"/>
  <c r="R45" i="1"/>
  <c r="P45" i="1"/>
  <c r="H39" i="1"/>
  <c r="T42" i="1" l="1"/>
  <c r="R42" i="1"/>
  <c r="P42" i="1"/>
  <c r="T39" i="1"/>
  <c r="R39" i="1"/>
  <c r="P39" i="1"/>
  <c r="L39" i="1"/>
  <c r="T36" i="1"/>
  <c r="R36" i="1"/>
  <c r="P36" i="1"/>
  <c r="L36" i="1"/>
  <c r="H36" i="1"/>
  <c r="Z33" i="1"/>
  <c r="T33" i="1"/>
  <c r="R33" i="1"/>
  <c r="P33" i="1"/>
  <c r="L33" i="1"/>
  <c r="H33" i="1"/>
  <c r="Z30" i="1"/>
  <c r="X30" i="1"/>
  <c r="T30" i="1"/>
  <c r="R30" i="1"/>
  <c r="P30" i="1"/>
  <c r="N30" i="1"/>
  <c r="L30" i="1"/>
  <c r="H30" i="1"/>
  <c r="F30" i="1"/>
  <c r="Z27" i="1"/>
  <c r="X27" i="1"/>
  <c r="T27" i="1"/>
  <c r="R27" i="1"/>
  <c r="P27" i="1"/>
  <c r="N27" i="1"/>
  <c r="L27" i="1"/>
  <c r="H27" i="1"/>
  <c r="F27" i="1"/>
  <c r="Z24" i="1"/>
  <c r="T24" i="1"/>
  <c r="P24" i="1"/>
  <c r="N24" i="1"/>
  <c r="L24" i="1"/>
  <c r="H24" i="1"/>
  <c r="F24" i="1"/>
  <c r="Z21" i="1"/>
  <c r="X21" i="1"/>
  <c r="T21" i="1"/>
  <c r="R21" i="1"/>
  <c r="P21" i="1"/>
  <c r="N21" i="1"/>
  <c r="L21" i="1"/>
  <c r="H21" i="1"/>
  <c r="F21" i="1"/>
  <c r="Z18" i="1"/>
  <c r="X18" i="1"/>
  <c r="T18" i="1"/>
  <c r="R18" i="1"/>
  <c r="P18" i="1"/>
  <c r="N18" i="1"/>
  <c r="L18" i="1"/>
  <c r="H18" i="1"/>
  <c r="F18" i="1"/>
  <c r="Z15" i="1"/>
  <c r="X15" i="1"/>
  <c r="T15" i="1"/>
  <c r="R15" i="1"/>
  <c r="P15" i="1"/>
  <c r="N15" i="1"/>
  <c r="L15" i="1"/>
  <c r="H15" i="1"/>
  <c r="F15" i="1"/>
  <c r="Z12" i="1"/>
  <c r="X12" i="1"/>
  <c r="T12" i="1"/>
  <c r="R12" i="1"/>
  <c r="P12" i="1"/>
  <c r="N12" i="1"/>
  <c r="L12" i="1"/>
  <c r="H12" i="1"/>
  <c r="F12" i="1"/>
  <c r="AH6" i="2" l="1"/>
  <c r="R15" i="2"/>
  <c r="AN9" i="2"/>
  <c r="Z6" i="2"/>
  <c r="Z12" i="2"/>
  <c r="AG6" i="2"/>
  <c r="L15" i="2"/>
  <c r="H15" i="2"/>
  <c r="AD6" i="2"/>
  <c r="V12" i="2"/>
  <c r="V6" i="2"/>
  <c r="R6" i="2"/>
  <c r="L9" i="2"/>
  <c r="L12" i="2"/>
  <c r="H9" i="2"/>
  <c r="H6" i="2"/>
  <c r="V9" i="2"/>
  <c r="Z15" i="2"/>
  <c r="AH12" i="2"/>
  <c r="Z9" i="2"/>
  <c r="AD15" i="2"/>
  <c r="AN12" i="2"/>
  <c r="AD12" i="2"/>
  <c r="L6" i="2"/>
  <c r="AD9" i="2"/>
  <c r="AH15" i="2"/>
  <c r="V15" i="2"/>
  <c r="AH9" i="2"/>
  <c r="AN15" i="2"/>
  <c r="R9" i="2"/>
  <c r="AN6" i="2"/>
  <c r="H12" i="2"/>
  <c r="R12" i="2"/>
  <c r="G12" i="2"/>
  <c r="K12" i="2"/>
  <c r="Q12" i="2"/>
  <c r="U12" i="2"/>
  <c r="Y12" i="2"/>
  <c r="AC12" i="2"/>
  <c r="AG12" i="2"/>
  <c r="AM12" i="2"/>
  <c r="G9" i="2"/>
  <c r="K9" i="2"/>
  <c r="Q9" i="2"/>
  <c r="U9" i="2"/>
  <c r="Y9" i="2"/>
  <c r="AC9" i="2"/>
  <c r="AG9" i="2"/>
  <c r="AM9" i="2"/>
  <c r="G6" i="2"/>
  <c r="K6" i="2"/>
  <c r="Q6" i="2"/>
  <c r="U6" i="2"/>
  <c r="Y6" i="2"/>
  <c r="AC6" i="2"/>
  <c r="AM6" i="2"/>
  <c r="G15" i="2"/>
  <c r="K15" i="2"/>
  <c r="Q15" i="2"/>
  <c r="U15" i="2"/>
  <c r="Y15" i="2"/>
  <c r="AC15" i="2"/>
  <c r="AG15" i="2"/>
  <c r="AM15" i="2"/>
</calcChain>
</file>

<file path=xl/sharedStrings.xml><?xml version="1.0" encoding="utf-8"?>
<sst xmlns="http://schemas.openxmlformats.org/spreadsheetml/2006/main" count="74" uniqueCount="29">
  <si>
    <r>
      <t>NH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 xml:space="preserve">(mM) : </t>
    </r>
    <phoneticPr fontId="3"/>
  </si>
  <si>
    <r>
      <t>Inj volume (</t>
    </r>
    <r>
      <rPr>
        <sz val="11"/>
        <color theme="1"/>
        <rFont val="ＭＳ Ｐ明朝"/>
        <family val="1"/>
        <charset val="128"/>
      </rPr>
      <t>µ</t>
    </r>
    <r>
      <rPr>
        <sz val="11"/>
        <color theme="1"/>
        <rFont val="Times New Roman"/>
        <family val="1"/>
      </rPr>
      <t xml:space="preserve">L) : </t>
    </r>
    <phoneticPr fontId="3"/>
  </si>
  <si>
    <t>Area</t>
    <phoneticPr fontId="3"/>
  </si>
  <si>
    <t>Compounds</t>
    <phoneticPr fontId="3"/>
  </si>
  <si>
    <t>Fumalic acid</t>
    <phoneticPr fontId="3"/>
  </si>
  <si>
    <t>Succinic acid</t>
    <phoneticPr fontId="3"/>
  </si>
  <si>
    <t>Oxaloacetic acid</t>
    <phoneticPr fontId="3"/>
  </si>
  <si>
    <t>Malic acid</t>
    <phoneticPr fontId="3"/>
  </si>
  <si>
    <t>Oxoglutaric acid</t>
    <phoneticPr fontId="3"/>
  </si>
  <si>
    <t>Glutamine</t>
    <phoneticPr fontId="3"/>
  </si>
  <si>
    <t>Glutamic acid</t>
    <phoneticPr fontId="3"/>
  </si>
  <si>
    <t>Hydroxyglutaric acid</t>
    <phoneticPr fontId="3"/>
  </si>
  <si>
    <t>Aconitic acid</t>
    <phoneticPr fontId="3"/>
  </si>
  <si>
    <t>Citric acid</t>
    <phoneticPr fontId="3"/>
  </si>
  <si>
    <t>Isocitric acid</t>
    <phoneticPr fontId="3"/>
  </si>
  <si>
    <t>Precurser ion (m / z)</t>
    <phoneticPr fontId="3"/>
  </si>
  <si>
    <t>Product ion (m / z)</t>
    <phoneticPr fontId="3"/>
  </si>
  <si>
    <t>Collision energy (eV)</t>
    <phoneticPr fontId="3"/>
  </si>
  <si>
    <t>Concentration           (µM, pmol)</t>
    <phoneticPr fontId="3"/>
  </si>
  <si>
    <t>HCT116 MT</t>
    <phoneticPr fontId="3"/>
  </si>
  <si>
    <t>ASA 2mM</t>
    <phoneticPr fontId="3"/>
  </si>
  <si>
    <t>Concentration
 (pmol)</t>
    <phoneticPr fontId="3"/>
  </si>
  <si>
    <t>Average</t>
    <phoneticPr fontId="3"/>
  </si>
  <si>
    <t>S.D.</t>
    <phoneticPr fontId="3"/>
  </si>
  <si>
    <t>Cell</t>
    <phoneticPr fontId="3"/>
  </si>
  <si>
    <t>Condition</t>
    <phoneticPr fontId="3"/>
  </si>
  <si>
    <t>DMSO</t>
    <phoneticPr fontId="3"/>
  </si>
  <si>
    <t>V9302(20μM)</t>
    <phoneticPr fontId="3"/>
  </si>
  <si>
    <t>ASA+V9302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</si>
</sst>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0" fillId="0" borderId="4" xfId="0" applyBorder="1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6" xfId="0" applyBorder="1"/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17" xfId="0" applyFont="1" applyBorder="1"/>
    <xf numFmtId="0" fontId="7" fillId="0" borderId="0" xfId="0" applyFont="1" applyAlignment="1">
      <alignment vertical="center" wrapText="1"/>
    </xf>
    <xf numFmtId="0" fontId="0" fillId="0" borderId="18" xfId="0" applyBorder="1"/>
    <xf numFmtId="0" fontId="1" fillId="0" borderId="5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Fumalic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curve'!$D$24:$D$35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curve'!$F$24:$F$35</c:f>
              <c:numCache>
                <c:formatCode>General</c:formatCode>
                <c:ptCount val="12"/>
                <c:pt idx="0">
                  <c:v>10226.666666666666</c:v>
                </c:pt>
                <c:pt idx="3" formatCode="0.00">
                  <c:v>5312.666666666667</c:v>
                </c:pt>
                <c:pt idx="6">
                  <c:v>2586.3333333333335</c:v>
                </c:pt>
                <c:pt idx="9">
                  <c:v>1408.3333333333333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4-4C29-8A2F-FF22BFB2C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928"/>
        <c:axId val="102917248"/>
      </c:scatterChart>
      <c:valAx>
        <c:axId val="241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917248"/>
        <c:crosses val="autoZero"/>
        <c:crossBetween val="midCat"/>
      </c:valAx>
      <c:valAx>
        <c:axId val="102917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41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Isocitric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43228557453285E-2"/>
                  <c:y val="-4.538187597955171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curve'!$D$24:$D$41</c:f>
              <c:numCache>
                <c:formatCode>General</c:formatCode>
                <c:ptCount val="18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  <c:pt idx="15">
                  <c:v>200</c:v>
                </c:pt>
              </c:numCache>
            </c:numRef>
          </c:xVal>
          <c:yVal>
            <c:numRef>
              <c:f>'calibration curve'!$Z$24:$Z$41</c:f>
              <c:numCache>
                <c:formatCode>General</c:formatCode>
                <c:ptCount val="18"/>
                <c:pt idx="0">
                  <c:v>13264.666666666666</c:v>
                </c:pt>
                <c:pt idx="3">
                  <c:v>6754.666666666667</c:v>
                </c:pt>
                <c:pt idx="6" formatCode="0.00">
                  <c:v>3023</c:v>
                </c:pt>
                <c:pt idx="9">
                  <c:v>1252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43-4750-A0D0-B9A57014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85312"/>
        <c:axId val="174488576"/>
      </c:scatterChart>
      <c:valAx>
        <c:axId val="3508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88576"/>
        <c:crosses val="autoZero"/>
        <c:crossBetween val="midCat"/>
      </c:valAx>
      <c:valAx>
        <c:axId val="174488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508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43228557453285E-2"/>
                  <c:y val="-4.538187597955171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curve'!$D$18:$D$32</c:f>
              <c:numCache>
                <c:formatCode>General</c:formatCode>
                <c:ptCount val="15"/>
                <c:pt idx="0">
                  <c:v>10000</c:v>
                </c:pt>
                <c:pt idx="3">
                  <c:v>5000</c:v>
                </c:pt>
                <c:pt idx="6">
                  <c:v>4000</c:v>
                </c:pt>
                <c:pt idx="9">
                  <c:v>2000</c:v>
                </c:pt>
                <c:pt idx="12">
                  <c:v>1000</c:v>
                </c:pt>
              </c:numCache>
            </c:numRef>
          </c:xVal>
          <c:yVal>
            <c:numRef>
              <c:f>'calibration curve'!$X$18:$X$32</c:f>
              <c:numCache>
                <c:formatCode>0.00</c:formatCode>
                <c:ptCount val="15"/>
                <c:pt idx="0">
                  <c:v>127101.66666666667</c:v>
                </c:pt>
                <c:pt idx="3">
                  <c:v>67467.333333333328</c:v>
                </c:pt>
                <c:pt idx="9" formatCode="General">
                  <c:v>5734</c:v>
                </c:pt>
                <c:pt idx="12">
                  <c:v>2545.3333333333335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C1-4AB3-990C-82F841F7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9376"/>
        <c:axId val="174311296"/>
      </c:scatterChart>
      <c:valAx>
        <c:axId val="17430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311296"/>
        <c:crosses val="autoZero"/>
        <c:crossBetween val="midCat"/>
      </c:valAx>
      <c:valAx>
        <c:axId val="17431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30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Hydroxyglutaric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curve'!$D$24:$D$38</c:f>
              <c:numCache>
                <c:formatCode>General</c:formatCode>
                <c:ptCount val="15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</c:numCache>
            </c:numRef>
          </c:xVal>
          <c:yVal>
            <c:numRef>
              <c:f>'calibration curve'!$T$24:$T$38</c:f>
              <c:numCache>
                <c:formatCode>General</c:formatCode>
                <c:ptCount val="15"/>
                <c:pt idx="0">
                  <c:v>230987.33333333334</c:v>
                </c:pt>
                <c:pt idx="3">
                  <c:v>109928.66666666667</c:v>
                </c:pt>
                <c:pt idx="6">
                  <c:v>52535</c:v>
                </c:pt>
                <c:pt idx="9" formatCode="0.00">
                  <c:v>27991</c:v>
                </c:pt>
                <c:pt idx="12" formatCode="0.00">
                  <c:v>5810.333333333333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A-4203-94AE-582B3F5C5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58976"/>
        <c:axId val="174160512"/>
      </c:scatterChart>
      <c:valAx>
        <c:axId val="17415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60512"/>
        <c:crosses val="autoZero"/>
        <c:crossBetween val="midCat"/>
      </c:valAx>
      <c:valAx>
        <c:axId val="174160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5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143520248720945E-2"/>
                  <c:y val="-4.665872121303857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curve'!$D$18:$D$32</c:f>
              <c:numCache>
                <c:formatCode>General</c:formatCode>
                <c:ptCount val="15"/>
                <c:pt idx="0">
                  <c:v>10000</c:v>
                </c:pt>
                <c:pt idx="3">
                  <c:v>5000</c:v>
                </c:pt>
                <c:pt idx="6">
                  <c:v>4000</c:v>
                </c:pt>
                <c:pt idx="9">
                  <c:v>2000</c:v>
                </c:pt>
                <c:pt idx="12">
                  <c:v>1000</c:v>
                </c:pt>
              </c:numCache>
            </c:numRef>
          </c:xVal>
          <c:yVal>
            <c:numRef>
              <c:f>'calibration curve'!$R$18:$R$32</c:f>
              <c:numCache>
                <c:formatCode>General</c:formatCode>
                <c:ptCount val="15"/>
                <c:pt idx="0">
                  <c:v>17915462.666666668</c:v>
                </c:pt>
                <c:pt idx="3" formatCode="0.00">
                  <c:v>10793514</c:v>
                </c:pt>
                <c:pt idx="9" formatCode="0.00">
                  <c:v>1389088.6666666667</c:v>
                </c:pt>
                <c:pt idx="12">
                  <c:v>689928.66666666663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7A-4086-B2BF-B4AEED0A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7984"/>
        <c:axId val="174150784"/>
      </c:scatterChart>
      <c:valAx>
        <c:axId val="1738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50784"/>
        <c:crosses val="autoZero"/>
        <c:crossBetween val="midCat"/>
      </c:valAx>
      <c:valAx>
        <c:axId val="17415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89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Glutamine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609938161974954E-2"/>
                  <c:y val="-4.524996508270411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curve'!$D$24:$D$38</c:f>
              <c:numCache>
                <c:formatCode>General</c:formatCode>
                <c:ptCount val="15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</c:numCache>
            </c:numRef>
          </c:xVal>
          <c:yVal>
            <c:numRef>
              <c:f>'calibration curve'!$P$24:$P$38</c:f>
              <c:numCache>
                <c:formatCode>0.00</c:formatCode>
                <c:ptCount val="15"/>
                <c:pt idx="0">
                  <c:v>2461363.3333333335</c:v>
                </c:pt>
                <c:pt idx="3">
                  <c:v>1230525.3333333333</c:v>
                </c:pt>
                <c:pt idx="6">
                  <c:v>572460.66666666663</c:v>
                </c:pt>
                <c:pt idx="9" formatCode="General">
                  <c:v>265257.33333333331</c:v>
                </c:pt>
                <c:pt idx="12">
                  <c:v>49919.666666666664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14-44EC-B741-12B8AA9ED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5488"/>
        <c:axId val="173057536"/>
      </c:scatterChart>
      <c:valAx>
        <c:axId val="17425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057536"/>
        <c:crosses val="autoZero"/>
        <c:crossBetween val="midCat"/>
      </c:valAx>
      <c:valAx>
        <c:axId val="1730575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25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Oxoglutaric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curve'!$D$18:$D$29</c:f>
              <c:numCache>
                <c:formatCode>General</c:formatCode>
                <c:ptCount val="12"/>
                <c:pt idx="0">
                  <c:v>10000</c:v>
                </c:pt>
                <c:pt idx="3">
                  <c:v>5000</c:v>
                </c:pt>
                <c:pt idx="6">
                  <c:v>4000</c:v>
                </c:pt>
                <c:pt idx="9">
                  <c:v>2000</c:v>
                </c:pt>
              </c:numCache>
            </c:numRef>
          </c:xVal>
          <c:yVal>
            <c:numRef>
              <c:f>'calibration curve'!$N$18:$N$29</c:f>
              <c:numCache>
                <c:formatCode>0</c:formatCode>
                <c:ptCount val="12"/>
                <c:pt idx="0">
                  <c:v>61304.666666666664</c:v>
                </c:pt>
                <c:pt idx="3" formatCode="0.00">
                  <c:v>31091</c:v>
                </c:pt>
                <c:pt idx="6" formatCode="General">
                  <c:v>6596.333333333333</c:v>
                </c:pt>
                <c:pt idx="9" formatCode="General">
                  <c:v>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D-48A1-9376-4E6FEA35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12416"/>
        <c:axId val="174283392"/>
      </c:scatterChart>
      <c:valAx>
        <c:axId val="17321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283392"/>
        <c:crosses val="autoZero"/>
        <c:crossBetween val="midCat"/>
      </c:valAx>
      <c:valAx>
        <c:axId val="174283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21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38933842731801E-2"/>
                  <c:y val="4.0014031166834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curve'!$D$24:$D$35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curve'!$L$24:$L$35</c:f>
              <c:numCache>
                <c:formatCode>0.00</c:formatCode>
                <c:ptCount val="12"/>
                <c:pt idx="0">
                  <c:v>164489</c:v>
                </c:pt>
                <c:pt idx="3" formatCode="0">
                  <c:v>85108.666666666672</c:v>
                </c:pt>
                <c:pt idx="6">
                  <c:v>37556</c:v>
                </c:pt>
                <c:pt idx="9">
                  <c:v>17347.333333333332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7-409B-84E4-40E282E1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51648"/>
        <c:axId val="189551744"/>
      </c:scatterChart>
      <c:valAx>
        <c:axId val="17825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89551744"/>
        <c:crosses val="autoZero"/>
        <c:crossBetween val="midCat"/>
      </c:valAx>
      <c:valAx>
        <c:axId val="1895517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82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Succinic</a:t>
            </a: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curve'!$D$24:$D$38</c:f>
              <c:numCache>
                <c:formatCode>General</c:formatCode>
                <c:ptCount val="15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</c:numCache>
            </c:numRef>
          </c:xVal>
          <c:yVal>
            <c:numRef>
              <c:f>'calibration curve'!$H$24:$H$38</c:f>
              <c:numCache>
                <c:formatCode>General</c:formatCode>
                <c:ptCount val="15"/>
                <c:pt idx="0">
                  <c:v>72076.333333333328</c:v>
                </c:pt>
                <c:pt idx="3" formatCode="0.00">
                  <c:v>35963.666666666664</c:v>
                </c:pt>
                <c:pt idx="6">
                  <c:v>16732.333333333332</c:v>
                </c:pt>
                <c:pt idx="9" formatCode="0.00">
                  <c:v>9028</c:v>
                </c:pt>
                <c:pt idx="12">
                  <c:v>1958.3333333333333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DD-40FC-9762-20EC7C80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09216"/>
        <c:axId val="174411136"/>
      </c:scatterChart>
      <c:valAx>
        <c:axId val="17440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11136"/>
        <c:crosses val="autoZero"/>
        <c:crossBetween val="midCat"/>
      </c:valAx>
      <c:valAx>
        <c:axId val="17441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0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22885</xdr:colOff>
      <xdr:row>4</xdr:row>
      <xdr:rowOff>184521</xdr:rowOff>
    </xdr:from>
    <xdr:to>
      <xdr:col>33</xdr:col>
      <xdr:colOff>675409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AFDF5A-F039-4456-BEAC-1B15476B3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49</xdr:col>
      <xdr:colOff>675409</xdr:colOff>
      <xdr:row>54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7210370-86E9-48A5-905F-95110F86D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-1</xdr:colOff>
      <xdr:row>21</xdr:row>
      <xdr:rowOff>0</xdr:rowOff>
    </xdr:from>
    <xdr:to>
      <xdr:col>50</xdr:col>
      <xdr:colOff>-1</xdr:colOff>
      <xdr:row>36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879CC90-7045-44DB-A6C0-41FD2B851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49</xdr:col>
      <xdr:colOff>675409</xdr:colOff>
      <xdr:row>20</xdr:row>
      <xdr:rowOff>17318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E0D40EF-C7A4-49F7-804A-384E68E1E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37</xdr:row>
      <xdr:rowOff>-1</xdr:rowOff>
    </xdr:from>
    <xdr:to>
      <xdr:col>41</xdr:col>
      <xdr:colOff>675409</xdr:colOff>
      <xdr:row>53</xdr:row>
      <xdr:rowOff>173181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D670509-F226-4886-9C99-FC874C24A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0</xdr:colOff>
      <xdr:row>21</xdr:row>
      <xdr:rowOff>0</xdr:rowOff>
    </xdr:from>
    <xdr:to>
      <xdr:col>41</xdr:col>
      <xdr:colOff>675409</xdr:colOff>
      <xdr:row>36</xdr:row>
      <xdr:rowOff>51954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93E3396-6988-4579-9C61-E3F32F1DA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-1</xdr:colOff>
      <xdr:row>5</xdr:row>
      <xdr:rowOff>0</xdr:rowOff>
    </xdr:from>
    <xdr:to>
      <xdr:col>42</xdr:col>
      <xdr:colOff>17318</xdr:colOff>
      <xdr:row>20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B335439-F91F-4A3B-BF11-699BA3DAF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37</xdr:row>
      <xdr:rowOff>0</xdr:rowOff>
    </xdr:from>
    <xdr:to>
      <xdr:col>33</xdr:col>
      <xdr:colOff>658091</xdr:colOff>
      <xdr:row>53</xdr:row>
      <xdr:rowOff>155864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1B04340-F907-4342-8073-9DB4FA65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692726</xdr:colOff>
      <xdr:row>21</xdr:row>
      <xdr:rowOff>0</xdr:rowOff>
    </xdr:from>
    <xdr:to>
      <xdr:col>33</xdr:col>
      <xdr:colOff>692726</xdr:colOff>
      <xdr:row>36</xdr:row>
      <xdr:rowOff>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A1DD978-BA90-4B71-8DC9-82BD1463F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EE0A-AD7C-4899-B2BD-59FD19B4BD14}">
  <sheetPr>
    <pageSetUpPr fitToPage="1"/>
  </sheetPr>
  <dimension ref="B4:AA79"/>
  <sheetViews>
    <sheetView tabSelected="1" topLeftCell="A15" zoomScale="80" zoomScaleNormal="80" workbookViewId="0">
      <selection activeCell="A26" sqref="A26"/>
    </sheetView>
  </sheetViews>
  <sheetFormatPr defaultRowHeight="18.75" x14ac:dyDescent="0.4"/>
  <cols>
    <col min="2" max="2" width="10.625" customWidth="1"/>
    <col min="5" max="5" width="10.25" bestFit="1" customWidth="1"/>
    <col min="7" max="7" width="10.125" customWidth="1"/>
    <col min="8" max="8" width="10.375" bestFit="1" customWidth="1"/>
    <col min="9" max="9" width="9.625" customWidth="1"/>
    <col min="12" max="12" width="11.25" customWidth="1"/>
    <col min="14" max="14" width="12" customWidth="1"/>
    <col min="15" max="15" width="10.625" customWidth="1"/>
    <col min="16" max="16" width="12.125" customWidth="1"/>
    <col min="17" max="17" width="10.5" customWidth="1"/>
    <col min="18" max="18" width="13.375" customWidth="1"/>
    <col min="19" max="19" width="11.25" bestFit="1" customWidth="1"/>
    <col min="20" max="20" width="13" customWidth="1"/>
    <col min="24" max="24" width="9.875" customWidth="1"/>
    <col min="26" max="26" width="10.25" customWidth="1"/>
  </cols>
  <sheetData>
    <row r="4" spans="2:27" x14ac:dyDescent="0.4">
      <c r="B4" s="1" t="s">
        <v>0</v>
      </c>
      <c r="C4" s="2">
        <v>100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.5" thickBot="1" x14ac:dyDescent="0.45">
      <c r="B5" s="1" t="s">
        <v>1</v>
      </c>
      <c r="C5" s="2">
        <v>5</v>
      </c>
      <c r="D5" s="2"/>
      <c r="E5" s="2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9.5" thickBot="1" x14ac:dyDescent="0.45">
      <c r="B6" s="24" t="s">
        <v>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4"/>
    </row>
    <row r="7" spans="2:27" ht="19.5" thickTop="1" x14ac:dyDescent="0.4">
      <c r="B7" s="25" t="s">
        <v>3</v>
      </c>
      <c r="C7" s="25"/>
      <c r="D7" s="25"/>
      <c r="E7" s="27" t="s">
        <v>4</v>
      </c>
      <c r="F7" s="27"/>
      <c r="G7" s="27" t="s">
        <v>5</v>
      </c>
      <c r="H7" s="27"/>
      <c r="I7" s="27" t="s">
        <v>6</v>
      </c>
      <c r="J7" s="27"/>
      <c r="K7" s="27" t="s">
        <v>7</v>
      </c>
      <c r="L7" s="27"/>
      <c r="M7" s="27" t="s">
        <v>8</v>
      </c>
      <c r="N7" s="27"/>
      <c r="O7" s="27" t="s">
        <v>9</v>
      </c>
      <c r="P7" s="27"/>
      <c r="Q7" s="27" t="s">
        <v>10</v>
      </c>
      <c r="R7" s="27"/>
      <c r="S7" s="29" t="s">
        <v>11</v>
      </c>
      <c r="T7" s="29"/>
      <c r="U7" s="27" t="s">
        <v>12</v>
      </c>
      <c r="V7" s="27"/>
      <c r="W7" s="27" t="s">
        <v>13</v>
      </c>
      <c r="X7" s="27"/>
      <c r="Y7" s="27" t="s">
        <v>14</v>
      </c>
      <c r="Z7" s="27"/>
      <c r="AA7" s="5"/>
    </row>
    <row r="8" spans="2:27" ht="19.5" thickBot="1" x14ac:dyDescent="0.45"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0"/>
      <c r="T8" s="30"/>
      <c r="U8" s="28"/>
      <c r="V8" s="28"/>
      <c r="W8" s="28"/>
      <c r="X8" s="28"/>
      <c r="Y8" s="28"/>
      <c r="Z8" s="28"/>
      <c r="AA8" s="5"/>
    </row>
    <row r="9" spans="2:27" ht="19.5" thickTop="1" x14ac:dyDescent="0.4">
      <c r="B9" s="25" t="s">
        <v>15</v>
      </c>
      <c r="C9" s="25"/>
      <c r="D9" s="25"/>
      <c r="E9" s="31">
        <v>115.16</v>
      </c>
      <c r="F9" s="31"/>
      <c r="G9" s="31">
        <v>117.21</v>
      </c>
      <c r="H9" s="31"/>
      <c r="I9" s="31">
        <v>131.04</v>
      </c>
      <c r="J9" s="31"/>
      <c r="K9" s="31">
        <v>133.11000000000001</v>
      </c>
      <c r="L9" s="31"/>
      <c r="M9" s="31">
        <v>145.02000000000001</v>
      </c>
      <c r="N9" s="31"/>
      <c r="O9" s="35">
        <v>147.1</v>
      </c>
      <c r="P9" s="35"/>
      <c r="Q9" s="35">
        <v>148.1</v>
      </c>
      <c r="R9" s="35"/>
      <c r="S9" s="31">
        <v>147.09</v>
      </c>
      <c r="T9" s="31"/>
      <c r="U9" s="31">
        <v>172.95</v>
      </c>
      <c r="V9" s="31"/>
      <c r="W9" s="31">
        <v>190.97</v>
      </c>
      <c r="X9" s="31"/>
      <c r="Y9" s="31">
        <v>190.97</v>
      </c>
      <c r="Z9" s="31"/>
      <c r="AA9" s="6"/>
    </row>
    <row r="10" spans="2:27" x14ac:dyDescent="0.4">
      <c r="B10" s="32" t="s">
        <v>16</v>
      </c>
      <c r="C10" s="32"/>
      <c r="D10" s="32"/>
      <c r="E10" s="33">
        <v>71.11</v>
      </c>
      <c r="F10" s="33"/>
      <c r="G10" s="33">
        <v>73.180000000000007</v>
      </c>
      <c r="H10" s="33"/>
      <c r="I10" s="33">
        <v>87.11</v>
      </c>
      <c r="J10" s="33"/>
      <c r="K10" s="34">
        <v>115</v>
      </c>
      <c r="L10" s="34"/>
      <c r="M10" s="34">
        <v>101</v>
      </c>
      <c r="N10" s="34"/>
      <c r="O10" s="34">
        <v>129.9</v>
      </c>
      <c r="P10" s="34"/>
      <c r="Q10" s="33">
        <v>84.11</v>
      </c>
      <c r="R10" s="33"/>
      <c r="S10" s="34">
        <v>129</v>
      </c>
      <c r="T10" s="34"/>
      <c r="U10" s="34">
        <v>129</v>
      </c>
      <c r="V10" s="34"/>
      <c r="W10" s="33">
        <v>85.11</v>
      </c>
      <c r="X10" s="33"/>
      <c r="Y10" s="33">
        <v>85.11</v>
      </c>
      <c r="Z10" s="33"/>
      <c r="AA10" s="6"/>
    </row>
    <row r="11" spans="2:27" ht="19.5" thickBot="1" x14ac:dyDescent="0.45">
      <c r="B11" s="26" t="s">
        <v>17</v>
      </c>
      <c r="C11" s="26"/>
      <c r="D11" s="26"/>
      <c r="E11" s="36">
        <v>10.25</v>
      </c>
      <c r="F11" s="36"/>
      <c r="G11" s="36">
        <v>10.25</v>
      </c>
      <c r="H11" s="36"/>
      <c r="I11" s="36">
        <v>10.25</v>
      </c>
      <c r="J11" s="36"/>
      <c r="K11" s="37">
        <v>10.25</v>
      </c>
      <c r="L11" s="37"/>
      <c r="M11" s="37">
        <v>10.25</v>
      </c>
      <c r="N11" s="37"/>
      <c r="O11" s="37">
        <v>10.25</v>
      </c>
      <c r="P11" s="37"/>
      <c r="Q11" s="37">
        <v>14.6</v>
      </c>
      <c r="R11" s="37"/>
      <c r="S11" s="37">
        <v>10.25</v>
      </c>
      <c r="T11" s="37"/>
      <c r="U11" s="37">
        <v>10.25</v>
      </c>
      <c r="V11" s="37"/>
      <c r="W11" s="37">
        <v>16.7</v>
      </c>
      <c r="X11" s="37"/>
      <c r="Y11" s="37">
        <v>16.7</v>
      </c>
      <c r="Z11" s="37"/>
      <c r="AA11" s="7"/>
    </row>
    <row r="12" spans="2:27" ht="15.75" customHeight="1" thickTop="1" x14ac:dyDescent="0.4">
      <c r="B12" s="29" t="s">
        <v>18</v>
      </c>
      <c r="C12" s="32">
        <v>5000</v>
      </c>
      <c r="D12" s="32">
        <v>25000</v>
      </c>
      <c r="E12" s="6">
        <v>144503</v>
      </c>
      <c r="F12" s="33">
        <f>AVERAGE(E12:E14)</f>
        <v>212657.66666666666</v>
      </c>
      <c r="G12" s="6">
        <v>948363</v>
      </c>
      <c r="H12" s="40">
        <f>AVERAGE(G12:G14)</f>
        <v>1286707.6666666667</v>
      </c>
      <c r="I12" s="3"/>
      <c r="J12" s="33"/>
      <c r="K12" s="6">
        <v>1017282</v>
      </c>
      <c r="L12" s="34">
        <f>AVERAGE(K12:K14)</f>
        <v>1386031</v>
      </c>
      <c r="M12" s="6">
        <v>98190</v>
      </c>
      <c r="N12" s="34">
        <f>AVERAGE(M12:M14)</f>
        <v>170121.66666666666</v>
      </c>
      <c r="O12" s="6">
        <v>61812317</v>
      </c>
      <c r="P12" s="33">
        <f>AVERAGE(O12:O14)</f>
        <v>62507443.666666664</v>
      </c>
      <c r="Q12" s="6">
        <v>64350865</v>
      </c>
      <c r="R12" s="33">
        <f>AVERAGE(Q12:Q14)</f>
        <v>68839893.333333328</v>
      </c>
      <c r="S12" s="6">
        <v>2040774</v>
      </c>
      <c r="T12" s="34">
        <f>AVERAGE(S12:S14)</f>
        <v>2757976</v>
      </c>
      <c r="U12" s="3"/>
      <c r="V12" s="33"/>
      <c r="W12" s="6">
        <v>174584</v>
      </c>
      <c r="X12" s="33">
        <f>AVERAGE(W12:W14)</f>
        <v>267300.33333333331</v>
      </c>
      <c r="Y12" s="6">
        <v>134941</v>
      </c>
      <c r="Z12" s="34">
        <f>AVERAGE(Y12:Y14)</f>
        <v>197182</v>
      </c>
      <c r="AA12" s="6"/>
    </row>
    <row r="13" spans="2:27" x14ac:dyDescent="0.4">
      <c r="B13" s="38"/>
      <c r="C13" s="32"/>
      <c r="D13" s="32"/>
      <c r="E13" s="6">
        <v>217949</v>
      </c>
      <c r="F13" s="33"/>
      <c r="G13" s="6">
        <v>1270523</v>
      </c>
      <c r="H13" s="40"/>
      <c r="I13" s="3"/>
      <c r="J13" s="33"/>
      <c r="K13" s="6">
        <v>1389026</v>
      </c>
      <c r="L13" s="34"/>
      <c r="M13" s="6">
        <v>174253</v>
      </c>
      <c r="N13" s="34"/>
      <c r="O13" s="6">
        <v>62269682</v>
      </c>
      <c r="P13" s="33"/>
      <c r="Q13" s="6">
        <v>69661774</v>
      </c>
      <c r="R13" s="33"/>
      <c r="S13" s="6">
        <v>2750388</v>
      </c>
      <c r="T13" s="34"/>
      <c r="U13" s="3"/>
      <c r="V13" s="33"/>
      <c r="W13" s="6">
        <v>272331</v>
      </c>
      <c r="X13" s="33"/>
      <c r="Y13" s="6">
        <v>204914</v>
      </c>
      <c r="Z13" s="34"/>
      <c r="AA13" s="6"/>
    </row>
    <row r="14" spans="2:27" x14ac:dyDescent="0.4">
      <c r="B14" s="38"/>
      <c r="C14" s="32"/>
      <c r="D14" s="32"/>
      <c r="E14" s="6">
        <v>275521</v>
      </c>
      <c r="F14" s="33"/>
      <c r="G14" s="6">
        <v>1641237</v>
      </c>
      <c r="H14" s="40"/>
      <c r="I14" s="3"/>
      <c r="J14" s="33"/>
      <c r="K14" s="6">
        <v>1751785</v>
      </c>
      <c r="L14" s="34"/>
      <c r="M14" s="6">
        <v>237922</v>
      </c>
      <c r="N14" s="34"/>
      <c r="O14" s="6">
        <v>63440332</v>
      </c>
      <c r="P14" s="33"/>
      <c r="Q14" s="6">
        <v>72507041</v>
      </c>
      <c r="R14" s="33"/>
      <c r="S14" s="6">
        <v>3482766</v>
      </c>
      <c r="T14" s="34"/>
      <c r="U14" s="3"/>
      <c r="V14" s="33"/>
      <c r="W14" s="6">
        <v>354986</v>
      </c>
      <c r="X14" s="33"/>
      <c r="Y14" s="6">
        <v>251691</v>
      </c>
      <c r="Z14" s="34"/>
      <c r="AA14" s="6"/>
    </row>
    <row r="15" spans="2:27" x14ac:dyDescent="0.4">
      <c r="B15" s="38"/>
      <c r="C15" s="32">
        <v>4000</v>
      </c>
      <c r="D15" s="32">
        <v>20000</v>
      </c>
      <c r="E15" s="6">
        <v>77931</v>
      </c>
      <c r="F15" s="33">
        <f>AVERAGE(E15:E17)</f>
        <v>101439.66666666667</v>
      </c>
      <c r="G15" s="6">
        <v>714288</v>
      </c>
      <c r="H15" s="40">
        <f>AVERAGE(G15:G17)</f>
        <v>810203.66666666663</v>
      </c>
      <c r="I15" s="3"/>
      <c r="J15" s="33"/>
      <c r="K15" s="6">
        <v>997654</v>
      </c>
      <c r="L15" s="34">
        <f>AVERAGE(K15:K17)</f>
        <v>1161936</v>
      </c>
      <c r="M15" s="6">
        <v>77327</v>
      </c>
      <c r="N15" s="40">
        <f>AVERAGE(M15:M17)</f>
        <v>90436.666666666672</v>
      </c>
      <c r="O15" s="6">
        <v>25187024</v>
      </c>
      <c r="P15" s="33">
        <f>AVERAGE(O15:O17)</f>
        <v>25361069.666666668</v>
      </c>
      <c r="Q15" s="6">
        <v>26369686</v>
      </c>
      <c r="R15" s="33">
        <f>AVERAGE(Q15:Q17)</f>
        <v>26641744.666666668</v>
      </c>
      <c r="S15" s="6">
        <v>1892353</v>
      </c>
      <c r="T15" s="33">
        <f>AVERAGE(S15:S17)</f>
        <v>2175303.3333333335</v>
      </c>
      <c r="U15" s="3"/>
      <c r="V15" s="33"/>
      <c r="W15" s="6">
        <v>154167</v>
      </c>
      <c r="X15" s="33">
        <f>AVERAGE(W15:W17)</f>
        <v>184640</v>
      </c>
      <c r="Y15" s="6">
        <v>127220</v>
      </c>
      <c r="Z15" s="34">
        <f>AVERAGE(Y15:Y17)</f>
        <v>153297.66666666666</v>
      </c>
      <c r="AA15" s="6"/>
    </row>
    <row r="16" spans="2:27" x14ac:dyDescent="0.4">
      <c r="B16" s="38"/>
      <c r="C16" s="32"/>
      <c r="D16" s="32"/>
      <c r="E16" s="6">
        <v>129139</v>
      </c>
      <c r="F16" s="33"/>
      <c r="G16" s="6">
        <v>818795</v>
      </c>
      <c r="H16" s="40"/>
      <c r="I16" s="3"/>
      <c r="J16" s="33"/>
      <c r="K16" s="6">
        <v>1179829</v>
      </c>
      <c r="L16" s="34"/>
      <c r="M16" s="6">
        <v>92022</v>
      </c>
      <c r="N16" s="40"/>
      <c r="O16" s="6">
        <v>25190960</v>
      </c>
      <c r="P16" s="33"/>
      <c r="Q16" s="6">
        <v>26360105</v>
      </c>
      <c r="R16" s="33"/>
      <c r="S16" s="6">
        <v>2213772</v>
      </c>
      <c r="T16" s="33"/>
      <c r="U16" s="3"/>
      <c r="V16" s="33"/>
      <c r="W16" s="6">
        <v>184876</v>
      </c>
      <c r="X16" s="33"/>
      <c r="Y16" s="6">
        <v>160158</v>
      </c>
      <c r="Z16" s="34"/>
      <c r="AA16" s="6"/>
    </row>
    <row r="17" spans="2:27" x14ac:dyDescent="0.4">
      <c r="B17" s="38"/>
      <c r="C17" s="32"/>
      <c r="D17" s="32"/>
      <c r="E17" s="6">
        <v>97249</v>
      </c>
      <c r="F17" s="33"/>
      <c r="G17" s="6">
        <v>897528</v>
      </c>
      <c r="H17" s="40"/>
      <c r="I17" s="3"/>
      <c r="J17" s="33"/>
      <c r="K17" s="6">
        <v>1308325</v>
      </c>
      <c r="L17" s="34"/>
      <c r="M17" s="6">
        <v>101961</v>
      </c>
      <c r="N17" s="40"/>
      <c r="O17" s="6">
        <v>25705225</v>
      </c>
      <c r="P17" s="33"/>
      <c r="Q17" s="6">
        <v>27195443</v>
      </c>
      <c r="R17" s="33"/>
      <c r="S17" s="6">
        <v>2419785</v>
      </c>
      <c r="T17" s="33"/>
      <c r="U17" s="3"/>
      <c r="V17" s="33"/>
      <c r="W17" s="6">
        <v>214877</v>
      </c>
      <c r="X17" s="33"/>
      <c r="Y17" s="6">
        <v>172515</v>
      </c>
      <c r="Z17" s="34"/>
      <c r="AA17" s="6"/>
    </row>
    <row r="18" spans="2:27" x14ac:dyDescent="0.4">
      <c r="B18" s="38"/>
      <c r="C18" s="32">
        <v>2000</v>
      </c>
      <c r="D18" s="32">
        <v>10000</v>
      </c>
      <c r="E18" s="6">
        <v>89724</v>
      </c>
      <c r="F18" s="33">
        <f>AVERAGE(E18:E20)</f>
        <v>89066.333333333328</v>
      </c>
      <c r="G18" s="6">
        <v>586532</v>
      </c>
      <c r="H18" s="33">
        <f>AVERAGE(G18:G20)</f>
        <v>576558.33333333337</v>
      </c>
      <c r="I18" s="3"/>
      <c r="J18" s="33"/>
      <c r="K18" s="6">
        <v>976676</v>
      </c>
      <c r="L18" s="40">
        <f>AVERAGE(K18:K20)</f>
        <v>974519.33333333337</v>
      </c>
      <c r="M18" s="6">
        <v>64032</v>
      </c>
      <c r="N18" s="40">
        <f>AVERAGE(M18:M20)</f>
        <v>61304.666666666664</v>
      </c>
      <c r="O18" s="6">
        <v>16112337</v>
      </c>
      <c r="P18" s="33">
        <f>AVERAGE(O18:O20)</f>
        <v>16816889.666666668</v>
      </c>
      <c r="Q18" s="6">
        <v>17098217</v>
      </c>
      <c r="R18" s="33">
        <f>AVERAGE(Q18:Q20)</f>
        <v>17915462.666666668</v>
      </c>
      <c r="S18" s="6">
        <v>1730106</v>
      </c>
      <c r="T18" s="33">
        <f>AVERAGE(S18:S20)</f>
        <v>1693826</v>
      </c>
      <c r="U18" s="3"/>
      <c r="V18" s="33"/>
      <c r="W18" s="6">
        <v>134280</v>
      </c>
      <c r="X18" s="34">
        <f>AVERAGE(W18:W20)</f>
        <v>127101.66666666667</v>
      </c>
      <c r="Y18" s="6">
        <v>113477</v>
      </c>
      <c r="Z18" s="34">
        <f>AVERAGE(Y18:Y20)</f>
        <v>107468.33333333333</v>
      </c>
      <c r="AA18" s="6"/>
    </row>
    <row r="19" spans="2:27" x14ac:dyDescent="0.4">
      <c r="B19" s="38"/>
      <c r="C19" s="32"/>
      <c r="D19" s="32"/>
      <c r="E19" s="6">
        <v>88948</v>
      </c>
      <c r="F19" s="33"/>
      <c r="G19" s="6">
        <v>576865</v>
      </c>
      <c r="H19" s="33"/>
      <c r="I19" s="3"/>
      <c r="J19" s="33"/>
      <c r="K19" s="6">
        <v>982570</v>
      </c>
      <c r="L19" s="40"/>
      <c r="M19" s="6">
        <v>59261</v>
      </c>
      <c r="N19" s="40"/>
      <c r="O19" s="6">
        <v>17190520</v>
      </c>
      <c r="P19" s="33"/>
      <c r="Q19" s="6">
        <v>18567145</v>
      </c>
      <c r="R19" s="33"/>
      <c r="S19" s="6">
        <v>1700780</v>
      </c>
      <c r="T19" s="33"/>
      <c r="U19" s="3"/>
      <c r="V19" s="33"/>
      <c r="W19" s="6">
        <v>123917</v>
      </c>
      <c r="X19" s="34"/>
      <c r="Y19" s="6">
        <v>107710</v>
      </c>
      <c r="Z19" s="34"/>
      <c r="AA19" s="6"/>
    </row>
    <row r="20" spans="2:27" x14ac:dyDescent="0.4">
      <c r="B20" s="38"/>
      <c r="C20" s="32"/>
      <c r="D20" s="32"/>
      <c r="E20" s="6">
        <v>88527</v>
      </c>
      <c r="F20" s="33"/>
      <c r="G20" s="6">
        <v>566278</v>
      </c>
      <c r="H20" s="33"/>
      <c r="I20" s="3"/>
      <c r="J20" s="33"/>
      <c r="K20" s="6">
        <v>964312</v>
      </c>
      <c r="L20" s="40"/>
      <c r="M20" s="6">
        <v>60621</v>
      </c>
      <c r="N20" s="40"/>
      <c r="O20" s="6">
        <v>17147812</v>
      </c>
      <c r="P20" s="33"/>
      <c r="Q20" s="6">
        <v>18081026</v>
      </c>
      <c r="R20" s="33"/>
      <c r="S20" s="6">
        <v>1650592</v>
      </c>
      <c r="T20" s="33"/>
      <c r="U20" s="3"/>
      <c r="V20" s="33"/>
      <c r="W20" s="6">
        <v>123108</v>
      </c>
      <c r="X20" s="34"/>
      <c r="Y20" s="6">
        <v>101218</v>
      </c>
      <c r="Z20" s="34"/>
      <c r="AA20" s="6"/>
    </row>
    <row r="21" spans="2:27" x14ac:dyDescent="0.4">
      <c r="B21" s="38"/>
      <c r="C21" s="32">
        <v>1000</v>
      </c>
      <c r="D21" s="32">
        <v>5000</v>
      </c>
      <c r="E21" s="6">
        <v>49631</v>
      </c>
      <c r="F21" s="34">
        <f>AVERAGE(E21:E23)</f>
        <v>48486.333333333336</v>
      </c>
      <c r="G21" s="6">
        <v>327949</v>
      </c>
      <c r="H21" s="34">
        <f>AVERAGE(G21:G23)</f>
        <v>325242</v>
      </c>
      <c r="I21" s="3"/>
      <c r="J21" s="33"/>
      <c r="K21" s="6">
        <v>631210</v>
      </c>
      <c r="L21" s="34">
        <f>AVERAGE(K21:K23)</f>
        <v>621968.66666666663</v>
      </c>
      <c r="M21" s="6">
        <v>31460</v>
      </c>
      <c r="N21" s="34">
        <f>AVERAGE(M21:M23)</f>
        <v>31091</v>
      </c>
      <c r="O21" s="6">
        <v>9971037</v>
      </c>
      <c r="P21" s="34">
        <f>AVERAGE(O21:O23)</f>
        <v>9818380</v>
      </c>
      <c r="Q21" s="6">
        <v>11035566</v>
      </c>
      <c r="R21" s="34">
        <f>AVERAGE(Q21:Q23)</f>
        <v>10793514</v>
      </c>
      <c r="S21" s="6">
        <v>971937</v>
      </c>
      <c r="T21" s="34">
        <f>AVERAGE(S21:S23)</f>
        <v>992248.33333333337</v>
      </c>
      <c r="U21" s="3"/>
      <c r="V21" s="33"/>
      <c r="W21" s="6">
        <v>64100</v>
      </c>
      <c r="X21" s="34">
        <f>AVERAGE(W21:W23)</f>
        <v>67467.333333333328</v>
      </c>
      <c r="Y21" s="6">
        <v>63327</v>
      </c>
      <c r="Z21" s="34">
        <f>AVERAGE(Y21:Y23)</f>
        <v>59971.333333333336</v>
      </c>
      <c r="AA21" s="6"/>
    </row>
    <row r="22" spans="2:27" x14ac:dyDescent="0.4">
      <c r="B22" s="38"/>
      <c r="C22" s="32"/>
      <c r="D22" s="32"/>
      <c r="E22" s="6">
        <v>47997</v>
      </c>
      <c r="F22" s="34"/>
      <c r="G22" s="6">
        <v>326298</v>
      </c>
      <c r="H22" s="34"/>
      <c r="I22" s="3"/>
      <c r="J22" s="33"/>
      <c r="K22" s="6">
        <v>639869</v>
      </c>
      <c r="L22" s="34"/>
      <c r="M22" s="6">
        <v>31805</v>
      </c>
      <c r="N22" s="34"/>
      <c r="O22" s="6">
        <v>9508150</v>
      </c>
      <c r="P22" s="34"/>
      <c r="Q22" s="6">
        <v>9961778</v>
      </c>
      <c r="R22" s="34"/>
      <c r="S22" s="6">
        <v>1009062</v>
      </c>
      <c r="T22" s="34"/>
      <c r="U22" s="3"/>
      <c r="V22" s="33"/>
      <c r="W22" s="6">
        <v>71448</v>
      </c>
      <c r="X22" s="34"/>
      <c r="Y22" s="6">
        <v>61303</v>
      </c>
      <c r="Z22" s="34"/>
      <c r="AA22" s="6"/>
    </row>
    <row r="23" spans="2:27" x14ac:dyDescent="0.4">
      <c r="B23" s="38"/>
      <c r="C23" s="32"/>
      <c r="D23" s="32"/>
      <c r="E23" s="6">
        <v>47831</v>
      </c>
      <c r="F23" s="34"/>
      <c r="G23" s="6">
        <v>321479</v>
      </c>
      <c r="H23" s="34"/>
      <c r="I23" s="3"/>
      <c r="J23" s="33"/>
      <c r="K23" s="6">
        <v>594827</v>
      </c>
      <c r="L23" s="34"/>
      <c r="M23" s="6">
        <v>30008</v>
      </c>
      <c r="N23" s="34"/>
      <c r="O23" s="6">
        <v>9975953</v>
      </c>
      <c r="P23" s="34"/>
      <c r="Q23" s="6">
        <v>11383198</v>
      </c>
      <c r="R23" s="34"/>
      <c r="S23" s="6">
        <v>995746</v>
      </c>
      <c r="T23" s="34"/>
      <c r="U23" s="3"/>
      <c r="V23" s="33"/>
      <c r="W23" s="6">
        <v>66854</v>
      </c>
      <c r="X23" s="34"/>
      <c r="Y23" s="6">
        <v>55284</v>
      </c>
      <c r="Z23" s="34"/>
      <c r="AA23" s="6"/>
    </row>
    <row r="24" spans="2:27" x14ac:dyDescent="0.4">
      <c r="B24" s="38"/>
      <c r="C24" s="32">
        <v>800</v>
      </c>
      <c r="D24" s="32">
        <v>4000</v>
      </c>
      <c r="E24" s="66">
        <v>10579</v>
      </c>
      <c r="F24" s="33">
        <f>AVERAGE(E24:E26)</f>
        <v>10226.666666666666</v>
      </c>
      <c r="G24" s="66">
        <v>73489</v>
      </c>
      <c r="H24" s="33">
        <f>AVERAGE(G24:G26)</f>
        <v>72076.333333333328</v>
      </c>
      <c r="I24" s="3"/>
      <c r="J24" s="33"/>
      <c r="K24" s="66">
        <v>167839</v>
      </c>
      <c r="L24" s="34">
        <f>AVERAGE(K24:K26)</f>
        <v>164489</v>
      </c>
      <c r="M24" s="66">
        <v>6924</v>
      </c>
      <c r="N24" s="33">
        <f>AVERAGE(M24:M26)</f>
        <v>6596.333333333333</v>
      </c>
      <c r="O24" s="66">
        <v>2501513</v>
      </c>
      <c r="P24" s="34">
        <f>AVERAGE(O24:O26)</f>
        <v>2461363.3333333335</v>
      </c>
      <c r="Q24" s="66">
        <v>2790531</v>
      </c>
      <c r="R24" s="33"/>
      <c r="S24" s="66">
        <v>241172</v>
      </c>
      <c r="T24" s="33">
        <f>AVERAGE(S24:S26)</f>
        <v>230987.33333333334</v>
      </c>
      <c r="U24" s="3"/>
      <c r="V24" s="33"/>
      <c r="W24" s="66">
        <v>14469</v>
      </c>
      <c r="X24" s="34"/>
      <c r="Y24" s="66">
        <v>12899</v>
      </c>
      <c r="Z24" s="33">
        <f>AVERAGE(Y24:Y26)</f>
        <v>13264.666666666666</v>
      </c>
      <c r="AA24" s="6"/>
    </row>
    <row r="25" spans="2:27" x14ac:dyDescent="0.4">
      <c r="B25" s="38"/>
      <c r="C25" s="32"/>
      <c r="D25" s="32"/>
      <c r="E25" s="66">
        <v>9869</v>
      </c>
      <c r="F25" s="33"/>
      <c r="G25" s="66">
        <v>73872</v>
      </c>
      <c r="H25" s="33"/>
      <c r="I25" s="3"/>
      <c r="J25" s="33"/>
      <c r="K25" s="66">
        <v>165182</v>
      </c>
      <c r="L25" s="34"/>
      <c r="M25" s="66">
        <v>6995</v>
      </c>
      <c r="N25" s="33"/>
      <c r="O25" s="66">
        <v>2421049</v>
      </c>
      <c r="P25" s="34"/>
      <c r="Q25" s="66">
        <v>2609584</v>
      </c>
      <c r="R25" s="33"/>
      <c r="S25" s="66">
        <v>225025</v>
      </c>
      <c r="T25" s="33"/>
      <c r="U25" s="3"/>
      <c r="V25" s="33"/>
      <c r="W25" s="66">
        <v>13638</v>
      </c>
      <c r="X25" s="34"/>
      <c r="Y25" s="66">
        <v>13516</v>
      </c>
      <c r="Z25" s="33"/>
      <c r="AA25" s="6"/>
    </row>
    <row r="26" spans="2:27" x14ac:dyDescent="0.4">
      <c r="B26" s="38"/>
      <c r="C26" s="32"/>
      <c r="D26" s="32"/>
      <c r="E26" s="66">
        <v>10232</v>
      </c>
      <c r="F26" s="33"/>
      <c r="G26" s="66">
        <v>68868</v>
      </c>
      <c r="H26" s="33"/>
      <c r="I26" s="3"/>
      <c r="J26" s="33"/>
      <c r="K26" s="66">
        <v>160446</v>
      </c>
      <c r="L26" s="34"/>
      <c r="M26" s="66">
        <v>5870</v>
      </c>
      <c r="N26" s="33"/>
      <c r="O26" s="66">
        <v>2461528</v>
      </c>
      <c r="P26" s="34"/>
      <c r="Q26" s="66">
        <v>2728992</v>
      </c>
      <c r="R26" s="33"/>
      <c r="S26" s="66">
        <v>226765</v>
      </c>
      <c r="T26" s="33"/>
      <c r="U26" s="3"/>
      <c r="V26" s="33"/>
      <c r="W26" s="66">
        <v>12502</v>
      </c>
      <c r="X26" s="34"/>
      <c r="Y26" s="66">
        <v>13379</v>
      </c>
      <c r="Z26" s="33"/>
      <c r="AA26" s="6"/>
    </row>
    <row r="27" spans="2:27" x14ac:dyDescent="0.4">
      <c r="B27" s="38"/>
      <c r="C27" s="32">
        <v>400</v>
      </c>
      <c r="D27" s="32">
        <v>2000</v>
      </c>
      <c r="E27" s="6">
        <v>5118</v>
      </c>
      <c r="F27" s="34">
        <f>AVERAGE(E27:E29)</f>
        <v>5312.666666666667</v>
      </c>
      <c r="G27" s="6">
        <v>36317</v>
      </c>
      <c r="H27" s="34">
        <f>AVERAGE(G27:G29)</f>
        <v>35963.666666666664</v>
      </c>
      <c r="I27" s="3"/>
      <c r="J27" s="33"/>
      <c r="K27" s="6">
        <v>89516</v>
      </c>
      <c r="L27" s="40">
        <f>AVERAGE(K27:K29)</f>
        <v>85108.666666666672</v>
      </c>
      <c r="M27" s="6">
        <v>3536</v>
      </c>
      <c r="N27" s="33">
        <f>AVERAGE(M27:M29)</f>
        <v>3477</v>
      </c>
      <c r="O27" s="6">
        <v>1238184</v>
      </c>
      <c r="P27" s="34">
        <f>AVERAGE(O27:O29)</f>
        <v>1230525.3333333333</v>
      </c>
      <c r="Q27" s="6">
        <v>1389959</v>
      </c>
      <c r="R27" s="34">
        <f>AVERAGE(Q27:Q29)</f>
        <v>1389088.6666666667</v>
      </c>
      <c r="S27" s="6">
        <v>108636</v>
      </c>
      <c r="T27" s="33">
        <f>AVERAGE(S27:S29)</f>
        <v>109928.66666666667</v>
      </c>
      <c r="U27" s="3"/>
      <c r="V27" s="33"/>
      <c r="W27" s="6">
        <v>5883</v>
      </c>
      <c r="X27" s="33">
        <f>AVERAGE(W27:W29)</f>
        <v>5734</v>
      </c>
      <c r="Y27" s="6">
        <v>7102</v>
      </c>
      <c r="Z27" s="33">
        <f>AVERAGE(Y27:Y29)</f>
        <v>6754.666666666667</v>
      </c>
      <c r="AA27" s="6"/>
    </row>
    <row r="28" spans="2:27" x14ac:dyDescent="0.4">
      <c r="B28" s="38"/>
      <c r="C28" s="32"/>
      <c r="D28" s="32"/>
      <c r="E28" s="6">
        <v>5184</v>
      </c>
      <c r="F28" s="34"/>
      <c r="G28" s="6">
        <v>34686</v>
      </c>
      <c r="H28" s="34"/>
      <c r="I28" s="3"/>
      <c r="J28" s="33"/>
      <c r="K28" s="6">
        <v>85782</v>
      </c>
      <c r="L28" s="40"/>
      <c r="M28" s="6">
        <v>3483</v>
      </c>
      <c r="N28" s="33"/>
      <c r="O28" s="6">
        <v>1246100</v>
      </c>
      <c r="P28" s="34"/>
      <c r="Q28" s="6">
        <v>1416626</v>
      </c>
      <c r="R28" s="34"/>
      <c r="S28" s="6">
        <v>109434</v>
      </c>
      <c r="T28" s="33"/>
      <c r="U28" s="3"/>
      <c r="V28" s="33"/>
      <c r="W28" s="6">
        <v>5583</v>
      </c>
      <c r="X28" s="33"/>
      <c r="Y28" s="6">
        <v>6952</v>
      </c>
      <c r="Z28" s="33"/>
      <c r="AA28" s="6"/>
    </row>
    <row r="29" spans="2:27" x14ac:dyDescent="0.4">
      <c r="B29" s="38"/>
      <c r="C29" s="32"/>
      <c r="D29" s="32"/>
      <c r="E29" s="6">
        <v>5636</v>
      </c>
      <c r="F29" s="34"/>
      <c r="G29" s="6">
        <v>36888</v>
      </c>
      <c r="H29" s="34"/>
      <c r="I29" s="3"/>
      <c r="J29" s="33"/>
      <c r="K29" s="6">
        <v>80028</v>
      </c>
      <c r="L29" s="40"/>
      <c r="M29" s="6">
        <v>3412</v>
      </c>
      <c r="N29" s="33"/>
      <c r="O29" s="6">
        <v>1207292</v>
      </c>
      <c r="P29" s="34"/>
      <c r="Q29" s="6">
        <v>1360681</v>
      </c>
      <c r="R29" s="34"/>
      <c r="S29" s="6">
        <v>111716</v>
      </c>
      <c r="T29" s="33"/>
      <c r="U29" s="3"/>
      <c r="V29" s="33"/>
      <c r="W29" s="6">
        <v>5736</v>
      </c>
      <c r="X29" s="33"/>
      <c r="Y29" s="6">
        <v>6210</v>
      </c>
      <c r="Z29" s="33"/>
      <c r="AA29" s="6"/>
    </row>
    <row r="30" spans="2:27" x14ac:dyDescent="0.4">
      <c r="B30" s="38"/>
      <c r="C30" s="32">
        <v>200</v>
      </c>
      <c r="D30" s="32">
        <v>1000</v>
      </c>
      <c r="E30" s="6">
        <v>2531</v>
      </c>
      <c r="F30" s="33">
        <f>AVERAGE(E30:E32)</f>
        <v>2586.3333333333335</v>
      </c>
      <c r="G30" s="6">
        <v>17161</v>
      </c>
      <c r="H30" s="33">
        <f>AVERAGE(G30:G32)</f>
        <v>16732.333333333332</v>
      </c>
      <c r="I30" s="3"/>
      <c r="J30" s="33"/>
      <c r="K30" s="6">
        <v>38305</v>
      </c>
      <c r="L30" s="34">
        <f>AVERAGE(K30:K32)</f>
        <v>37556</v>
      </c>
      <c r="M30" s="6">
        <v>1197</v>
      </c>
      <c r="N30" s="33">
        <f>AVERAGE(M30:M32)</f>
        <v>1374.3333333333333</v>
      </c>
      <c r="O30" s="6">
        <v>580221</v>
      </c>
      <c r="P30" s="34">
        <f>AVERAGE(O30:O32)</f>
        <v>572460.66666666663</v>
      </c>
      <c r="Q30" s="6">
        <v>714501</v>
      </c>
      <c r="R30" s="33">
        <f>AVERAGE(Q30:Q32)</f>
        <v>689928.66666666663</v>
      </c>
      <c r="S30" s="6">
        <v>53147</v>
      </c>
      <c r="T30" s="33">
        <f>AVERAGE(S30:S32)</f>
        <v>52535</v>
      </c>
      <c r="U30" s="3"/>
      <c r="V30" s="33"/>
      <c r="W30" s="6">
        <v>2599</v>
      </c>
      <c r="X30" s="34">
        <f>AVERAGE(W30:W32)</f>
        <v>2545.3333333333335</v>
      </c>
      <c r="Y30" s="6">
        <v>3597</v>
      </c>
      <c r="Z30" s="34">
        <f>AVERAGE(Y30:Y32)</f>
        <v>3023</v>
      </c>
      <c r="AA30" s="6"/>
    </row>
    <row r="31" spans="2:27" x14ac:dyDescent="0.4">
      <c r="B31" s="38"/>
      <c r="C31" s="32"/>
      <c r="D31" s="32"/>
      <c r="E31" s="6">
        <v>2516</v>
      </c>
      <c r="F31" s="33"/>
      <c r="G31" s="6">
        <v>16222</v>
      </c>
      <c r="H31" s="33"/>
      <c r="I31" s="3"/>
      <c r="J31" s="33"/>
      <c r="K31" s="6">
        <v>38157</v>
      </c>
      <c r="L31" s="34"/>
      <c r="M31" s="6">
        <v>1754</v>
      </c>
      <c r="N31" s="33"/>
      <c r="O31" s="6">
        <v>572875</v>
      </c>
      <c r="P31" s="34"/>
      <c r="Q31" s="6">
        <v>681981</v>
      </c>
      <c r="R31" s="33"/>
      <c r="S31" s="6">
        <v>53093</v>
      </c>
      <c r="T31" s="33"/>
      <c r="U31" s="3"/>
      <c r="V31" s="33"/>
      <c r="W31" s="6">
        <v>2388</v>
      </c>
      <c r="X31" s="34"/>
      <c r="Y31" s="6">
        <v>2982</v>
      </c>
      <c r="Z31" s="34"/>
      <c r="AA31" s="6"/>
    </row>
    <row r="32" spans="2:27" x14ac:dyDescent="0.4">
      <c r="B32" s="38"/>
      <c r="C32" s="32"/>
      <c r="D32" s="32"/>
      <c r="E32" s="6">
        <v>2712</v>
      </c>
      <c r="F32" s="33"/>
      <c r="G32" s="6">
        <v>16814</v>
      </c>
      <c r="H32" s="33"/>
      <c r="I32" s="3"/>
      <c r="J32" s="33"/>
      <c r="K32" s="6">
        <v>36206</v>
      </c>
      <c r="L32" s="34"/>
      <c r="M32" s="6">
        <v>1172</v>
      </c>
      <c r="N32" s="33"/>
      <c r="O32" s="6">
        <v>564286</v>
      </c>
      <c r="P32" s="34"/>
      <c r="Q32" s="6">
        <v>673304</v>
      </c>
      <c r="R32" s="33"/>
      <c r="S32" s="6">
        <v>51365</v>
      </c>
      <c r="T32" s="33"/>
      <c r="U32" s="3"/>
      <c r="V32" s="33"/>
      <c r="W32" s="6">
        <v>2649</v>
      </c>
      <c r="X32" s="34"/>
      <c r="Y32" s="6">
        <v>2490</v>
      </c>
      <c r="Z32" s="34"/>
      <c r="AA32" s="6"/>
    </row>
    <row r="33" spans="2:27" x14ac:dyDescent="0.4">
      <c r="B33" s="38"/>
      <c r="C33" s="32">
        <v>100</v>
      </c>
      <c r="D33" s="32">
        <v>500</v>
      </c>
      <c r="E33" s="6">
        <v>1204</v>
      </c>
      <c r="F33" s="33">
        <f t="shared" ref="F33" si="0">AVERAGE(E33:E35)</f>
        <v>1408.3333333333333</v>
      </c>
      <c r="G33" s="6">
        <v>8412</v>
      </c>
      <c r="H33" s="34">
        <f>AVERAGE(G33:G35)</f>
        <v>9028</v>
      </c>
      <c r="I33" s="3"/>
      <c r="J33" s="33"/>
      <c r="K33" s="6">
        <v>17296</v>
      </c>
      <c r="L33" s="34">
        <f>AVERAGE(K33:K35)</f>
        <v>17347.333333333332</v>
      </c>
      <c r="M33" s="3"/>
      <c r="N33" s="33"/>
      <c r="O33" s="6">
        <v>267513</v>
      </c>
      <c r="P33" s="33">
        <f>AVERAGE(O33:O35)</f>
        <v>265257.33333333331</v>
      </c>
      <c r="Q33" s="6">
        <v>346852</v>
      </c>
      <c r="R33" s="34">
        <f>AVERAGE(Q33:Q35)</f>
        <v>339185.66666666669</v>
      </c>
      <c r="S33" s="6">
        <v>25935</v>
      </c>
      <c r="T33" s="34">
        <f>AVERAGE(S33:S35)</f>
        <v>27991</v>
      </c>
      <c r="U33" s="3"/>
      <c r="V33" s="33"/>
      <c r="W33" s="3"/>
      <c r="X33" s="34"/>
      <c r="Y33" s="6">
        <v>1059</v>
      </c>
      <c r="Z33" s="33">
        <f>AVERAGE(Y33:Y35)</f>
        <v>1252</v>
      </c>
      <c r="AA33" s="6"/>
    </row>
    <row r="34" spans="2:27" x14ac:dyDescent="0.4">
      <c r="B34" s="38"/>
      <c r="C34" s="32"/>
      <c r="D34" s="32"/>
      <c r="E34" s="6">
        <v>1474</v>
      </c>
      <c r="F34" s="33"/>
      <c r="G34" s="6">
        <v>8962</v>
      </c>
      <c r="H34" s="34"/>
      <c r="I34" s="3"/>
      <c r="J34" s="33"/>
      <c r="K34" s="6">
        <v>18146</v>
      </c>
      <c r="L34" s="34"/>
      <c r="M34" s="3"/>
      <c r="N34" s="33"/>
      <c r="O34" s="6">
        <v>272131</v>
      </c>
      <c r="P34" s="33"/>
      <c r="Q34" s="6">
        <v>344182</v>
      </c>
      <c r="R34" s="34"/>
      <c r="S34" s="6">
        <v>27675</v>
      </c>
      <c r="T34" s="34"/>
      <c r="U34" s="3"/>
      <c r="V34" s="33"/>
      <c r="W34" s="3"/>
      <c r="X34" s="34"/>
      <c r="Y34" s="6">
        <v>1537</v>
      </c>
      <c r="Z34" s="33"/>
      <c r="AA34" s="6"/>
    </row>
    <row r="35" spans="2:27" x14ac:dyDescent="0.4">
      <c r="B35" s="38"/>
      <c r="C35" s="32"/>
      <c r="D35" s="32"/>
      <c r="E35" s="6">
        <v>1547</v>
      </c>
      <c r="F35" s="33"/>
      <c r="G35" s="6">
        <v>9710</v>
      </c>
      <c r="H35" s="34"/>
      <c r="I35" s="3"/>
      <c r="J35" s="33"/>
      <c r="K35" s="6">
        <v>16600</v>
      </c>
      <c r="L35" s="34"/>
      <c r="M35" s="3"/>
      <c r="N35" s="33"/>
      <c r="O35" s="6">
        <v>256128</v>
      </c>
      <c r="P35" s="33"/>
      <c r="Q35" s="6">
        <v>326523</v>
      </c>
      <c r="R35" s="34"/>
      <c r="S35" s="6">
        <v>30363</v>
      </c>
      <c r="T35" s="34"/>
      <c r="U35" s="3"/>
      <c r="V35" s="33"/>
      <c r="W35" s="3"/>
      <c r="X35" s="34"/>
      <c r="Y35" s="6">
        <v>1160</v>
      </c>
      <c r="Z35" s="33"/>
      <c r="AA35" s="6"/>
    </row>
    <row r="36" spans="2:27" x14ac:dyDescent="0.4">
      <c r="B36" s="38"/>
      <c r="C36" s="32">
        <v>80</v>
      </c>
      <c r="D36" s="32">
        <v>400</v>
      </c>
      <c r="E36" s="6">
        <v>384</v>
      </c>
      <c r="F36" s="33">
        <f t="shared" ref="F36" si="1">AVERAGE(E36:E38)</f>
        <v>360.66666666666669</v>
      </c>
      <c r="G36" s="6">
        <v>1715</v>
      </c>
      <c r="H36" s="33">
        <f>AVERAGE(G36:G38)</f>
        <v>1958.3333333333333</v>
      </c>
      <c r="I36" s="3"/>
      <c r="J36" s="33"/>
      <c r="K36" s="6">
        <v>4092</v>
      </c>
      <c r="L36" s="34">
        <f>AVERAGE(K36:K38)</f>
        <v>4040.3333333333335</v>
      </c>
      <c r="M36" s="3"/>
      <c r="N36" s="33"/>
      <c r="O36" s="6">
        <v>51891</v>
      </c>
      <c r="P36" s="34">
        <f>AVERAGE(O36:O38)</f>
        <v>49919.666666666664</v>
      </c>
      <c r="Q36" s="6">
        <v>65838</v>
      </c>
      <c r="R36" s="34">
        <f>AVERAGE(Q36:Q38)</f>
        <v>64274.333333333336</v>
      </c>
      <c r="S36" s="6">
        <v>5447</v>
      </c>
      <c r="T36" s="34">
        <f>AVERAGE(S36:S38)</f>
        <v>5810.333333333333</v>
      </c>
      <c r="U36" s="3"/>
      <c r="V36" s="33"/>
      <c r="W36" s="3"/>
      <c r="X36" s="34"/>
      <c r="Y36" s="3"/>
      <c r="Z36" s="34"/>
      <c r="AA36" s="6"/>
    </row>
    <row r="37" spans="2:27" x14ac:dyDescent="0.4">
      <c r="B37" s="38"/>
      <c r="C37" s="32"/>
      <c r="D37" s="32"/>
      <c r="E37" s="6">
        <v>307</v>
      </c>
      <c r="F37" s="33"/>
      <c r="G37" s="6">
        <v>2139</v>
      </c>
      <c r="H37" s="33"/>
      <c r="I37" s="3"/>
      <c r="J37" s="33"/>
      <c r="K37" s="6">
        <v>3814</v>
      </c>
      <c r="L37" s="34"/>
      <c r="M37" s="3"/>
      <c r="N37" s="33"/>
      <c r="O37" s="6">
        <v>49629</v>
      </c>
      <c r="P37" s="34"/>
      <c r="Q37" s="6">
        <v>64018</v>
      </c>
      <c r="R37" s="34"/>
      <c r="S37" s="6">
        <v>5892</v>
      </c>
      <c r="T37" s="34"/>
      <c r="U37" s="3"/>
      <c r="V37" s="33"/>
      <c r="W37" s="3"/>
      <c r="X37" s="34"/>
      <c r="Y37" s="3"/>
      <c r="Z37" s="34"/>
      <c r="AA37" s="6"/>
    </row>
    <row r="38" spans="2:27" x14ac:dyDescent="0.4">
      <c r="B38" s="38"/>
      <c r="C38" s="32"/>
      <c r="D38" s="32"/>
      <c r="E38" s="6">
        <v>391</v>
      </c>
      <c r="F38" s="33"/>
      <c r="G38" s="6">
        <v>2021</v>
      </c>
      <c r="H38" s="33"/>
      <c r="I38" s="3"/>
      <c r="J38" s="33"/>
      <c r="K38" s="6">
        <v>4215</v>
      </c>
      <c r="L38" s="34"/>
      <c r="M38" s="3"/>
      <c r="N38" s="33"/>
      <c r="O38" s="6">
        <v>48239</v>
      </c>
      <c r="P38" s="34"/>
      <c r="Q38" s="6">
        <v>62967</v>
      </c>
      <c r="R38" s="34"/>
      <c r="S38" s="6">
        <v>6092</v>
      </c>
      <c r="T38" s="34"/>
      <c r="U38" s="3"/>
      <c r="V38" s="33"/>
      <c r="W38" s="3"/>
      <c r="X38" s="34"/>
      <c r="Y38" s="3"/>
      <c r="Z38" s="34"/>
      <c r="AA38" s="6"/>
    </row>
    <row r="39" spans="2:27" x14ac:dyDescent="0.4">
      <c r="B39" s="38"/>
      <c r="C39" s="32">
        <v>40</v>
      </c>
      <c r="D39" s="32">
        <v>200</v>
      </c>
      <c r="E39" s="3"/>
      <c r="F39" s="33"/>
      <c r="G39" s="6">
        <v>1142</v>
      </c>
      <c r="H39" s="33">
        <f>AVERAGE(G39:G41)</f>
        <v>1242</v>
      </c>
      <c r="I39" s="3"/>
      <c r="J39" s="33"/>
      <c r="K39" s="6">
        <v>1772</v>
      </c>
      <c r="L39" s="40">
        <f>AVERAGE(K39:K41)</f>
        <v>1883</v>
      </c>
      <c r="M39" s="3"/>
      <c r="N39" s="33"/>
      <c r="O39" s="6">
        <v>24121</v>
      </c>
      <c r="P39" s="34">
        <f>AVERAGE(O39:O41)</f>
        <v>23682.666666666668</v>
      </c>
      <c r="Q39" s="6">
        <v>31386</v>
      </c>
      <c r="R39" s="34">
        <f>AVERAGE(Q39:Q41)</f>
        <v>31472.666666666668</v>
      </c>
      <c r="S39" s="6">
        <v>3198</v>
      </c>
      <c r="T39" s="33">
        <f>AVERAGE(S39:S41)</f>
        <v>3236.6666666666665</v>
      </c>
      <c r="U39" s="3"/>
      <c r="V39" s="33"/>
      <c r="W39" s="3"/>
      <c r="X39" s="34"/>
      <c r="Y39" s="3"/>
      <c r="Z39" s="34"/>
      <c r="AA39" s="6"/>
    </row>
    <row r="40" spans="2:27" x14ac:dyDescent="0.4">
      <c r="B40" s="38"/>
      <c r="C40" s="32"/>
      <c r="D40" s="32"/>
      <c r="E40" s="3"/>
      <c r="F40" s="33"/>
      <c r="G40" s="6">
        <v>1259</v>
      </c>
      <c r="H40" s="33"/>
      <c r="I40" s="3"/>
      <c r="J40" s="33"/>
      <c r="K40" s="6">
        <v>1899</v>
      </c>
      <c r="L40" s="40"/>
      <c r="M40" s="3"/>
      <c r="N40" s="33"/>
      <c r="O40" s="6">
        <v>24454</v>
      </c>
      <c r="P40" s="34"/>
      <c r="Q40" s="6">
        <v>30691</v>
      </c>
      <c r="R40" s="34"/>
      <c r="S40" s="6">
        <v>3266</v>
      </c>
      <c r="T40" s="33"/>
      <c r="U40" s="3"/>
      <c r="V40" s="33"/>
      <c r="W40" s="3"/>
      <c r="X40" s="34"/>
      <c r="Y40" s="3"/>
      <c r="Z40" s="34"/>
      <c r="AA40" s="6"/>
    </row>
    <row r="41" spans="2:27" x14ac:dyDescent="0.4">
      <c r="B41" s="38"/>
      <c r="C41" s="32"/>
      <c r="D41" s="32"/>
      <c r="E41" s="3"/>
      <c r="F41" s="33"/>
      <c r="G41" s="6">
        <v>1325</v>
      </c>
      <c r="H41" s="33"/>
      <c r="I41" s="3"/>
      <c r="J41" s="33"/>
      <c r="K41" s="6">
        <v>1978</v>
      </c>
      <c r="L41" s="40"/>
      <c r="M41" s="3"/>
      <c r="N41" s="33"/>
      <c r="O41" s="6">
        <v>22473</v>
      </c>
      <c r="P41" s="34"/>
      <c r="Q41" s="6">
        <v>32341</v>
      </c>
      <c r="R41" s="34"/>
      <c r="S41" s="6">
        <v>3246</v>
      </c>
      <c r="T41" s="33"/>
      <c r="U41" s="3"/>
      <c r="V41" s="33"/>
      <c r="W41" s="3"/>
      <c r="X41" s="34"/>
      <c r="Y41" s="3"/>
      <c r="Z41" s="34"/>
      <c r="AA41" s="6"/>
    </row>
    <row r="42" spans="2:27" x14ac:dyDescent="0.4">
      <c r="B42" s="38"/>
      <c r="C42" s="32">
        <v>20</v>
      </c>
      <c r="D42" s="32">
        <v>100</v>
      </c>
      <c r="E42" s="3"/>
      <c r="F42" s="33"/>
      <c r="G42" s="3"/>
      <c r="H42" s="33"/>
      <c r="I42" s="3"/>
      <c r="J42" s="33"/>
      <c r="K42" s="3"/>
      <c r="L42" s="34"/>
      <c r="M42" s="3"/>
      <c r="N42" s="33"/>
      <c r="O42" s="6">
        <v>11948</v>
      </c>
      <c r="P42" s="34">
        <f>AVERAGE(O42:O44)</f>
        <v>12439.666666666666</v>
      </c>
      <c r="Q42" s="6">
        <v>15725</v>
      </c>
      <c r="R42" s="34">
        <f>AVERAGE(Q42:Q44)</f>
        <v>15825.333333333334</v>
      </c>
      <c r="S42" s="6">
        <v>1580</v>
      </c>
      <c r="T42" s="34">
        <f>AVERAGE(S42:S44)</f>
        <v>1729.6666666666667</v>
      </c>
      <c r="U42" s="3"/>
      <c r="V42" s="33"/>
      <c r="W42" s="3"/>
      <c r="X42" s="33"/>
      <c r="Y42" s="3"/>
      <c r="Z42" s="33"/>
      <c r="AA42" s="6"/>
    </row>
    <row r="43" spans="2:27" x14ac:dyDescent="0.4">
      <c r="B43" s="38"/>
      <c r="C43" s="32"/>
      <c r="D43" s="32"/>
      <c r="E43" s="3"/>
      <c r="F43" s="33"/>
      <c r="G43" s="3"/>
      <c r="H43" s="33"/>
      <c r="I43" s="3"/>
      <c r="J43" s="33"/>
      <c r="K43" s="3"/>
      <c r="L43" s="34"/>
      <c r="M43" s="3"/>
      <c r="N43" s="33"/>
      <c r="O43" s="6">
        <v>12826</v>
      </c>
      <c r="P43" s="34"/>
      <c r="Q43" s="6">
        <v>15449</v>
      </c>
      <c r="R43" s="34"/>
      <c r="S43" s="6">
        <v>1906</v>
      </c>
      <c r="T43" s="34"/>
      <c r="U43" s="3"/>
      <c r="V43" s="33"/>
      <c r="W43" s="3"/>
      <c r="X43" s="33"/>
      <c r="Y43" s="3"/>
      <c r="Z43" s="33"/>
      <c r="AA43" s="6"/>
    </row>
    <row r="44" spans="2:27" x14ac:dyDescent="0.4">
      <c r="B44" s="38"/>
      <c r="C44" s="32"/>
      <c r="D44" s="32"/>
      <c r="E44" s="3"/>
      <c r="F44" s="33"/>
      <c r="G44" s="3"/>
      <c r="H44" s="33"/>
      <c r="I44" s="3"/>
      <c r="J44" s="33"/>
      <c r="K44" s="3"/>
      <c r="L44" s="34"/>
      <c r="M44" s="3"/>
      <c r="N44" s="33"/>
      <c r="O44" s="6">
        <v>12545</v>
      </c>
      <c r="P44" s="34"/>
      <c r="Q44" s="6">
        <v>16302</v>
      </c>
      <c r="R44" s="34"/>
      <c r="S44" s="6">
        <v>1703</v>
      </c>
      <c r="T44" s="34"/>
      <c r="U44" s="3"/>
      <c r="V44" s="33"/>
      <c r="W44" s="3"/>
      <c r="X44" s="33"/>
      <c r="Y44" s="3"/>
      <c r="Z44" s="33"/>
      <c r="AA44" s="6"/>
    </row>
    <row r="45" spans="2:27" x14ac:dyDescent="0.4">
      <c r="B45" s="38"/>
      <c r="C45" s="32">
        <v>10</v>
      </c>
      <c r="D45" s="32">
        <v>50</v>
      </c>
      <c r="E45" s="3"/>
      <c r="F45" s="33"/>
      <c r="G45" s="67"/>
      <c r="H45" s="68"/>
      <c r="I45" s="67"/>
      <c r="J45" s="68"/>
      <c r="K45" s="67"/>
      <c r="L45" s="68"/>
      <c r="M45" s="67"/>
      <c r="N45" s="68"/>
      <c r="O45" s="69">
        <v>5898</v>
      </c>
      <c r="P45" s="70">
        <f>AVERAGE(O45:O47)</f>
        <v>5995</v>
      </c>
      <c r="Q45" s="69">
        <v>7858</v>
      </c>
      <c r="R45" s="70">
        <f>AVERAGE(Q45:Q47)</f>
        <v>7742.333333333333</v>
      </c>
      <c r="S45" s="69">
        <v>1006</v>
      </c>
      <c r="T45" s="70">
        <f>AVERAGE(S45:S47)</f>
        <v>923.66666666666663</v>
      </c>
      <c r="U45" s="67"/>
      <c r="V45" s="68"/>
      <c r="W45" s="67"/>
      <c r="X45" s="68"/>
      <c r="Y45" s="67"/>
      <c r="Z45" s="68"/>
      <c r="AA45" s="6"/>
    </row>
    <row r="46" spans="2:27" x14ac:dyDescent="0.4">
      <c r="B46" s="38"/>
      <c r="C46" s="32"/>
      <c r="D46" s="32"/>
      <c r="E46" s="3"/>
      <c r="F46" s="33"/>
      <c r="G46" s="67"/>
      <c r="H46" s="68"/>
      <c r="I46" s="67"/>
      <c r="J46" s="68"/>
      <c r="K46" s="67"/>
      <c r="L46" s="68"/>
      <c r="M46" s="67"/>
      <c r="N46" s="68"/>
      <c r="O46" s="69">
        <v>5842</v>
      </c>
      <c r="P46" s="70"/>
      <c r="Q46" s="69">
        <v>8015</v>
      </c>
      <c r="R46" s="70"/>
      <c r="S46" s="69">
        <v>926</v>
      </c>
      <c r="T46" s="70"/>
      <c r="U46" s="67"/>
      <c r="V46" s="68"/>
      <c r="W46" s="67"/>
      <c r="X46" s="68"/>
      <c r="Y46" s="67"/>
      <c r="Z46" s="68"/>
      <c r="AA46" s="6"/>
    </row>
    <row r="47" spans="2:27" ht="19.5" thickBot="1" x14ac:dyDescent="0.45">
      <c r="B47" s="39"/>
      <c r="C47" s="42"/>
      <c r="D47" s="42"/>
      <c r="E47" s="8"/>
      <c r="F47" s="41"/>
      <c r="G47" s="8"/>
      <c r="H47" s="41"/>
      <c r="I47" s="8"/>
      <c r="J47" s="41"/>
      <c r="K47" s="8"/>
      <c r="L47" s="41"/>
      <c r="M47" s="8"/>
      <c r="N47" s="41"/>
      <c r="O47" s="14">
        <v>6245</v>
      </c>
      <c r="P47" s="71"/>
      <c r="Q47" s="14">
        <v>7354</v>
      </c>
      <c r="R47" s="71"/>
      <c r="S47" s="14">
        <v>839</v>
      </c>
      <c r="T47" s="71"/>
      <c r="U47" s="8"/>
      <c r="V47" s="41"/>
      <c r="W47" s="8"/>
      <c r="X47" s="41"/>
      <c r="Y47" s="8"/>
      <c r="Z47" s="41"/>
      <c r="AA47" s="6"/>
    </row>
    <row r="48" spans="2:27" x14ac:dyDescent="0.4">
      <c r="B48" s="9"/>
      <c r="C48" s="10"/>
      <c r="D48" s="10"/>
      <c r="E48" s="3"/>
      <c r="F48" s="6"/>
      <c r="G48" s="3"/>
      <c r="H48" s="6"/>
      <c r="I48" s="3"/>
      <c r="J48" s="6"/>
      <c r="K48" s="3"/>
      <c r="L48" s="6"/>
      <c r="M48" s="3"/>
      <c r="N48" s="6"/>
      <c r="O48" s="3"/>
      <c r="P48" s="6"/>
      <c r="Q48" s="3"/>
      <c r="R48" s="6"/>
      <c r="S48" s="3"/>
      <c r="T48" s="6"/>
      <c r="U48" s="3"/>
      <c r="V48" s="6"/>
      <c r="W48" s="3"/>
      <c r="X48" s="6"/>
      <c r="Y48" s="3"/>
      <c r="Z48" s="6"/>
      <c r="AA48" s="6"/>
    </row>
    <row r="49" spans="2:27" x14ac:dyDescent="0.4">
      <c r="B49" s="9"/>
      <c r="C49" s="10"/>
      <c r="D49" s="10"/>
      <c r="E49" s="3"/>
      <c r="F49" s="6"/>
      <c r="G49" s="3"/>
      <c r="H49" s="6"/>
      <c r="I49" s="3"/>
      <c r="J49" s="6"/>
      <c r="K49" s="3"/>
      <c r="L49" s="6"/>
      <c r="M49" s="3"/>
      <c r="N49" s="6"/>
      <c r="O49" s="3"/>
      <c r="P49" s="6"/>
      <c r="Q49" s="3"/>
      <c r="R49" s="6"/>
      <c r="S49" s="3"/>
      <c r="T49" s="6"/>
      <c r="U49" s="3"/>
      <c r="V49" s="6"/>
      <c r="W49" s="3"/>
      <c r="X49" s="6"/>
      <c r="Y49" s="3"/>
      <c r="Z49" s="6"/>
      <c r="AA49" s="6"/>
    </row>
    <row r="50" spans="2:27" ht="19.5" thickBot="1" x14ac:dyDescent="0.45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77" spans="2:26" x14ac:dyDescent="0.4">
      <c r="B77" s="5"/>
      <c r="C77" s="5"/>
      <c r="D77" s="5"/>
      <c r="E77" s="13"/>
      <c r="F77" s="13"/>
      <c r="G77" s="13"/>
      <c r="H77" s="6"/>
      <c r="I77" s="13"/>
      <c r="J77" s="13"/>
      <c r="K77" s="13"/>
      <c r="L77" s="6"/>
      <c r="M77" s="3"/>
      <c r="N77" s="6"/>
      <c r="O77" s="13"/>
      <c r="P77" s="6"/>
      <c r="Q77" s="13"/>
      <c r="R77" s="6"/>
      <c r="S77" s="13"/>
      <c r="T77" s="6"/>
      <c r="U77" s="13"/>
      <c r="V77" s="13"/>
      <c r="W77" s="13"/>
      <c r="X77" s="6"/>
      <c r="Y77" s="13"/>
      <c r="Z77" s="13"/>
    </row>
    <row r="78" spans="2:26" x14ac:dyDescent="0.4">
      <c r="B78" s="5"/>
      <c r="C78" s="5"/>
      <c r="D78" s="5"/>
      <c r="E78" s="13"/>
      <c r="F78" s="13"/>
      <c r="G78" s="13"/>
      <c r="H78" s="6"/>
      <c r="I78" s="13"/>
      <c r="J78" s="13"/>
      <c r="K78" s="13"/>
      <c r="L78" s="6"/>
      <c r="M78" s="3"/>
      <c r="N78" s="6"/>
      <c r="O78" s="13"/>
      <c r="P78" s="6"/>
      <c r="Q78" s="13"/>
      <c r="R78" s="6"/>
      <c r="S78" s="13"/>
      <c r="T78" s="6"/>
      <c r="U78" s="13"/>
      <c r="V78" s="13"/>
      <c r="W78" s="13"/>
      <c r="X78" s="6"/>
      <c r="Y78" s="13"/>
      <c r="Z78" s="13"/>
    </row>
    <row r="79" spans="2:26" ht="19.5" thickBot="1" x14ac:dyDescent="0.4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</sheetData>
  <mergeCells count="206">
    <mergeCell ref="T45:T47"/>
    <mergeCell ref="V45:V47"/>
    <mergeCell ref="X45:X47"/>
    <mergeCell ref="Z45:Z47"/>
    <mergeCell ref="C45:C47"/>
    <mergeCell ref="D45:D47"/>
    <mergeCell ref="F45:F47"/>
    <mergeCell ref="H45:H47"/>
    <mergeCell ref="J45:J47"/>
    <mergeCell ref="L45:L47"/>
    <mergeCell ref="N45:N47"/>
    <mergeCell ref="P45:P47"/>
    <mergeCell ref="R45:R47"/>
    <mergeCell ref="T39:T41"/>
    <mergeCell ref="V39:V41"/>
    <mergeCell ref="X39:X41"/>
    <mergeCell ref="Z39:Z41"/>
    <mergeCell ref="C42:C44"/>
    <mergeCell ref="D42:D44"/>
    <mergeCell ref="F42:F44"/>
    <mergeCell ref="H42:H44"/>
    <mergeCell ref="J42:J44"/>
    <mergeCell ref="L42:L44"/>
    <mergeCell ref="Z42:Z44"/>
    <mergeCell ref="N42:N44"/>
    <mergeCell ref="P42:P44"/>
    <mergeCell ref="R42:R44"/>
    <mergeCell ref="T42:T44"/>
    <mergeCell ref="V42:V44"/>
    <mergeCell ref="X42:X44"/>
    <mergeCell ref="C39:C41"/>
    <mergeCell ref="D39:D41"/>
    <mergeCell ref="F39:F41"/>
    <mergeCell ref="H39:H41"/>
    <mergeCell ref="J39:J41"/>
    <mergeCell ref="L39:L41"/>
    <mergeCell ref="N39:N41"/>
    <mergeCell ref="P39:P41"/>
    <mergeCell ref="R39:R41"/>
    <mergeCell ref="T33:T35"/>
    <mergeCell ref="V33:V35"/>
    <mergeCell ref="X33:X35"/>
    <mergeCell ref="Z33:Z35"/>
    <mergeCell ref="C36:C38"/>
    <mergeCell ref="D36:D38"/>
    <mergeCell ref="F36:F38"/>
    <mergeCell ref="H36:H38"/>
    <mergeCell ref="J36:J38"/>
    <mergeCell ref="L36:L38"/>
    <mergeCell ref="Z36:Z38"/>
    <mergeCell ref="N36:N38"/>
    <mergeCell ref="P36:P38"/>
    <mergeCell ref="R36:R38"/>
    <mergeCell ref="T36:T38"/>
    <mergeCell ref="V36:V38"/>
    <mergeCell ref="X36:X38"/>
    <mergeCell ref="C33:C35"/>
    <mergeCell ref="D33:D35"/>
    <mergeCell ref="F33:F35"/>
    <mergeCell ref="H33:H35"/>
    <mergeCell ref="J33:J35"/>
    <mergeCell ref="L33:L35"/>
    <mergeCell ref="N33:N35"/>
    <mergeCell ref="P33:P35"/>
    <mergeCell ref="R33:R35"/>
    <mergeCell ref="T27:T29"/>
    <mergeCell ref="V27:V29"/>
    <mergeCell ref="X27:X29"/>
    <mergeCell ref="Z27:Z29"/>
    <mergeCell ref="C30:C32"/>
    <mergeCell ref="D30:D32"/>
    <mergeCell ref="F30:F32"/>
    <mergeCell ref="H30:H32"/>
    <mergeCell ref="J30:J32"/>
    <mergeCell ref="L30:L32"/>
    <mergeCell ref="Z30:Z32"/>
    <mergeCell ref="N30:N32"/>
    <mergeCell ref="P30:P32"/>
    <mergeCell ref="R30:R32"/>
    <mergeCell ref="T30:T32"/>
    <mergeCell ref="V30:V32"/>
    <mergeCell ref="X30:X32"/>
    <mergeCell ref="C27:C29"/>
    <mergeCell ref="D27:D29"/>
    <mergeCell ref="F27:F29"/>
    <mergeCell ref="H27:H29"/>
    <mergeCell ref="J27:J29"/>
    <mergeCell ref="L27:L29"/>
    <mergeCell ref="N27:N29"/>
    <mergeCell ref="P27:P29"/>
    <mergeCell ref="R27:R29"/>
    <mergeCell ref="T21:T23"/>
    <mergeCell ref="V21:V23"/>
    <mergeCell ref="X21:X23"/>
    <mergeCell ref="Z21:Z23"/>
    <mergeCell ref="C24:C26"/>
    <mergeCell ref="D24:D26"/>
    <mergeCell ref="F24:F26"/>
    <mergeCell ref="H24:H26"/>
    <mergeCell ref="J24:J26"/>
    <mergeCell ref="L24:L26"/>
    <mergeCell ref="Z24:Z26"/>
    <mergeCell ref="N24:N26"/>
    <mergeCell ref="P24:P26"/>
    <mergeCell ref="R24:R26"/>
    <mergeCell ref="T24:T26"/>
    <mergeCell ref="V24:V26"/>
    <mergeCell ref="X24:X26"/>
    <mergeCell ref="C21:C23"/>
    <mergeCell ref="D21:D23"/>
    <mergeCell ref="F21:F23"/>
    <mergeCell ref="H21:H23"/>
    <mergeCell ref="J21:J23"/>
    <mergeCell ref="L21:L23"/>
    <mergeCell ref="N21:N23"/>
    <mergeCell ref="P21:P23"/>
    <mergeCell ref="R21:R23"/>
    <mergeCell ref="V12:V14"/>
    <mergeCell ref="X12:X14"/>
    <mergeCell ref="T15:T17"/>
    <mergeCell ref="V15:V17"/>
    <mergeCell ref="X15:X17"/>
    <mergeCell ref="Z15:Z17"/>
    <mergeCell ref="C18:C20"/>
    <mergeCell ref="D18:D20"/>
    <mergeCell ref="F18:F20"/>
    <mergeCell ref="H18:H20"/>
    <mergeCell ref="J18:J20"/>
    <mergeCell ref="L18:L20"/>
    <mergeCell ref="Z18:Z20"/>
    <mergeCell ref="N18:N20"/>
    <mergeCell ref="P18:P20"/>
    <mergeCell ref="R18:R20"/>
    <mergeCell ref="T18:T20"/>
    <mergeCell ref="V18:V20"/>
    <mergeCell ref="X18:X20"/>
    <mergeCell ref="U11:V11"/>
    <mergeCell ref="W11:X11"/>
    <mergeCell ref="Y11:Z11"/>
    <mergeCell ref="B12:B47"/>
    <mergeCell ref="C12:C14"/>
    <mergeCell ref="D12:D14"/>
    <mergeCell ref="F12:F14"/>
    <mergeCell ref="H12:H14"/>
    <mergeCell ref="J12:J14"/>
    <mergeCell ref="L12:L14"/>
    <mergeCell ref="Z12:Z14"/>
    <mergeCell ref="C15:C17"/>
    <mergeCell ref="D15:D17"/>
    <mergeCell ref="F15:F17"/>
    <mergeCell ref="H15:H17"/>
    <mergeCell ref="J15:J17"/>
    <mergeCell ref="L15:L17"/>
    <mergeCell ref="N15:N17"/>
    <mergeCell ref="P15:P17"/>
    <mergeCell ref="R15:R17"/>
    <mergeCell ref="N12:N14"/>
    <mergeCell ref="P12:P14"/>
    <mergeCell ref="R12:R14"/>
    <mergeCell ref="T12:T14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9:V9"/>
    <mergeCell ref="W9:X9"/>
    <mergeCell ref="Y9:Z9"/>
    <mergeCell ref="B10:D10"/>
    <mergeCell ref="E10:F10"/>
    <mergeCell ref="G10:H10"/>
    <mergeCell ref="I10:J10"/>
    <mergeCell ref="K10:L10"/>
    <mergeCell ref="Y10:Z10"/>
    <mergeCell ref="M10:N10"/>
    <mergeCell ref="O10:P10"/>
    <mergeCell ref="Q10:R10"/>
    <mergeCell ref="S10:T10"/>
    <mergeCell ref="U10:V10"/>
    <mergeCell ref="W10:X10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B6:Z6"/>
    <mergeCell ref="B7:D8"/>
    <mergeCell ref="E7:F8"/>
    <mergeCell ref="G7:H8"/>
    <mergeCell ref="I7:J8"/>
    <mergeCell ref="K7:L8"/>
    <mergeCell ref="M7:N8"/>
    <mergeCell ref="O7:P8"/>
    <mergeCell ref="Q7:R8"/>
    <mergeCell ref="S7:T8"/>
    <mergeCell ref="U7:V8"/>
    <mergeCell ref="W7:X8"/>
    <mergeCell ref="Y7:Z8"/>
  </mergeCells>
  <phoneticPr fontId="3"/>
  <pageMargins left="0.7" right="0.7" top="0.75" bottom="0.75" header="0.3" footer="0.3"/>
  <pageSetup paperSize="9" scale="27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91D0-1224-41C3-9459-BB0EB97DC510}">
  <dimension ref="B2:AR30"/>
  <sheetViews>
    <sheetView zoomScale="80" zoomScaleNormal="80" workbookViewId="0">
      <selection activeCell="A24" sqref="A24"/>
    </sheetView>
  </sheetViews>
  <sheetFormatPr defaultRowHeight="18.75" x14ac:dyDescent="0.4"/>
  <cols>
    <col min="6" max="6" width="11.875" bestFit="1" customWidth="1"/>
    <col min="7" max="7" width="7.875" bestFit="1" customWidth="1"/>
    <col min="8" max="8" width="7.5" customWidth="1"/>
    <col min="10" max="10" width="14.375" customWidth="1"/>
    <col min="16" max="16" width="15.5" customWidth="1"/>
    <col min="20" max="20" width="14.875" customWidth="1"/>
    <col min="24" max="24" width="14.125" customWidth="1"/>
    <col min="28" max="28" width="15.5" customWidth="1"/>
    <col min="32" max="32" width="15.125" customWidth="1"/>
    <col min="38" max="38" width="17.25" customWidth="1"/>
    <col min="42" max="42" width="14" customWidth="1"/>
  </cols>
  <sheetData>
    <row r="2" spans="2:44" x14ac:dyDescent="0.4">
      <c r="B2" s="64" t="s">
        <v>3</v>
      </c>
      <c r="C2" s="64"/>
      <c r="D2" s="50"/>
      <c r="E2" s="58" t="s">
        <v>4</v>
      </c>
      <c r="F2" s="43"/>
      <c r="G2" s="43"/>
      <c r="H2" s="43"/>
      <c r="I2" s="58" t="s">
        <v>5</v>
      </c>
      <c r="J2" s="43"/>
      <c r="K2" s="43"/>
      <c r="L2" s="56"/>
      <c r="M2" s="43" t="s">
        <v>6</v>
      </c>
      <c r="N2" s="43"/>
      <c r="O2" s="72" t="s">
        <v>7</v>
      </c>
      <c r="P2" s="73"/>
      <c r="Q2" s="73"/>
      <c r="R2" s="73"/>
      <c r="S2" s="58" t="s">
        <v>8</v>
      </c>
      <c r="T2" s="43"/>
      <c r="U2" s="43"/>
      <c r="V2" s="43"/>
      <c r="W2" s="58" t="s">
        <v>9</v>
      </c>
      <c r="X2" s="43"/>
      <c r="Y2" s="43"/>
      <c r="Z2" s="43"/>
      <c r="AA2" s="72" t="s">
        <v>10</v>
      </c>
      <c r="AB2" s="73"/>
      <c r="AC2" s="73"/>
      <c r="AD2" s="73"/>
      <c r="AE2" s="58" t="s">
        <v>11</v>
      </c>
      <c r="AF2" s="43"/>
      <c r="AG2" s="43"/>
      <c r="AH2" s="56"/>
      <c r="AI2" s="43" t="s">
        <v>12</v>
      </c>
      <c r="AJ2" s="43"/>
      <c r="AK2" s="58" t="s">
        <v>13</v>
      </c>
      <c r="AL2" s="43"/>
      <c r="AM2" s="43"/>
      <c r="AN2" s="62"/>
      <c r="AO2" s="43" t="s">
        <v>14</v>
      </c>
      <c r="AP2" s="43"/>
      <c r="AQ2" s="43"/>
      <c r="AR2" s="43"/>
    </row>
    <row r="3" spans="2:44" x14ac:dyDescent="0.4">
      <c r="B3" s="65"/>
      <c r="C3" s="65"/>
      <c r="D3" s="54"/>
      <c r="E3" s="59"/>
      <c r="F3" s="44"/>
      <c r="G3" s="44"/>
      <c r="H3" s="44"/>
      <c r="I3" s="59"/>
      <c r="J3" s="44"/>
      <c r="K3" s="44"/>
      <c r="L3" s="57"/>
      <c r="M3" s="44"/>
      <c r="N3" s="44"/>
      <c r="O3" s="74"/>
      <c r="P3" s="75"/>
      <c r="Q3" s="75"/>
      <c r="R3" s="75"/>
      <c r="S3" s="59"/>
      <c r="T3" s="44"/>
      <c r="U3" s="44"/>
      <c r="V3" s="44"/>
      <c r="W3" s="59"/>
      <c r="X3" s="44"/>
      <c r="Y3" s="44"/>
      <c r="Z3" s="44"/>
      <c r="AA3" s="74"/>
      <c r="AB3" s="75"/>
      <c r="AC3" s="75"/>
      <c r="AD3" s="75"/>
      <c r="AE3" s="59"/>
      <c r="AF3" s="44"/>
      <c r="AG3" s="44"/>
      <c r="AH3" s="57"/>
      <c r="AI3" s="44"/>
      <c r="AJ3" s="44"/>
      <c r="AK3" s="59"/>
      <c r="AL3" s="44"/>
      <c r="AM3" s="44"/>
      <c r="AN3" s="63"/>
      <c r="AO3" s="44"/>
      <c r="AP3" s="44"/>
      <c r="AQ3" s="44"/>
      <c r="AR3" s="44"/>
    </row>
    <row r="4" spans="2:44" x14ac:dyDescent="0.4">
      <c r="B4" s="56" t="s">
        <v>24</v>
      </c>
      <c r="C4" s="58" t="s">
        <v>25</v>
      </c>
      <c r="D4" s="56"/>
      <c r="E4" s="45" t="s">
        <v>2</v>
      </c>
      <c r="F4" s="47" t="s">
        <v>21</v>
      </c>
      <c r="G4" s="47" t="s">
        <v>22</v>
      </c>
      <c r="H4" s="60" t="s">
        <v>23</v>
      </c>
      <c r="I4" s="45" t="s">
        <v>2</v>
      </c>
      <c r="J4" s="47" t="s">
        <v>21</v>
      </c>
      <c r="K4" s="47" t="s">
        <v>22</v>
      </c>
      <c r="L4" s="47" t="s">
        <v>23</v>
      </c>
      <c r="M4" s="16"/>
      <c r="N4" s="16"/>
      <c r="O4" s="45" t="s">
        <v>2</v>
      </c>
      <c r="P4" s="47" t="s">
        <v>21</v>
      </c>
      <c r="Q4" s="47" t="s">
        <v>22</v>
      </c>
      <c r="R4" s="60" t="s">
        <v>23</v>
      </c>
      <c r="S4" s="45" t="s">
        <v>2</v>
      </c>
      <c r="T4" s="47" t="s">
        <v>21</v>
      </c>
      <c r="U4" s="47" t="s">
        <v>22</v>
      </c>
      <c r="V4" s="60" t="s">
        <v>23</v>
      </c>
      <c r="W4" s="45" t="s">
        <v>2</v>
      </c>
      <c r="X4" s="47" t="s">
        <v>21</v>
      </c>
      <c r="Y4" s="47" t="s">
        <v>22</v>
      </c>
      <c r="Z4" s="60" t="s">
        <v>23</v>
      </c>
      <c r="AA4" s="45" t="s">
        <v>2</v>
      </c>
      <c r="AB4" s="47" t="s">
        <v>21</v>
      </c>
      <c r="AC4" s="47" t="s">
        <v>22</v>
      </c>
      <c r="AD4" s="60" t="s">
        <v>23</v>
      </c>
      <c r="AE4" s="45" t="s">
        <v>2</v>
      </c>
      <c r="AF4" s="47" t="s">
        <v>21</v>
      </c>
      <c r="AG4" s="47" t="s">
        <v>22</v>
      </c>
      <c r="AH4" s="47" t="s">
        <v>23</v>
      </c>
      <c r="AI4" s="16"/>
      <c r="AJ4" s="16"/>
      <c r="AK4" s="45" t="s">
        <v>2</v>
      </c>
      <c r="AL4" s="47" t="s">
        <v>21</v>
      </c>
      <c r="AM4" s="47" t="s">
        <v>22</v>
      </c>
      <c r="AN4" s="61" t="s">
        <v>23</v>
      </c>
      <c r="AO4" s="46" t="s">
        <v>2</v>
      </c>
      <c r="AP4" s="47" t="s">
        <v>21</v>
      </c>
      <c r="AQ4" s="47" t="s">
        <v>22</v>
      </c>
      <c r="AR4" s="47" t="s">
        <v>23</v>
      </c>
    </row>
    <row r="5" spans="2:44" ht="14.25" customHeight="1" x14ac:dyDescent="0.4">
      <c r="B5" s="57"/>
      <c r="C5" s="59"/>
      <c r="D5" s="57"/>
      <c r="E5" s="45"/>
      <c r="F5" s="47"/>
      <c r="G5" s="47"/>
      <c r="H5" s="60"/>
      <c r="I5" s="45"/>
      <c r="J5" s="47"/>
      <c r="K5" s="47"/>
      <c r="L5" s="47"/>
      <c r="M5" s="17"/>
      <c r="N5" s="17"/>
      <c r="O5" s="45"/>
      <c r="P5" s="47"/>
      <c r="Q5" s="47"/>
      <c r="R5" s="60"/>
      <c r="S5" s="45"/>
      <c r="T5" s="47"/>
      <c r="U5" s="47"/>
      <c r="V5" s="60"/>
      <c r="W5" s="45"/>
      <c r="X5" s="47"/>
      <c r="Y5" s="47"/>
      <c r="Z5" s="60"/>
      <c r="AA5" s="45"/>
      <c r="AB5" s="47"/>
      <c r="AC5" s="47"/>
      <c r="AD5" s="60"/>
      <c r="AE5" s="45"/>
      <c r="AF5" s="47"/>
      <c r="AG5" s="47"/>
      <c r="AH5" s="47"/>
      <c r="AI5" s="17"/>
      <c r="AJ5" s="17"/>
      <c r="AK5" s="45"/>
      <c r="AL5" s="47"/>
      <c r="AM5" s="47"/>
      <c r="AN5" s="61"/>
      <c r="AO5" s="46"/>
      <c r="AP5" s="47"/>
      <c r="AQ5" s="47"/>
      <c r="AR5" s="47"/>
    </row>
    <row r="6" spans="2:44" ht="18.75" customHeight="1" x14ac:dyDescent="0.4">
      <c r="B6" s="50" t="s">
        <v>19</v>
      </c>
      <c r="C6" s="49" t="s">
        <v>26</v>
      </c>
      <c r="D6" s="50"/>
      <c r="E6" s="18">
        <v>5354</v>
      </c>
      <c r="F6" s="19">
        <f>(E6-136.65)/2.5317</f>
        <v>2060.808942607734</v>
      </c>
      <c r="G6" s="45">
        <f>AVERAGE(F6:F8)</f>
        <v>2314.2618267040598</v>
      </c>
      <c r="H6" s="55">
        <f>STDEV(F6:F8)</f>
        <v>251.24451129440192</v>
      </c>
      <c r="I6" s="18">
        <v>108336</v>
      </c>
      <c r="J6" s="19">
        <f>(I6+2537.6)/18.791</f>
        <v>5900.3565536693104</v>
      </c>
      <c r="K6" s="45">
        <f>AVERAGE(J6:J8)</f>
        <v>6534.1528746030899</v>
      </c>
      <c r="L6" s="45">
        <f>STDEV(J6:J8)</f>
        <v>558.85104180226733</v>
      </c>
      <c r="M6" s="13"/>
      <c r="N6" s="13"/>
      <c r="O6" s="18">
        <v>487127</v>
      </c>
      <c r="P6" s="19">
        <f>(O6+3039.2)/42.221</f>
        <v>11609.535539186661</v>
      </c>
      <c r="Q6" s="45">
        <f>AVERAGE(P6:P8)</f>
        <v>12694.974854535263</v>
      </c>
      <c r="R6" s="55">
        <f>STDEV(P6:P8)</f>
        <v>959.84062041736922</v>
      </c>
      <c r="S6" s="19">
        <v>1707</v>
      </c>
      <c r="T6" s="19">
        <f>(S6+142.49)/7.593</f>
        <v>243.57829579876201</v>
      </c>
      <c r="U6" s="45">
        <f>AVERAGE(T6:T8)</f>
        <v>262.67483208218096</v>
      </c>
      <c r="V6" s="55">
        <f>STDEV(T6:T8)</f>
        <v>17.336976119777358</v>
      </c>
      <c r="W6" s="18">
        <v>586488</v>
      </c>
      <c r="X6" s="19">
        <f>(W6+109805)/649.18</f>
        <v>1072.5730922086325</v>
      </c>
      <c r="Y6" s="45">
        <f>AVERAGE(X6:X8)</f>
        <v>1076.8692812471118</v>
      </c>
      <c r="Z6" s="55">
        <f>STDEV(X6:X8)</f>
        <v>5.8760229382721594</v>
      </c>
      <c r="AA6" s="18">
        <v>16813301</v>
      </c>
      <c r="AB6" s="19">
        <f>(AA6+1000000)/2000.9</f>
        <v>8902.644310060472</v>
      </c>
      <c r="AC6" s="45">
        <f>AVERAGE(AB6:AB8)</f>
        <v>9189.6423276192381</v>
      </c>
      <c r="AD6" s="55">
        <f>STDEV(AB6:AB8)</f>
        <v>262.29821521157749</v>
      </c>
      <c r="AE6" s="18">
        <v>21492</v>
      </c>
      <c r="AF6" s="19">
        <f>(AE6+9689.8)/60.215</f>
        <v>517.84106950095486</v>
      </c>
      <c r="AG6" s="45">
        <f>AVERAGE(AF6,AF8)</f>
        <v>560.00664286307392</v>
      </c>
      <c r="AH6" s="45">
        <f>STDEV(AF6,AF8)</f>
        <v>59.63112571394656</v>
      </c>
      <c r="AI6" s="13"/>
      <c r="AJ6" s="13"/>
      <c r="AK6" s="18">
        <v>16848</v>
      </c>
      <c r="AL6" s="19">
        <f>(AK6+14451)/14.481</f>
        <v>2161.3838823285687</v>
      </c>
      <c r="AM6" s="45">
        <f>AVERAGE(AL6:AL8)</f>
        <v>2260.4101926662524</v>
      </c>
      <c r="AN6" s="48">
        <f>STDEV(AL6:AL8)</f>
        <v>86.424686198612505</v>
      </c>
      <c r="AO6" s="20"/>
      <c r="AP6" s="18"/>
      <c r="AQ6" s="45"/>
      <c r="AR6" s="45"/>
    </row>
    <row r="7" spans="2:44" x14ac:dyDescent="0.4">
      <c r="B7" s="52"/>
      <c r="C7" s="51"/>
      <c r="D7" s="52"/>
      <c r="E7" s="18">
        <v>6007</v>
      </c>
      <c r="F7" s="19">
        <f t="shared" ref="F7:F17" si="0">(E7-136.65)/2.5317</f>
        <v>2318.7383971244622</v>
      </c>
      <c r="G7" s="45"/>
      <c r="H7" s="55"/>
      <c r="I7" s="18">
        <v>124226</v>
      </c>
      <c r="J7" s="19">
        <f t="shared" ref="J7:J17" si="1">(I7+2537.6)/18.791</f>
        <v>6745.9741365547334</v>
      </c>
      <c r="K7" s="45"/>
      <c r="L7" s="45"/>
      <c r="M7" s="13"/>
      <c r="N7" s="13"/>
      <c r="O7" s="18">
        <v>547676</v>
      </c>
      <c r="P7" s="19">
        <f t="shared" ref="P7:P17" si="2">(O7+3039.2)/42.221</f>
        <v>13043.632315672296</v>
      </c>
      <c r="Q7" s="45"/>
      <c r="R7" s="55"/>
      <c r="S7" s="19">
        <v>1964</v>
      </c>
      <c r="T7" s="19">
        <f t="shared" ref="T7:T17" si="3">(S7+142.49)/7.593</f>
        <v>277.42526010799418</v>
      </c>
      <c r="U7" s="45"/>
      <c r="V7" s="55"/>
      <c r="W7" s="18">
        <v>587719</v>
      </c>
      <c r="X7" s="19">
        <f t="shared" ref="X7:X17" si="4">(W7+109805)/649.18</f>
        <v>1074.469330540066</v>
      </c>
      <c r="Y7" s="45"/>
      <c r="Z7" s="55"/>
      <c r="AA7" s="18">
        <v>17506983</v>
      </c>
      <c r="AB7" s="19">
        <f t="shared" ref="AB7:AB17" si="5">(AA7+1000000)/2000.9</f>
        <v>9249.3293018141831</v>
      </c>
      <c r="AC7" s="45"/>
      <c r="AD7" s="55"/>
      <c r="AE7" s="18">
        <v>26903</v>
      </c>
      <c r="AF7" s="19">
        <f t="shared" ref="AF7:AF17" si="6">(AE7+9689.8)/60.215</f>
        <v>607.70239973428545</v>
      </c>
      <c r="AG7" s="45"/>
      <c r="AH7" s="45"/>
      <c r="AI7" s="13"/>
      <c r="AJ7" s="13"/>
      <c r="AK7" s="18">
        <v>18844</v>
      </c>
      <c r="AL7" s="19">
        <f t="shared" ref="AL7:AL17" si="7">(AK7+14451)/14.481</f>
        <v>2299.2196671500587</v>
      </c>
      <c r="AM7" s="45"/>
      <c r="AN7" s="48"/>
      <c r="AO7" s="20"/>
      <c r="AP7" s="18"/>
      <c r="AQ7" s="45"/>
      <c r="AR7" s="45"/>
    </row>
    <row r="8" spans="2:44" x14ac:dyDescent="0.4">
      <c r="B8" s="52"/>
      <c r="C8" s="53"/>
      <c r="D8" s="54"/>
      <c r="E8" s="18">
        <v>6626</v>
      </c>
      <c r="F8" s="19">
        <f t="shared" si="0"/>
        <v>2563.2381403799823</v>
      </c>
      <c r="G8" s="45"/>
      <c r="H8" s="55"/>
      <c r="I8" s="18">
        <v>128175</v>
      </c>
      <c r="J8" s="19">
        <f t="shared" si="1"/>
        <v>6956.1279335852269</v>
      </c>
      <c r="K8" s="45"/>
      <c r="L8" s="45"/>
      <c r="M8" s="13"/>
      <c r="N8" s="13"/>
      <c r="O8" s="18">
        <v>564063</v>
      </c>
      <c r="P8" s="19">
        <f t="shared" si="2"/>
        <v>13431.756708746832</v>
      </c>
      <c r="Q8" s="45"/>
      <c r="R8" s="55"/>
      <c r="S8" s="19">
        <v>1885</v>
      </c>
      <c r="T8" s="19">
        <f t="shared" si="3"/>
        <v>267.02094033978665</v>
      </c>
      <c r="U8" s="45"/>
      <c r="V8" s="55"/>
      <c r="W8" s="18">
        <v>593624</v>
      </c>
      <c r="X8" s="19">
        <f t="shared" si="4"/>
        <v>1083.565420992637</v>
      </c>
      <c r="Y8" s="45"/>
      <c r="Z8" s="55"/>
      <c r="AA8" s="18">
        <v>17842382</v>
      </c>
      <c r="AB8" s="19">
        <f t="shared" si="5"/>
        <v>9416.9533709830575</v>
      </c>
      <c r="AC8" s="45"/>
      <c r="AD8" s="55"/>
      <c r="AE8" s="18">
        <v>26570</v>
      </c>
      <c r="AF8" s="19">
        <f t="shared" si="6"/>
        <v>602.1722162251931</v>
      </c>
      <c r="AG8" s="45"/>
      <c r="AH8" s="45"/>
      <c r="AI8" s="13"/>
      <c r="AJ8" s="13"/>
      <c r="AK8" s="18">
        <v>19154</v>
      </c>
      <c r="AL8" s="19">
        <f t="shared" si="7"/>
        <v>2320.6270285201299</v>
      </c>
      <c r="AM8" s="45"/>
      <c r="AN8" s="48"/>
      <c r="AO8" s="20"/>
      <c r="AP8" s="18"/>
      <c r="AQ8" s="45"/>
      <c r="AR8" s="45"/>
    </row>
    <row r="9" spans="2:44" x14ac:dyDescent="0.4">
      <c r="B9" s="52"/>
      <c r="C9" s="51" t="s">
        <v>20</v>
      </c>
      <c r="D9" s="52"/>
      <c r="E9" s="18">
        <v>5595</v>
      </c>
      <c r="F9" s="19">
        <f t="shared" si="0"/>
        <v>2156.0018959592371</v>
      </c>
      <c r="G9" s="45">
        <f>AVERAGE(F9:F11)</f>
        <v>2261.7279561822756</v>
      </c>
      <c r="H9" s="55">
        <f t="shared" ref="H9" si="8">STDEV(F9:F11)</f>
        <v>155.27755381600738</v>
      </c>
      <c r="I9" s="18">
        <v>135643</v>
      </c>
      <c r="J9" s="19">
        <f t="shared" si="1"/>
        <v>7353.552232451706</v>
      </c>
      <c r="K9" s="45">
        <f t="shared" ref="K9" si="9">AVERAGE(J9:J11)</f>
        <v>7956.7842761605743</v>
      </c>
      <c r="L9" s="45">
        <f t="shared" ref="L9" si="10">STDEV(J9:J11)</f>
        <v>839.56376896014615</v>
      </c>
      <c r="M9" s="13"/>
      <c r="N9" s="13"/>
      <c r="O9" s="18">
        <v>580797</v>
      </c>
      <c r="P9" s="19">
        <f t="shared" si="2"/>
        <v>13828.099760782548</v>
      </c>
      <c r="Q9" s="45">
        <f t="shared" ref="Q9" si="11">AVERAGE(P9:P11)</f>
        <v>14706.004121171929</v>
      </c>
      <c r="R9" s="55">
        <f t="shared" ref="R9" si="12">STDEV(P9:P11)</f>
        <v>909.94589037535354</v>
      </c>
      <c r="S9" s="19">
        <v>1559</v>
      </c>
      <c r="T9" s="19">
        <f t="shared" si="3"/>
        <v>224.08665876465165</v>
      </c>
      <c r="U9" s="45">
        <f t="shared" ref="U9" si="13">AVERAGE(T9:T11)</f>
        <v>264.95763641950919</v>
      </c>
      <c r="V9" s="55">
        <f t="shared" ref="V9" si="14">STDEV(T9:T11)</f>
        <v>39.818876068609292</v>
      </c>
      <c r="W9" s="18">
        <v>2560161</v>
      </c>
      <c r="X9" s="19">
        <f t="shared" si="4"/>
        <v>4112.8284913275211</v>
      </c>
      <c r="Y9" s="45">
        <f t="shared" ref="Y9" si="15">AVERAGE(X9:X11)</f>
        <v>4138.9327048481673</v>
      </c>
      <c r="Z9" s="55">
        <f t="shared" ref="Z9" si="16">STDEV(X9:X11)</f>
        <v>26.755127632939669</v>
      </c>
      <c r="AA9" s="18">
        <v>14412014</v>
      </c>
      <c r="AB9" s="19">
        <f t="shared" si="5"/>
        <v>7702.5408566145234</v>
      </c>
      <c r="AC9" s="45">
        <f t="shared" ref="AC9" si="17">AVERAGE(AB9:AB11)</f>
        <v>7862.2728105685774</v>
      </c>
      <c r="AD9" s="55">
        <f t="shared" ref="AD9" si="18">STDEV(AB9:AB11)</f>
        <v>143.52610974966632</v>
      </c>
      <c r="AE9" s="18">
        <v>30611</v>
      </c>
      <c r="AF9" s="19">
        <f t="shared" si="6"/>
        <v>669.28174043012541</v>
      </c>
      <c r="AG9" s="45">
        <f t="shared" ref="AG9" si="19">AVERAGE(AF9:AF11)</f>
        <v>728.00465000415181</v>
      </c>
      <c r="AH9" s="45">
        <f t="shared" ref="AH9" si="20">STDEV(AF9:AF11)</f>
        <v>73.988881670376315</v>
      </c>
      <c r="AI9" s="13"/>
      <c r="AJ9" s="13"/>
      <c r="AK9" s="18">
        <v>11576</v>
      </c>
      <c r="AL9" s="19">
        <f t="shared" si="7"/>
        <v>1797.3206270285202</v>
      </c>
      <c r="AM9" s="45">
        <f t="shared" ref="AM9" si="21">AVERAGE(AL9:AL11)</f>
        <v>1848.3069769583133</v>
      </c>
      <c r="AN9" s="48">
        <f t="shared" ref="AN9" si="22">STDEV(AL9:AL11)</f>
        <v>50.723707510770076</v>
      </c>
      <c r="AO9" s="20"/>
      <c r="AP9" s="18"/>
      <c r="AQ9" s="45"/>
      <c r="AR9" s="45"/>
    </row>
    <row r="10" spans="2:44" x14ac:dyDescent="0.4">
      <c r="B10" s="52"/>
      <c r="C10" s="51"/>
      <c r="D10" s="52"/>
      <c r="E10" s="18">
        <v>5679</v>
      </c>
      <c r="F10" s="19">
        <f t="shared" si="0"/>
        <v>2189.1811826045741</v>
      </c>
      <c r="G10" s="45"/>
      <c r="H10" s="55"/>
      <c r="I10" s="18">
        <v>140296</v>
      </c>
      <c r="J10" s="19">
        <f t="shared" si="1"/>
        <v>7601.1707732425102</v>
      </c>
      <c r="K10" s="45"/>
      <c r="L10" s="45"/>
      <c r="M10" s="13"/>
      <c r="N10" s="13"/>
      <c r="O10" s="18">
        <v>615287</v>
      </c>
      <c r="P10" s="19">
        <f t="shared" si="2"/>
        <v>14644.99182871083</v>
      </c>
      <c r="Q10" s="45"/>
      <c r="R10" s="55"/>
      <c r="S10" s="19">
        <v>1886</v>
      </c>
      <c r="T10" s="19">
        <f t="shared" si="3"/>
        <v>267.15264059001714</v>
      </c>
      <c r="U10" s="45"/>
      <c r="V10" s="55"/>
      <c r="W10" s="18">
        <v>2594870</v>
      </c>
      <c r="X10" s="19">
        <f t="shared" si="4"/>
        <v>4166.29440216889</v>
      </c>
      <c r="Y10" s="45"/>
      <c r="Z10" s="55"/>
      <c r="AA10" s="18">
        <v>14967985</v>
      </c>
      <c r="AB10" s="19">
        <f t="shared" si="5"/>
        <v>7980.4013194062672</v>
      </c>
      <c r="AC10" s="45"/>
      <c r="AD10" s="55"/>
      <c r="AE10" s="18">
        <v>32679</v>
      </c>
      <c r="AF10" s="19">
        <f t="shared" si="6"/>
        <v>703.62534252262731</v>
      </c>
      <c r="AG10" s="45"/>
      <c r="AH10" s="45"/>
      <c r="AI10" s="13"/>
      <c r="AJ10" s="13"/>
      <c r="AK10" s="18">
        <v>13045</v>
      </c>
      <c r="AL10" s="19">
        <f t="shared" si="7"/>
        <v>1898.7638975208895</v>
      </c>
      <c r="AM10" s="45"/>
      <c r="AN10" s="48"/>
      <c r="AO10" s="20"/>
      <c r="AP10" s="18"/>
      <c r="AQ10" s="45"/>
      <c r="AR10" s="45"/>
    </row>
    <row r="11" spans="2:44" x14ac:dyDescent="0.4">
      <c r="B11" s="52"/>
      <c r="C11" s="53"/>
      <c r="D11" s="54"/>
      <c r="E11" s="18">
        <v>6314</v>
      </c>
      <c r="F11" s="19">
        <f t="shared" si="0"/>
        <v>2440.0007899830157</v>
      </c>
      <c r="G11" s="45"/>
      <c r="H11" s="55"/>
      <c r="I11" s="18">
        <v>164996</v>
      </c>
      <c r="J11" s="19">
        <f t="shared" si="1"/>
        <v>8915.629822787505</v>
      </c>
      <c r="K11" s="45"/>
      <c r="L11" s="45"/>
      <c r="M11" s="13"/>
      <c r="N11" s="13"/>
      <c r="O11" s="18">
        <v>657505</v>
      </c>
      <c r="P11" s="19">
        <f t="shared" si="2"/>
        <v>15644.920774022406</v>
      </c>
      <c r="Q11" s="45"/>
      <c r="R11" s="55"/>
      <c r="S11" s="19">
        <v>2163</v>
      </c>
      <c r="T11" s="19">
        <f t="shared" si="3"/>
        <v>303.63360990385877</v>
      </c>
      <c r="U11" s="45"/>
      <c r="V11" s="55"/>
      <c r="W11" s="18">
        <v>2576291</v>
      </c>
      <c r="X11" s="19">
        <f t="shared" si="4"/>
        <v>4137.6752210480918</v>
      </c>
      <c r="Y11" s="45"/>
      <c r="Z11" s="55"/>
      <c r="AA11" s="18">
        <v>14814866</v>
      </c>
      <c r="AB11" s="19">
        <f t="shared" si="5"/>
        <v>7903.8762556849415</v>
      </c>
      <c r="AC11" s="45"/>
      <c r="AD11" s="55"/>
      <c r="AE11" s="18">
        <v>39151</v>
      </c>
      <c r="AF11" s="19">
        <f t="shared" si="6"/>
        <v>811.10686705970272</v>
      </c>
      <c r="AG11" s="45"/>
      <c r="AH11" s="45"/>
      <c r="AI11" s="13"/>
      <c r="AJ11" s="13"/>
      <c r="AK11" s="18">
        <v>12322</v>
      </c>
      <c r="AL11" s="19">
        <f t="shared" si="7"/>
        <v>1848.8364063255301</v>
      </c>
      <c r="AM11" s="45"/>
      <c r="AN11" s="48"/>
      <c r="AO11" s="20"/>
      <c r="AP11" s="18"/>
      <c r="AQ11" s="45"/>
      <c r="AR11" s="45"/>
    </row>
    <row r="12" spans="2:44" ht="18.75" customHeight="1" x14ac:dyDescent="0.4">
      <c r="B12" s="52"/>
      <c r="C12" s="49" t="s">
        <v>27</v>
      </c>
      <c r="D12" s="50"/>
      <c r="E12" s="18">
        <v>3951</v>
      </c>
      <c r="F12" s="19">
        <f t="shared" si="0"/>
        <v>1506.6358573290674</v>
      </c>
      <c r="G12" s="45">
        <f t="shared" ref="G12" si="23">AVERAGE(F12:F14)</f>
        <v>1558.7747363431688</v>
      </c>
      <c r="H12" s="55">
        <f t="shared" ref="H12" si="24">STDEV(F12:F14)</f>
        <v>48.526117382256885</v>
      </c>
      <c r="I12" s="18">
        <v>140931</v>
      </c>
      <c r="J12" s="19">
        <f t="shared" si="1"/>
        <v>7634.9635463785853</v>
      </c>
      <c r="K12" s="45">
        <f t="shared" ref="K12" si="25">AVERAGE(J12:J14)</f>
        <v>8152.196973728559</v>
      </c>
      <c r="L12" s="45">
        <f t="shared" ref="L12" si="26">STDEV(J12:J14)</f>
        <v>641.61324111633962</v>
      </c>
      <c r="M12" s="13"/>
      <c r="N12" s="13"/>
      <c r="O12" s="18">
        <v>482972</v>
      </c>
      <c r="P12" s="19">
        <f t="shared" si="2"/>
        <v>11511.124795717771</v>
      </c>
      <c r="Q12" s="45">
        <f t="shared" ref="Q12" si="27">AVERAGE(P12:P14)</f>
        <v>12704.519867680379</v>
      </c>
      <c r="R12" s="55">
        <f t="shared" ref="R12" si="28">STDEV(P12:P14)</f>
        <v>1164.0160586254281</v>
      </c>
      <c r="S12" s="19">
        <v>1928</v>
      </c>
      <c r="T12" s="19">
        <f t="shared" si="3"/>
        <v>272.68405109969706</v>
      </c>
      <c r="U12" s="45">
        <f t="shared" ref="U12" si="29">AVERAGE(T12:T14)</f>
        <v>296.03889547390139</v>
      </c>
      <c r="V12" s="55">
        <f t="shared" ref="V12" si="30">STDEV(T12:T14)</f>
        <v>23.713848216496626</v>
      </c>
      <c r="W12" s="18">
        <v>222204</v>
      </c>
      <c r="X12" s="19">
        <f>(W12+109805)/649.18</f>
        <v>511.42826334760781</v>
      </c>
      <c r="Y12" s="45">
        <f t="shared" ref="Y12" si="31">AVERAGE(X12:X14)</f>
        <v>509.22856526695222</v>
      </c>
      <c r="Z12" s="55">
        <f t="shared" ref="Z12" si="32">STDEV(X12:X14)</f>
        <v>2.3371697877860287</v>
      </c>
      <c r="AA12" s="18">
        <v>11520824</v>
      </c>
      <c r="AB12" s="19">
        <f t="shared" si="5"/>
        <v>6257.5960817632067</v>
      </c>
      <c r="AC12" s="45">
        <f t="shared" ref="AC12" si="33">AVERAGE(AB12:AB14)</f>
        <v>6233.5627301047862</v>
      </c>
      <c r="AD12" s="55">
        <f t="shared" ref="AD12" si="34">STDEV(AB12:AB14)</f>
        <v>82.072517496714951</v>
      </c>
      <c r="AE12" s="18">
        <v>22917</v>
      </c>
      <c r="AF12" s="19">
        <f t="shared" si="6"/>
        <v>541.50626920202603</v>
      </c>
      <c r="AG12" s="45">
        <f t="shared" ref="AG12" si="35">AVERAGE(AF12:AF14)</f>
        <v>569.87129452794147</v>
      </c>
      <c r="AH12" s="45">
        <f t="shared" ref="AH12" si="36">STDEV(AF12:AF14)</f>
        <v>34.468890907079178</v>
      </c>
      <c r="AI12" s="13"/>
      <c r="AJ12" s="13"/>
      <c r="AK12" s="18">
        <v>8273</v>
      </c>
      <c r="AL12" s="19">
        <f t="shared" si="7"/>
        <v>1569.2286444306333</v>
      </c>
      <c r="AM12" s="45">
        <f t="shared" ref="AM12" si="37">AVERAGE(AL12:AL14)</f>
        <v>1568.4460097138781</v>
      </c>
      <c r="AN12" s="48">
        <f t="shared" ref="AN12" si="38">STDEV(AL12:AL14)</f>
        <v>24.80036903016526</v>
      </c>
      <c r="AO12" s="20"/>
      <c r="AP12" s="18"/>
      <c r="AQ12" s="45"/>
      <c r="AR12" s="45"/>
    </row>
    <row r="13" spans="2:44" x14ac:dyDescent="0.4">
      <c r="B13" s="52"/>
      <c r="C13" s="51"/>
      <c r="D13" s="52"/>
      <c r="E13" s="18">
        <v>4104</v>
      </c>
      <c r="F13" s="19">
        <f t="shared" si="0"/>
        <v>1567.0695580045031</v>
      </c>
      <c r="G13" s="45"/>
      <c r="H13" s="55"/>
      <c r="I13" s="18">
        <v>146878</v>
      </c>
      <c r="J13" s="19">
        <f t="shared" si="1"/>
        <v>7951.4448406151887</v>
      </c>
      <c r="K13" s="45"/>
      <c r="L13" s="45"/>
      <c r="M13" s="13"/>
      <c r="N13" s="13"/>
      <c r="O13" s="18">
        <v>535941</v>
      </c>
      <c r="P13" s="19">
        <f t="shared" si="2"/>
        <v>12765.690059449089</v>
      </c>
      <c r="Q13" s="45"/>
      <c r="R13" s="55"/>
      <c r="S13" s="19">
        <v>2288</v>
      </c>
      <c r="T13" s="19">
        <f t="shared" si="3"/>
        <v>320.09614118266825</v>
      </c>
      <c r="U13" s="45"/>
      <c r="V13" s="55"/>
      <c r="W13" s="18">
        <v>220941</v>
      </c>
      <c r="X13" s="19">
        <f t="shared" si="4"/>
        <v>509.48273206198593</v>
      </c>
      <c r="Y13" s="45"/>
      <c r="Z13" s="55"/>
      <c r="AA13" s="18">
        <v>11607542</v>
      </c>
      <c r="AB13" s="19">
        <f t="shared" si="5"/>
        <v>6300.9355789894544</v>
      </c>
      <c r="AC13" s="45"/>
      <c r="AD13" s="55"/>
      <c r="AE13" s="18">
        <v>24023</v>
      </c>
      <c r="AF13" s="19">
        <f t="shared" si="6"/>
        <v>559.87378560159425</v>
      </c>
      <c r="AG13" s="45"/>
      <c r="AH13" s="45"/>
      <c r="AI13" s="13"/>
      <c r="AJ13" s="13"/>
      <c r="AK13" s="18">
        <v>7897</v>
      </c>
      <c r="AL13" s="19">
        <f t="shared" si="7"/>
        <v>1543.2635867688696</v>
      </c>
      <c r="AM13" s="45"/>
      <c r="AN13" s="48"/>
      <c r="AO13" s="20"/>
      <c r="AP13" s="18"/>
      <c r="AQ13" s="45"/>
      <c r="AR13" s="45"/>
    </row>
    <row r="14" spans="2:44" x14ac:dyDescent="0.4">
      <c r="B14" s="52"/>
      <c r="C14" s="53"/>
      <c r="D14" s="54"/>
      <c r="E14" s="18">
        <v>4194</v>
      </c>
      <c r="F14" s="19">
        <f t="shared" si="0"/>
        <v>1602.6187936959357</v>
      </c>
      <c r="G14" s="45"/>
      <c r="H14" s="55"/>
      <c r="I14" s="18">
        <v>164142</v>
      </c>
      <c r="J14" s="19">
        <f t="shared" si="1"/>
        <v>8870.1825341919011</v>
      </c>
      <c r="K14" s="45"/>
      <c r="L14" s="45"/>
      <c r="M14" s="13"/>
      <c r="N14" s="13"/>
      <c r="O14" s="18">
        <v>581162</v>
      </c>
      <c r="P14" s="19">
        <f t="shared" si="2"/>
        <v>13836.74474787428</v>
      </c>
      <c r="Q14" s="45"/>
      <c r="R14" s="55"/>
      <c r="S14" s="19">
        <v>2100</v>
      </c>
      <c r="T14" s="19">
        <f t="shared" si="3"/>
        <v>295.33649413933881</v>
      </c>
      <c r="U14" s="45"/>
      <c r="V14" s="55"/>
      <c r="W14" s="18">
        <v>219183</v>
      </c>
      <c r="X14" s="19">
        <f t="shared" si="4"/>
        <v>506.77470039126285</v>
      </c>
      <c r="Y14" s="45"/>
      <c r="Z14" s="55"/>
      <c r="AA14" s="18">
        <v>11289841</v>
      </c>
      <c r="AB14" s="19">
        <f t="shared" si="5"/>
        <v>6142.1565295616965</v>
      </c>
      <c r="AC14" s="45"/>
      <c r="AD14" s="55"/>
      <c r="AE14" s="18">
        <v>26935</v>
      </c>
      <c r="AF14" s="19">
        <f t="shared" si="6"/>
        <v>608.23382878020425</v>
      </c>
      <c r="AG14" s="45"/>
      <c r="AH14" s="45"/>
      <c r="AI14" s="13"/>
      <c r="AJ14" s="13"/>
      <c r="AK14" s="18">
        <v>8615</v>
      </c>
      <c r="AL14" s="19">
        <f t="shared" si="7"/>
        <v>1592.8457979421312</v>
      </c>
      <c r="AM14" s="45"/>
      <c r="AN14" s="48"/>
      <c r="AO14" s="20"/>
      <c r="AP14" s="18"/>
      <c r="AQ14" s="45"/>
      <c r="AR14" s="45"/>
    </row>
    <row r="15" spans="2:44" ht="18.75" customHeight="1" x14ac:dyDescent="0.4">
      <c r="B15" s="52"/>
      <c r="C15" s="49" t="s">
        <v>28</v>
      </c>
      <c r="D15" s="50"/>
      <c r="E15" s="18">
        <v>3774</v>
      </c>
      <c r="F15" s="19">
        <f t="shared" si="0"/>
        <v>1436.7223604692499</v>
      </c>
      <c r="G15" s="45">
        <f t="shared" ref="G15" si="39">AVERAGE(F15:F17)</f>
        <v>1401.5681162854999</v>
      </c>
      <c r="H15" s="55">
        <f t="shared" ref="H15" si="40">STDEV(F15:F17)</f>
        <v>39.195817543061764</v>
      </c>
      <c r="I15" s="18">
        <v>109881</v>
      </c>
      <c r="J15" s="19">
        <f t="shared" si="1"/>
        <v>5982.5767654728334</v>
      </c>
      <c r="K15" s="45">
        <f t="shared" ref="K15" si="41">AVERAGE(J15:J17)</f>
        <v>6170.5036098841656</v>
      </c>
      <c r="L15" s="45">
        <f t="shared" ref="L15" si="42">STDEV(J15:J17)</f>
        <v>287.43586308926467</v>
      </c>
      <c r="M15" s="13"/>
      <c r="N15" s="13"/>
      <c r="O15" s="18">
        <v>555711</v>
      </c>
      <c r="P15" s="19">
        <f t="shared" si="2"/>
        <v>13233.9404561711</v>
      </c>
      <c r="Q15" s="45">
        <f t="shared" ref="Q15" si="43">AVERAGE(P15:P17)</f>
        <v>13020.863235514713</v>
      </c>
      <c r="R15" s="55">
        <f t="shared" ref="R15" si="44">STDEV(P15:P17)</f>
        <v>732.98266148170444</v>
      </c>
      <c r="S15" s="19">
        <v>2044</v>
      </c>
      <c r="T15" s="19">
        <f t="shared" si="3"/>
        <v>287.9612801264322</v>
      </c>
      <c r="U15" s="45">
        <f t="shared" ref="U15" si="45">AVERAGE(T15:T17)</f>
        <v>276.2399578559199</v>
      </c>
      <c r="V15" s="55">
        <f t="shared" ref="V15" si="46">STDEV(T15:T17)</f>
        <v>10.212503115860423</v>
      </c>
      <c r="W15" s="18">
        <v>512350</v>
      </c>
      <c r="X15" s="19">
        <f t="shared" si="4"/>
        <v>958.37055978311105</v>
      </c>
      <c r="Y15" s="45">
        <f t="shared" ref="Y15" si="47">AVERAGE(X15:X17)</f>
        <v>950.45750023106075</v>
      </c>
      <c r="Z15" s="55">
        <f t="shared" ref="Z15" si="48">STDEV(X15:X17)</f>
        <v>21.134053154577792</v>
      </c>
      <c r="AA15" s="18">
        <v>9302385</v>
      </c>
      <c r="AB15" s="19">
        <f t="shared" si="5"/>
        <v>5148.8755060222893</v>
      </c>
      <c r="AC15" s="45">
        <f t="shared" ref="AC15" si="49">AVERAGE(AB15:AB17)</f>
        <v>5095.2286471088009</v>
      </c>
      <c r="AD15" s="55">
        <f t="shared" ref="AD15" si="50">STDEV(AB15:AB17)</f>
        <v>164.17456396850991</v>
      </c>
      <c r="AE15" s="18">
        <v>24745</v>
      </c>
      <c r="AF15" s="19">
        <f t="shared" si="6"/>
        <v>571.864153450137</v>
      </c>
      <c r="AG15" s="45">
        <f t="shared" ref="AG15" si="51">AVERAGE(AF15:AF17)</f>
        <v>577.50505134379591</v>
      </c>
      <c r="AH15" s="45">
        <f t="shared" ref="AH15" si="52">STDEV(AF15:AF17)</f>
        <v>9.0188079696331993</v>
      </c>
      <c r="AI15" s="13"/>
      <c r="AJ15" s="13"/>
      <c r="AK15" s="18">
        <v>7930</v>
      </c>
      <c r="AL15" s="19">
        <f t="shared" si="7"/>
        <v>1545.5424349147158</v>
      </c>
      <c r="AM15" s="45">
        <f t="shared" ref="AM15" si="53">AVERAGE(AL15:AL17)</f>
        <v>1535.4372396013168</v>
      </c>
      <c r="AN15" s="48">
        <f t="shared" ref="AN15" si="54">STDEV(AL15:AL17)</f>
        <v>22.839727566582056</v>
      </c>
      <c r="AO15" s="20"/>
      <c r="AP15" s="18"/>
      <c r="AQ15" s="45"/>
      <c r="AR15" s="45"/>
    </row>
    <row r="16" spans="2:44" x14ac:dyDescent="0.4">
      <c r="B16" s="52"/>
      <c r="C16" s="51"/>
      <c r="D16" s="52"/>
      <c r="E16" s="18">
        <v>3578</v>
      </c>
      <c r="F16" s="19">
        <f t="shared" si="0"/>
        <v>1359.3040249634632</v>
      </c>
      <c r="G16" s="45"/>
      <c r="H16" s="55"/>
      <c r="I16" s="18">
        <v>110726</v>
      </c>
      <c r="J16" s="19">
        <f t="shared" si="1"/>
        <v>6027.5451013783195</v>
      </c>
      <c r="K16" s="45"/>
      <c r="L16" s="45"/>
      <c r="M16" s="13"/>
      <c r="N16" s="13"/>
      <c r="O16" s="18">
        <v>512266</v>
      </c>
      <c r="P16" s="19">
        <f t="shared" si="2"/>
        <v>12204.950143293623</v>
      </c>
      <c r="Q16" s="45"/>
      <c r="R16" s="55"/>
      <c r="S16" s="19">
        <v>1902</v>
      </c>
      <c r="T16" s="19">
        <f t="shared" si="3"/>
        <v>269.25984459370471</v>
      </c>
      <c r="U16" s="45"/>
      <c r="V16" s="55"/>
      <c r="W16" s="18">
        <v>491666</v>
      </c>
      <c r="X16" s="19">
        <f t="shared" si="4"/>
        <v>926.50882651960944</v>
      </c>
      <c r="Y16" s="45"/>
      <c r="Z16" s="55"/>
      <c r="AA16" s="18">
        <v>8826303</v>
      </c>
      <c r="AB16" s="19">
        <f t="shared" si="5"/>
        <v>4910.9415762906692</v>
      </c>
      <c r="AC16" s="45"/>
      <c r="AD16" s="55"/>
      <c r="AE16" s="18">
        <v>24798</v>
      </c>
      <c r="AF16" s="19">
        <f t="shared" si="6"/>
        <v>572.74433280744006</v>
      </c>
      <c r="AG16" s="45"/>
      <c r="AH16" s="45"/>
      <c r="AI16" s="13"/>
      <c r="AJ16" s="13"/>
      <c r="AK16" s="18">
        <v>7405</v>
      </c>
      <c r="AL16" s="19">
        <f t="shared" si="7"/>
        <v>1509.2880325944341</v>
      </c>
      <c r="AM16" s="45"/>
      <c r="AN16" s="48"/>
      <c r="AO16" s="20"/>
      <c r="AP16" s="18"/>
      <c r="AQ16" s="45"/>
      <c r="AR16" s="45"/>
    </row>
    <row r="17" spans="2:44" x14ac:dyDescent="0.4">
      <c r="B17" s="54"/>
      <c r="C17" s="53"/>
      <c r="D17" s="54"/>
      <c r="E17" s="18">
        <v>3703</v>
      </c>
      <c r="F17" s="19">
        <f t="shared" si="0"/>
        <v>1408.6779634237864</v>
      </c>
      <c r="G17" s="45"/>
      <c r="H17" s="55"/>
      <c r="I17" s="18">
        <v>119630</v>
      </c>
      <c r="J17" s="19">
        <f t="shared" si="1"/>
        <v>6501.3889628013412</v>
      </c>
      <c r="K17" s="45"/>
      <c r="L17" s="45"/>
      <c r="M17" s="23"/>
      <c r="N17" s="23"/>
      <c r="O17" s="18">
        <v>572167</v>
      </c>
      <c r="P17" s="19">
        <f t="shared" si="2"/>
        <v>13623.699107079416</v>
      </c>
      <c r="Q17" s="45"/>
      <c r="R17" s="55"/>
      <c r="S17" s="19">
        <v>1919</v>
      </c>
      <c r="T17" s="19">
        <f t="shared" si="3"/>
        <v>271.49874884762278</v>
      </c>
      <c r="U17" s="45"/>
      <c r="V17" s="55"/>
      <c r="W17" s="18">
        <v>517623</v>
      </c>
      <c r="X17" s="19">
        <f t="shared" si="4"/>
        <v>966.49311439046187</v>
      </c>
      <c r="Y17" s="45"/>
      <c r="Z17" s="55"/>
      <c r="AA17" s="18">
        <v>9456441</v>
      </c>
      <c r="AB17" s="19">
        <f t="shared" si="5"/>
        <v>5225.8688590134434</v>
      </c>
      <c r="AC17" s="45"/>
      <c r="AD17" s="55"/>
      <c r="AE17" s="18">
        <v>25711</v>
      </c>
      <c r="AF17" s="19">
        <f t="shared" si="6"/>
        <v>587.90666777381057</v>
      </c>
      <c r="AG17" s="45"/>
      <c r="AH17" s="45"/>
      <c r="AI17" s="23"/>
      <c r="AJ17" s="23"/>
      <c r="AK17" s="18">
        <v>8016</v>
      </c>
      <c r="AL17" s="19">
        <f t="shared" si="7"/>
        <v>1551.4812512948001</v>
      </c>
      <c r="AM17" s="45"/>
      <c r="AN17" s="48"/>
      <c r="AO17" s="20"/>
      <c r="AP17" s="18"/>
      <c r="AQ17" s="45"/>
      <c r="AR17" s="45"/>
    </row>
    <row r="18" spans="2:44" ht="18.75" customHeight="1" x14ac:dyDescent="0.4">
      <c r="B18" s="21"/>
      <c r="H18" s="22"/>
    </row>
    <row r="19" spans="2:44" x14ac:dyDescent="0.4">
      <c r="B19" s="21"/>
    </row>
    <row r="20" spans="2:44" x14ac:dyDescent="0.4">
      <c r="B20" s="21"/>
    </row>
    <row r="21" spans="2:44" x14ac:dyDescent="0.4">
      <c r="B21" s="21"/>
    </row>
    <row r="22" spans="2:44" x14ac:dyDescent="0.4">
      <c r="B22" s="21"/>
    </row>
    <row r="23" spans="2:44" x14ac:dyDescent="0.4">
      <c r="B23" s="21"/>
    </row>
    <row r="24" spans="2:44" ht="18.75" customHeight="1" x14ac:dyDescent="0.4">
      <c r="B24" s="21"/>
    </row>
    <row r="25" spans="2:44" x14ac:dyDescent="0.4">
      <c r="B25" s="21"/>
    </row>
    <row r="26" spans="2:44" x14ac:dyDescent="0.4">
      <c r="B26" s="21"/>
    </row>
    <row r="27" spans="2:44" ht="18.75" customHeight="1" x14ac:dyDescent="0.4">
      <c r="B27" s="21"/>
    </row>
    <row r="28" spans="2:44" x14ac:dyDescent="0.4">
      <c r="B28" s="21"/>
    </row>
    <row r="29" spans="2:44" x14ac:dyDescent="0.4">
      <c r="B29" s="21"/>
    </row>
    <row r="30" spans="2:44" x14ac:dyDescent="0.4">
      <c r="W30" s="15"/>
    </row>
  </sheetData>
  <mergeCells count="127">
    <mergeCell ref="K9:K11"/>
    <mergeCell ref="AG6:AG8"/>
    <mergeCell ref="AI2:AJ3"/>
    <mergeCell ref="B2:D3"/>
    <mergeCell ref="M2:N3"/>
    <mergeCell ref="E2:H3"/>
    <mergeCell ref="I4:I5"/>
    <mergeCell ref="S2:V3"/>
    <mergeCell ref="W2:Z3"/>
    <mergeCell ref="Q4:Q5"/>
    <mergeCell ref="R4:R5"/>
    <mergeCell ref="O2:R3"/>
    <mergeCell ref="S4:S5"/>
    <mergeCell ref="T4:T5"/>
    <mergeCell ref="U4:U5"/>
    <mergeCell ref="J4:J5"/>
    <mergeCell ref="K4:K5"/>
    <mergeCell ref="L4:L5"/>
    <mergeCell ref="I2:L3"/>
    <mergeCell ref="O4:O5"/>
    <mergeCell ref="P4:P5"/>
    <mergeCell ref="AM4:AM5"/>
    <mergeCell ref="AN4:AN5"/>
    <mergeCell ref="AK2:AN3"/>
    <mergeCell ref="G6:G8"/>
    <mergeCell ref="G9:G11"/>
    <mergeCell ref="G12:G14"/>
    <mergeCell ref="K6:K8"/>
    <mergeCell ref="AF4:AF5"/>
    <mergeCell ref="AG4:AG5"/>
    <mergeCell ref="AH4:AH5"/>
    <mergeCell ref="AE2:AH3"/>
    <mergeCell ref="AK4:AK5"/>
    <mergeCell ref="AL4:AL5"/>
    <mergeCell ref="AA4:AA5"/>
    <mergeCell ref="AB4:AB5"/>
    <mergeCell ref="AC4:AC5"/>
    <mergeCell ref="AD4:AD5"/>
    <mergeCell ref="AA2:AD3"/>
    <mergeCell ref="AE4:AE5"/>
    <mergeCell ref="V4:V5"/>
    <mergeCell ref="W4:W5"/>
    <mergeCell ref="X4:X5"/>
    <mergeCell ref="Y4:Y5"/>
    <mergeCell ref="Z4:Z5"/>
    <mergeCell ref="Q12:Q14"/>
    <mergeCell ref="R12:R14"/>
    <mergeCell ref="Q15:Q17"/>
    <mergeCell ref="R15:R17"/>
    <mergeCell ref="K12:K14"/>
    <mergeCell ref="K15:K17"/>
    <mergeCell ref="L15:L17"/>
    <mergeCell ref="B4:B5"/>
    <mergeCell ref="C4:D5"/>
    <mergeCell ref="L6:L8"/>
    <mergeCell ref="L9:L11"/>
    <mergeCell ref="L12:L14"/>
    <mergeCell ref="G15:G17"/>
    <mergeCell ref="H6:H8"/>
    <mergeCell ref="H9:H11"/>
    <mergeCell ref="H12:H14"/>
    <mergeCell ref="H15:H17"/>
    <mergeCell ref="E4:E5"/>
    <mergeCell ref="F4:F5"/>
    <mergeCell ref="G4:G5"/>
    <mergeCell ref="H4:H5"/>
    <mergeCell ref="Q6:Q8"/>
    <mergeCell ref="R6:R8"/>
    <mergeCell ref="Q9:Q11"/>
    <mergeCell ref="U15:U17"/>
    <mergeCell ref="V15:V17"/>
    <mergeCell ref="U6:U8"/>
    <mergeCell ref="V6:V8"/>
    <mergeCell ref="U9:U11"/>
    <mergeCell ref="V9:V11"/>
    <mergeCell ref="U12:U14"/>
    <mergeCell ref="V12:V14"/>
    <mergeCell ref="R9:R11"/>
    <mergeCell ref="C6:D8"/>
    <mergeCell ref="C9:D11"/>
    <mergeCell ref="C12:D14"/>
    <mergeCell ref="C15:D17"/>
    <mergeCell ref="B6:B17"/>
    <mergeCell ref="AM15:AM17"/>
    <mergeCell ref="AN15:AN17"/>
    <mergeCell ref="AC15:AC17"/>
    <mergeCell ref="AD15:AD17"/>
    <mergeCell ref="AH15:AH17"/>
    <mergeCell ref="AC6:AC8"/>
    <mergeCell ref="AD6:AD8"/>
    <mergeCell ref="AC9:AC11"/>
    <mergeCell ref="AD9:AD11"/>
    <mergeCell ref="AC12:AC14"/>
    <mergeCell ref="AD12:AD14"/>
    <mergeCell ref="Y15:Y17"/>
    <mergeCell ref="Z15:Z17"/>
    <mergeCell ref="Y6:Y8"/>
    <mergeCell ref="Z6:Z8"/>
    <mergeCell ref="Y9:Y11"/>
    <mergeCell ref="Z9:Z11"/>
    <mergeCell ref="Y12:Y14"/>
    <mergeCell ref="Z12:Z14"/>
    <mergeCell ref="AM6:AM8"/>
    <mergeCell ref="AN6:AN8"/>
    <mergeCell ref="AM9:AM11"/>
    <mergeCell ref="AN9:AN11"/>
    <mergeCell ref="AM12:AM14"/>
    <mergeCell ref="AN12:AN14"/>
    <mergeCell ref="AG15:AG17"/>
    <mergeCell ref="AH6:AH8"/>
    <mergeCell ref="AG9:AG11"/>
    <mergeCell ref="AH9:AH11"/>
    <mergeCell ref="AG12:AG14"/>
    <mergeCell ref="AH12:AH14"/>
    <mergeCell ref="AO2:AR3"/>
    <mergeCell ref="AR6:AR8"/>
    <mergeCell ref="AR9:AR11"/>
    <mergeCell ref="AR12:AR14"/>
    <mergeCell ref="AR15:AR17"/>
    <mergeCell ref="AO4:AO5"/>
    <mergeCell ref="AP4:AP5"/>
    <mergeCell ref="AQ4:AQ5"/>
    <mergeCell ref="AR4:AR5"/>
    <mergeCell ref="AQ6:AQ8"/>
    <mergeCell ref="AQ9:AQ11"/>
    <mergeCell ref="AQ12:AQ14"/>
    <mergeCell ref="AQ15:AQ17"/>
  </mergeCells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calibration curve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shiori</dc:creator>
  <cp:lastModifiedBy>哲志 山本</cp:lastModifiedBy>
  <dcterms:created xsi:type="dcterms:W3CDTF">2022-07-07T05:50:24Z</dcterms:created>
  <dcterms:modified xsi:type="dcterms:W3CDTF">2026-01-14T08:44:50Z</dcterms:modified>
</cp:coreProperties>
</file>